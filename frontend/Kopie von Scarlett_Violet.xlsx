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5.xml"/>
  <Override ContentType="application/vnd.openxmlformats-officedocument.spreadsheetml.comments+xml" PartName="/xl/comments21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6.xml"/>
  <Override ContentType="application/vnd.openxmlformats-officedocument.spreadsheetml.comments+xml" PartName="/xl/comments13.xml"/>
  <Override ContentType="application/vnd.openxmlformats-officedocument.spreadsheetml.comments+xml" PartName="/xl/comments4.xml"/>
  <Override ContentType="application/vnd.openxmlformats-officedocument.spreadsheetml.comments+xml" PartName="/xl/comments19.xml"/>
  <Override ContentType="application/vnd.openxmlformats-officedocument.spreadsheetml.comments+xml" PartName="/xl/comments2.xml"/>
  <Override ContentType="application/vnd.openxmlformats-officedocument.spreadsheetml.comments+xml" PartName="/xl/comments17.xml"/>
  <Override ContentType="application/vnd.openxmlformats-officedocument.spreadsheetml.comments+xml" PartName="/xl/comments8.xml"/>
  <Override ContentType="application/vnd.openxmlformats-officedocument.spreadsheetml.comments+xml" PartName="/xl/comments14.xml"/>
  <Override ContentType="application/vnd.openxmlformats-officedocument.spreadsheetml.comments+xml" PartName="/xl/comments11.xml"/>
  <Override ContentType="application/vnd.openxmlformats-officedocument.spreadsheetml.comments+xml" PartName="/xl/comments20.xml"/>
  <Override ContentType="application/vnd.openxmlformats-officedocument.spreadsheetml.comments+xml" PartName="/xl/comments22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16.xml"/>
  <Override ContentType="application/vnd.openxmlformats-officedocument.spreadsheetml.comments+xml" PartName="/xl/comments3.xml"/>
  <Override ContentType="application/vnd.openxmlformats-officedocument.spreadsheetml.comments+xml" PartName="/xl/comments18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ts Overview" sheetId="1" r:id="rId5"/>
    <sheet state="visible" name="Collection Summary" sheetId="2" r:id="rId6"/>
    <sheet state="visible" name="SVP Black Star Promos" sheetId="3" r:id="rId7"/>
    <sheet state="visible" name="Zenit der Könige" sheetId="4" r:id="rId8"/>
    <sheet state="visible" name="Zenit Galarian Gallery" sheetId="5" r:id="rId9"/>
    <sheet state="visible" name="Karmesin &amp; Purpur" sheetId="6" r:id="rId10"/>
    <sheet state="visible" name="Entwicklungen in Paldea" sheetId="7" r:id="rId11"/>
    <sheet state="visible" name="Obsidian Flammen" sheetId="8" r:id="rId12"/>
    <sheet state="visible" name="151" sheetId="9" r:id="rId13"/>
    <sheet state="visible" name="Paradoxrift" sheetId="10" r:id="rId14"/>
    <sheet state="visible" name="Paldeas Schicksale" sheetId="11" r:id="rId15"/>
    <sheet state="visible" name="Gewalten der Zeit" sheetId="12" r:id="rId16"/>
    <sheet state="visible" name="Maskerade im Zwielicht" sheetId="13" r:id="rId17"/>
    <sheet state="visible" name="Nebel der Sagen" sheetId="14" r:id="rId18"/>
    <sheet state="visible" name="Stellarkrone" sheetId="15" r:id="rId19"/>
    <sheet state="visible" name="Stürmische Funken" sheetId="16" r:id="rId20"/>
    <sheet state="visible" name="Prismatische Entwicklungen" sheetId="17" r:id="rId21"/>
    <sheet state="visible" name="Reisegefährten" sheetId="18" r:id="rId22"/>
    <sheet state="visible" name="Ewige Rivalen" sheetId="19" r:id="rId23"/>
    <sheet state="visible" name="Schwarze Blitze" sheetId="20" r:id="rId24"/>
    <sheet state="visible" name="Fatale Flammen" sheetId="21" r:id="rId25"/>
    <sheet state="visible" name="Ascended Heroes" sheetId="22" r:id="rId2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">
      <text>
        <t xml:space="preserve">Klicken Sie hier, um die Sets-Übersicht und alle Sets neu zu laden.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">
      <text>
        <t xml:space="preserve">Klicken Sie hier, um die Sammlungsübersicht zu aktualisieren.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Set ID: svp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Set ID: swsh12pt5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Set ID: swsh12pt5gg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Set ID: sv1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Set ID: sv2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Set ID: sv3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Set ID: sv3pt5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Set ID: sv4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Set ID: sv4pt5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Set ID: sv5</t>
      </text>
    </comment>
  </commentList>
</comments>
</file>

<file path=xl/comments1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Set ID: sv6</t>
      </text>
    </comment>
  </commentList>
</comments>
</file>

<file path=xl/comments1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Set ID: sv6pt5</t>
      </text>
    </comment>
  </commentList>
</comments>
</file>

<file path=xl/comments1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Set ID: sv7</t>
      </text>
    </comment>
  </commentList>
</comments>
</file>

<file path=xl/comments1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Set ID: sv8</t>
      </text>
    </comment>
  </commentList>
</comments>
</file>

<file path=xl/comments1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Set ID: sv8pt5</t>
      </text>
    </comment>
  </commentList>
</comments>
</file>

<file path=xl/comments1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Set ID: sv9</t>
      </text>
    </comment>
  </commentList>
</comments>
</file>

<file path=xl/comments1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Set ID: sv10</t>
      </text>
    </comment>
  </commentList>
</comments>
</file>

<file path=xl/comments2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Set ID: TCGDEX-sv10.5b</t>
      </text>
    </comment>
  </commentList>
</comments>
</file>

<file path=xl/comments2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Set ID: me2</t>
      </text>
    </comment>
  </commentList>
</comments>
</file>

<file path=xl/comments2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Set ID: me2pt5</t>
      </text>
    </comment>
  </commentList>
</comments>
</file>

<file path=xl/sharedStrings.xml><?xml version="1.0" encoding="utf-8"?>
<sst xmlns="http://schemas.openxmlformats.org/spreadsheetml/2006/main" count="8587" uniqueCount="2672">
  <si>
    <t>Pokémon TCG Sets Übersicht</t>
  </si>
  <si>
    <t>Gesamtzahl pokemontcg.io Sets: 172 | Gesamtzahl TCGDex-Only Sets: 15 | Importiert: 18 | Nicht importiert: 169</t>
  </si>
  <si>
    <t>Set ID</t>
  </si>
  <si>
    <t>Set Name</t>
  </si>
  <si>
    <t>Set Logo</t>
  </si>
  <si>
    <t>Set Symbol</t>
  </si>
  <si>
    <t>Serie</t>
  </si>
  <si>
    <t>Erscheinungsdatum</t>
  </si>
  <si>
    <t>Gesamtzahl Karten</t>
  </si>
  <si>
    <t>Abkürzung (Official)</t>
  </si>
  <si>
    <t>Importiert</t>
  </si>
  <si>
    <t>Neu importieren</t>
  </si>
  <si>
    <t>Ascended Heroes</t>
  </si>
  <si>
    <t>CellImage</t>
  </si>
  <si>
    <t>Mega Evolution</t>
  </si>
  <si>
    <t>Fri Jan 30 2026 00:00:00 GMT+0100 (Central European Standard Time)</t>
  </si>
  <si>
    <t>ASC</t>
  </si>
  <si>
    <t>Fatale Flammen</t>
  </si>
  <si>
    <t>Mega-Entwicklung</t>
  </si>
  <si>
    <t>PFL</t>
  </si>
  <si>
    <t>me1</t>
  </si>
  <si>
    <t>MEG</t>
  </si>
  <si>
    <t>zsv10pt5</t>
  </si>
  <si>
    <t>Black Bolt</t>
  </si>
  <si>
    <t>Scarlet &amp; Violet</t>
  </si>
  <si>
    <t>BLK</t>
  </si>
  <si>
    <t>rsv10pt5</t>
  </si>
  <si>
    <t>White Flare</t>
  </si>
  <si>
    <t>WHT</t>
  </si>
  <si>
    <t>Ewige Rivalen</t>
  </si>
  <si>
    <t>DRI</t>
  </si>
  <si>
    <t>Reisegefährten</t>
  </si>
  <si>
    <t>JTG</t>
  </si>
  <si>
    <t>Prismatische Entwicklungen</t>
  </si>
  <si>
    <t>PRE</t>
  </si>
  <si>
    <t>Stürmische Funken</t>
  </si>
  <si>
    <t>SSP</t>
  </si>
  <si>
    <t>Stellarkrone</t>
  </si>
  <si>
    <t>SCR</t>
  </si>
  <si>
    <t>Nebel der Sagen</t>
  </si>
  <si>
    <t>SFA</t>
  </si>
  <si>
    <t>Maskerade im Zwielicht</t>
  </si>
  <si>
    <t>TWM</t>
  </si>
  <si>
    <t>Gewalten der Zeit</t>
  </si>
  <si>
    <t>TEF</t>
  </si>
  <si>
    <t>Paldeas Schicksale</t>
  </si>
  <si>
    <t>PAF</t>
  </si>
  <si>
    <t>Paradoxrift</t>
  </si>
  <si>
    <t>PAR</t>
  </si>
  <si>
    <t>MEW</t>
  </si>
  <si>
    <t>Obsidian Flammen</t>
  </si>
  <si>
    <t>OBF</t>
  </si>
  <si>
    <t>Entwicklungen in Paldea</t>
  </si>
  <si>
    <t>PAL</t>
  </si>
  <si>
    <t>sve</t>
  </si>
  <si>
    <t>Scarlet &amp; Violet Energies</t>
  </si>
  <si>
    <t>SVE</t>
  </si>
  <si>
    <t>Karmesin &amp; Purpur</t>
  </si>
  <si>
    <t>SVI</t>
  </si>
  <si>
    <t>Zenit der Könige</t>
  </si>
  <si>
    <t>Sword &amp; Shield</t>
  </si>
  <si>
    <t>CRZ</t>
  </si>
  <si>
    <t>swsh12pt5gg</t>
  </si>
  <si>
    <t>Crown Zenith Galarian Gallery</t>
  </si>
  <si>
    <t>SVP Black Star Promos</t>
  </si>
  <si>
    <t>PR-SV</t>
  </si>
  <si>
    <t>swsh12</t>
  </si>
  <si>
    <t>Silberne Sturmwinde</t>
  </si>
  <si>
    <t>SIT</t>
  </si>
  <si>
    <t>swsh12tg</t>
  </si>
  <si>
    <t>Silver Tempest Trainer Gallery</t>
  </si>
  <si>
    <t>swsh11</t>
  </si>
  <si>
    <t>Verlorener Ursprung</t>
  </si>
  <si>
    <t>LOR</t>
  </si>
  <si>
    <t>swsh11tg</t>
  </si>
  <si>
    <t>Lost Origin Trainer Gallery</t>
  </si>
  <si>
    <t>mcd22</t>
  </si>
  <si>
    <t>McDonald's Collection 2022</t>
  </si>
  <si>
    <t>Other</t>
  </si>
  <si>
    <t>pgo</t>
  </si>
  <si>
    <t>Pokémon GO</t>
  </si>
  <si>
    <t>PGO</t>
  </si>
  <si>
    <t>swsh10</t>
  </si>
  <si>
    <t>Astralglanz</t>
  </si>
  <si>
    <t>ASR</t>
  </si>
  <si>
    <t>swsh10tg</t>
  </si>
  <si>
    <t>Astral Radiance Trainer Gallery</t>
  </si>
  <si>
    <t>swsh9</t>
  </si>
  <si>
    <t>Strahlende Sterne</t>
  </si>
  <si>
    <t>BRS</t>
  </si>
  <si>
    <t>swsh9tg</t>
  </si>
  <si>
    <t>Brilliant Stars Trainer Gallery</t>
  </si>
  <si>
    <t>swsh8</t>
  </si>
  <si>
    <t>Fusions Angriff</t>
  </si>
  <si>
    <t>FST</t>
  </si>
  <si>
    <t>cel25</t>
  </si>
  <si>
    <t>Celebrations</t>
  </si>
  <si>
    <t>CEL</t>
  </si>
  <si>
    <t>cel25c</t>
  </si>
  <si>
    <t>swsh7</t>
  </si>
  <si>
    <t>Drachenwandel</t>
  </si>
  <si>
    <t>EVS</t>
  </si>
  <si>
    <t>swsh6</t>
  </si>
  <si>
    <t>Schaurige Herrschaft</t>
  </si>
  <si>
    <t>CRE</t>
  </si>
  <si>
    <t>swsh5</t>
  </si>
  <si>
    <t>Kampfstile</t>
  </si>
  <si>
    <t>BST</t>
  </si>
  <si>
    <t>swsh45</t>
  </si>
  <si>
    <t>Glänzendes Schicksal</t>
  </si>
  <si>
    <t>SHF</t>
  </si>
  <si>
    <t>swsh45sv</t>
  </si>
  <si>
    <t>Shining Fates Shiny Vault</t>
  </si>
  <si>
    <t>mcd21</t>
  </si>
  <si>
    <t>McDonald's Collection 2021</t>
  </si>
  <si>
    <t>swsh4</t>
  </si>
  <si>
    <t>Farbenschock</t>
  </si>
  <si>
    <t>VIV</t>
  </si>
  <si>
    <t>swsh35</t>
  </si>
  <si>
    <t>Weg des Champs</t>
  </si>
  <si>
    <t>CPA</t>
  </si>
  <si>
    <t>fut20</t>
  </si>
  <si>
    <t>Pokémon Futsal Collection</t>
  </si>
  <si>
    <t>FUT20</t>
  </si>
  <si>
    <t>swsh3</t>
  </si>
  <si>
    <t>Flammende Finsternis</t>
  </si>
  <si>
    <t>DAA</t>
  </si>
  <si>
    <t>swsh2</t>
  </si>
  <si>
    <t>Clash der Rebellen</t>
  </si>
  <si>
    <t>RCL</t>
  </si>
  <si>
    <t>swsh1</t>
  </si>
  <si>
    <t>Schwert &amp; Schild</t>
  </si>
  <si>
    <t>SSH</t>
  </si>
  <si>
    <t>swshp</t>
  </si>
  <si>
    <t>SCSC Promokarten</t>
  </si>
  <si>
    <t>PR-SW</t>
  </si>
  <si>
    <t>sm12</t>
  </si>
  <si>
    <t>Welten im Wandel</t>
  </si>
  <si>
    <t>Sun &amp; Moon</t>
  </si>
  <si>
    <t>CEC</t>
  </si>
  <si>
    <t>mcd19</t>
  </si>
  <si>
    <t>McDonald's Collection 2019</t>
  </si>
  <si>
    <t>sm115</t>
  </si>
  <si>
    <t>Verborgenes Schicksal</t>
  </si>
  <si>
    <t>HIF</t>
  </si>
  <si>
    <t>sma</t>
  </si>
  <si>
    <t>Gelbes A-Alternativkarte</t>
  </si>
  <si>
    <t>sm11</t>
  </si>
  <si>
    <t>Bund der Gleichgesinnten</t>
  </si>
  <si>
    <t>UNM</t>
  </si>
  <si>
    <t>sm10</t>
  </si>
  <si>
    <t>Kräfte im Einklang</t>
  </si>
  <si>
    <t>UNB</t>
  </si>
  <si>
    <t>det1</t>
  </si>
  <si>
    <t>Meisterdetektiv Pikachu</t>
  </si>
  <si>
    <t>DET</t>
  </si>
  <si>
    <t>sm9</t>
  </si>
  <si>
    <t>Teams Sind Trumpf</t>
  </si>
  <si>
    <t>TEU</t>
  </si>
  <si>
    <t>sm8</t>
  </si>
  <si>
    <t>Echo des Donners</t>
  </si>
  <si>
    <t>LOT</t>
  </si>
  <si>
    <t>mcd18</t>
  </si>
  <si>
    <t>McDonald's Collection 2018</t>
  </si>
  <si>
    <t>sm75</t>
  </si>
  <si>
    <t>Majestät Der Drachen</t>
  </si>
  <si>
    <t>DRM</t>
  </si>
  <si>
    <t>sm7</t>
  </si>
  <si>
    <t>Sturm Am Firmament</t>
  </si>
  <si>
    <t>CES</t>
  </si>
  <si>
    <t>sm6</t>
  </si>
  <si>
    <t>Grauen Der Lichtfinsternis</t>
  </si>
  <si>
    <t>FLI</t>
  </si>
  <si>
    <t>sm5</t>
  </si>
  <si>
    <t>Ultra-Prisma</t>
  </si>
  <si>
    <t>UPR</t>
  </si>
  <si>
    <t>mcd17</t>
  </si>
  <si>
    <t>McDonald's Collection 2017</t>
  </si>
  <si>
    <t>sm4</t>
  </si>
  <si>
    <t>Aufziehen der Sturmröte</t>
  </si>
  <si>
    <t>CIN</t>
  </si>
  <si>
    <t>sm35</t>
  </si>
  <si>
    <t>Schimmernde Legenden</t>
  </si>
  <si>
    <t>SLG</t>
  </si>
  <si>
    <t>sm3</t>
  </si>
  <si>
    <t>Nacht in Flammen</t>
  </si>
  <si>
    <t>BUS</t>
  </si>
  <si>
    <t>sm2</t>
  </si>
  <si>
    <t>Stunde der Wächter</t>
  </si>
  <si>
    <t>GRI</t>
  </si>
  <si>
    <t>sm1</t>
  </si>
  <si>
    <t>Sonne &amp; Mond</t>
  </si>
  <si>
    <t>SUM</t>
  </si>
  <si>
    <t>smp</t>
  </si>
  <si>
    <t>SM Promokarten</t>
  </si>
  <si>
    <t>PR-SM</t>
  </si>
  <si>
    <t>xy12</t>
  </si>
  <si>
    <t>Evolution</t>
  </si>
  <si>
    <t>XY</t>
  </si>
  <si>
    <t>EVO</t>
  </si>
  <si>
    <t>mcd16</t>
  </si>
  <si>
    <t>McDonald's Collection 2016</t>
  </si>
  <si>
    <t>xy11</t>
  </si>
  <si>
    <t>Dampfkessel</t>
  </si>
  <si>
    <t>STS</t>
  </si>
  <si>
    <t>xy10</t>
  </si>
  <si>
    <t>Schicksalsschmiede</t>
  </si>
  <si>
    <t>FCO</t>
  </si>
  <si>
    <t>g1</t>
  </si>
  <si>
    <t>Generationen</t>
  </si>
  <si>
    <t>GEN</t>
  </si>
  <si>
    <t>xy9</t>
  </si>
  <si>
    <t>TURBOfieber</t>
  </si>
  <si>
    <t>BKP</t>
  </si>
  <si>
    <t>mcd15</t>
  </si>
  <si>
    <t>McDonald's Collection 2015</t>
  </si>
  <si>
    <t>xy8</t>
  </si>
  <si>
    <t>TURBOstart</t>
  </si>
  <si>
    <t>BKT</t>
  </si>
  <si>
    <t>xy7</t>
  </si>
  <si>
    <t>Ewiger Anfang</t>
  </si>
  <si>
    <t>AOR</t>
  </si>
  <si>
    <t>xy6</t>
  </si>
  <si>
    <t>Drachenleuchten</t>
  </si>
  <si>
    <t>ROS</t>
  </si>
  <si>
    <t>dc1</t>
  </si>
  <si>
    <t>Double Crisis</t>
  </si>
  <si>
    <t>DCR</t>
  </si>
  <si>
    <t>xy5</t>
  </si>
  <si>
    <t>Protoshock</t>
  </si>
  <si>
    <t>PRC</t>
  </si>
  <si>
    <t>xy4</t>
  </si>
  <si>
    <t>Phantomkräfte</t>
  </si>
  <si>
    <t>PHF</t>
  </si>
  <si>
    <t>xy3</t>
  </si>
  <si>
    <t>Fliegende Fäuste</t>
  </si>
  <si>
    <t>FFI</t>
  </si>
  <si>
    <t>mcd14</t>
  </si>
  <si>
    <t>McDonald's Collection 2014</t>
  </si>
  <si>
    <t>xy2</t>
  </si>
  <si>
    <t>Flammenmeer</t>
  </si>
  <si>
    <t>FLF</t>
  </si>
  <si>
    <t>xy1</t>
  </si>
  <si>
    <t>xy0</t>
  </si>
  <si>
    <t>Willkommen in Kalos</t>
  </si>
  <si>
    <t>KSS</t>
  </si>
  <si>
    <t>bw11</t>
  </si>
  <si>
    <t>Legendary Treasures</t>
  </si>
  <si>
    <t>Black &amp; White</t>
  </si>
  <si>
    <t>LTR</t>
  </si>
  <si>
    <t>xyp</t>
  </si>
  <si>
    <t>XY Promokarten</t>
  </si>
  <si>
    <t>PR-XY</t>
  </si>
  <si>
    <t>bw10</t>
  </si>
  <si>
    <t>Plasma-Blaster</t>
  </si>
  <si>
    <t>PLB</t>
  </si>
  <si>
    <t>bw9</t>
  </si>
  <si>
    <t>Plasma-Frost</t>
  </si>
  <si>
    <t>PLF</t>
  </si>
  <si>
    <t>bw8</t>
  </si>
  <si>
    <t>Plasma-Sturm</t>
  </si>
  <si>
    <t>PLS</t>
  </si>
  <si>
    <t>bw7</t>
  </si>
  <si>
    <t>Überschrittene Schwellen</t>
  </si>
  <si>
    <t>BCR</t>
  </si>
  <si>
    <t>dv1</t>
  </si>
  <si>
    <t>Drachengruft</t>
  </si>
  <si>
    <t>DRV</t>
  </si>
  <si>
    <t>bw6</t>
  </si>
  <si>
    <t>Hoheit der Drachen</t>
  </si>
  <si>
    <t>DRX</t>
  </si>
  <si>
    <t>mcd12</t>
  </si>
  <si>
    <t>McDonald's Collection 2012</t>
  </si>
  <si>
    <t>bw5</t>
  </si>
  <si>
    <t>Erfoscher der Finsternis</t>
  </si>
  <si>
    <t>DEX</t>
  </si>
  <si>
    <t>bw4</t>
  </si>
  <si>
    <t>Kommende Schicksale</t>
  </si>
  <si>
    <t>NXD</t>
  </si>
  <si>
    <t>bw3</t>
  </si>
  <si>
    <t>Königliche Siege</t>
  </si>
  <si>
    <t>NVI</t>
  </si>
  <si>
    <t>bw2</t>
  </si>
  <si>
    <t>Aufstreben der Mächtigen</t>
  </si>
  <si>
    <t>EPO</t>
  </si>
  <si>
    <t>mcd11</t>
  </si>
  <si>
    <t>McDonald's Collection 2011</t>
  </si>
  <si>
    <t>bw1</t>
  </si>
  <si>
    <t>Schwarz &amp; Weiß</t>
  </si>
  <si>
    <t>BLW</t>
  </si>
  <si>
    <t>bwp</t>
  </si>
  <si>
    <t>SW Promokarten</t>
  </si>
  <si>
    <t>PR-BLW</t>
  </si>
  <si>
    <t>col1</t>
  </si>
  <si>
    <t>Ruf der Legenden</t>
  </si>
  <si>
    <t>HeartGold &amp; SoulSilver</t>
  </si>
  <si>
    <t>CL</t>
  </si>
  <si>
    <t>hgss4</t>
  </si>
  <si>
    <t>Triumph</t>
  </si>
  <si>
    <t>TM</t>
  </si>
  <si>
    <t>hgss3</t>
  </si>
  <si>
    <t>Unerschrocken</t>
  </si>
  <si>
    <t>UD</t>
  </si>
  <si>
    <t>hgss2</t>
  </si>
  <si>
    <t>Entfesselt</t>
  </si>
  <si>
    <t>UL</t>
  </si>
  <si>
    <t>hgss1</t>
  </si>
  <si>
    <t>HeartGold SoulSilver</t>
  </si>
  <si>
    <t>HS</t>
  </si>
  <si>
    <t>hsp</t>
  </si>
  <si>
    <t>HGSS Black Star Promos</t>
  </si>
  <si>
    <t>PR-HS</t>
  </si>
  <si>
    <t>ru1</t>
  </si>
  <si>
    <t>Pokémon Rumble</t>
  </si>
  <si>
    <t>pl4</t>
  </si>
  <si>
    <t>Arceus</t>
  </si>
  <si>
    <t>Platinum</t>
  </si>
  <si>
    <t>AR</t>
  </si>
  <si>
    <t>pl3</t>
  </si>
  <si>
    <t>Ultimative Sieger</t>
  </si>
  <si>
    <t>SV</t>
  </si>
  <si>
    <t>pl2</t>
  </si>
  <si>
    <t>Aufstieg der Rivalen</t>
  </si>
  <si>
    <t>RR</t>
  </si>
  <si>
    <t>pop9</t>
  </si>
  <si>
    <t>POP Series 9</t>
  </si>
  <si>
    <t>POP</t>
  </si>
  <si>
    <t>pl1</t>
  </si>
  <si>
    <t>Platin</t>
  </si>
  <si>
    <t>PL</t>
  </si>
  <si>
    <t>dp7</t>
  </si>
  <si>
    <t>Sturmtief</t>
  </si>
  <si>
    <t>Diamond &amp; Pearl</t>
  </si>
  <si>
    <t>SF</t>
  </si>
  <si>
    <t>pop8</t>
  </si>
  <si>
    <t>POP Series 8</t>
  </si>
  <si>
    <t>dp6</t>
  </si>
  <si>
    <t>Erwachte Legenden</t>
  </si>
  <si>
    <t>LA</t>
  </si>
  <si>
    <t>dp5</t>
  </si>
  <si>
    <t>Majestätischer Morgen</t>
  </si>
  <si>
    <t>MD</t>
  </si>
  <si>
    <t>pop7</t>
  </si>
  <si>
    <t>POP Series 7</t>
  </si>
  <si>
    <t>dp4</t>
  </si>
  <si>
    <t>Epische Begegnungen</t>
  </si>
  <si>
    <t>GE</t>
  </si>
  <si>
    <t>dp3</t>
  </si>
  <si>
    <t>Rätselhafte Wunder</t>
  </si>
  <si>
    <t>SW</t>
  </si>
  <si>
    <t>pop6</t>
  </si>
  <si>
    <t>POP Series 6</t>
  </si>
  <si>
    <t>dp2</t>
  </si>
  <si>
    <t>Geheimnisvolle Schätze</t>
  </si>
  <si>
    <t>MT</t>
  </si>
  <si>
    <t>dp1</t>
  </si>
  <si>
    <t>Diamant &amp; Perl</t>
  </si>
  <si>
    <t>DP</t>
  </si>
  <si>
    <t>dpp</t>
  </si>
  <si>
    <t>Promo DP</t>
  </si>
  <si>
    <t>PR-DPP</t>
  </si>
  <si>
    <t>pop5</t>
  </si>
  <si>
    <t>POP Series 5</t>
  </si>
  <si>
    <t>ex16</t>
  </si>
  <si>
    <t>EX Power Keepers</t>
  </si>
  <si>
    <t>EX</t>
  </si>
  <si>
    <t>PK</t>
  </si>
  <si>
    <t>ex15</t>
  </si>
  <si>
    <t>EX Dragon Frontiers</t>
  </si>
  <si>
    <t>DF</t>
  </si>
  <si>
    <t>ex14</t>
  </si>
  <si>
    <t>EX Crystal Guardians</t>
  </si>
  <si>
    <t>CG</t>
  </si>
  <si>
    <t>pop4</t>
  </si>
  <si>
    <t>POP Series 4</t>
  </si>
  <si>
    <t>ex13</t>
  </si>
  <si>
    <t>EX Holon Phantoms</t>
  </si>
  <si>
    <t>HP</t>
  </si>
  <si>
    <t>pop3</t>
  </si>
  <si>
    <t>POP Series 3</t>
  </si>
  <si>
    <t>tk2a</t>
  </si>
  <si>
    <t>EX Trainer Kit 2 Plusle</t>
  </si>
  <si>
    <t>tk2b</t>
  </si>
  <si>
    <t>EX Trainer Kit 2 Minun</t>
  </si>
  <si>
    <t>ex12</t>
  </si>
  <si>
    <t>EX Legend Maker</t>
  </si>
  <si>
    <t>LM</t>
  </si>
  <si>
    <t>ex11</t>
  </si>
  <si>
    <t>EX Delta Species</t>
  </si>
  <si>
    <t>DS</t>
  </si>
  <si>
    <t>ex10</t>
  </si>
  <si>
    <t>EX Verborgene Mächte</t>
  </si>
  <si>
    <t>UF</t>
  </si>
  <si>
    <t>pop2</t>
  </si>
  <si>
    <t>POP Series 2</t>
  </si>
  <si>
    <t>ex9</t>
  </si>
  <si>
    <t>EX Smaragd</t>
  </si>
  <si>
    <t>EM</t>
  </si>
  <si>
    <t>ex8</t>
  </si>
  <si>
    <t>EX Deoxys</t>
  </si>
  <si>
    <t>DX</t>
  </si>
  <si>
    <t>ex7</t>
  </si>
  <si>
    <t>Team Rocket</t>
  </si>
  <si>
    <t>TRR</t>
  </si>
  <si>
    <t>ex6</t>
  </si>
  <si>
    <t>EX Feuerrot &amp; Blattgrün</t>
  </si>
  <si>
    <t>RG</t>
  </si>
  <si>
    <t>pop1</t>
  </si>
  <si>
    <t>POP Series 1</t>
  </si>
  <si>
    <t>tk1a</t>
  </si>
  <si>
    <t>EX Trainer Kit Latias</t>
  </si>
  <si>
    <t>tk1b</t>
  </si>
  <si>
    <t>EX Trainer Kit Latios</t>
  </si>
  <si>
    <t>ex5</t>
  </si>
  <si>
    <t>Hidden Legends</t>
  </si>
  <si>
    <t>HL</t>
  </si>
  <si>
    <t>ex4</t>
  </si>
  <si>
    <t>EX Team Magma vs Team Aqua</t>
  </si>
  <si>
    <t>MA</t>
  </si>
  <si>
    <t>ex3</t>
  </si>
  <si>
    <t>EX Drache</t>
  </si>
  <si>
    <t>DR</t>
  </si>
  <si>
    <t>np</t>
  </si>
  <si>
    <t>Nintendo Black Star Promos</t>
  </si>
  <si>
    <t>NP</t>
  </si>
  <si>
    <t>PR-NP</t>
  </si>
  <si>
    <t>ex2</t>
  </si>
  <si>
    <t>EX Sandsturm</t>
  </si>
  <si>
    <t>SS</t>
  </si>
  <si>
    <t>ex1</t>
  </si>
  <si>
    <t>EX Rubin &amp; Saphir</t>
  </si>
  <si>
    <t>RS</t>
  </si>
  <si>
    <t>ecard3</t>
  </si>
  <si>
    <t>Skyridge</t>
  </si>
  <si>
    <t>E-Card</t>
  </si>
  <si>
    <t>SK</t>
  </si>
  <si>
    <t>ecard2</t>
  </si>
  <si>
    <t>Aquapolis</t>
  </si>
  <si>
    <t>AQ</t>
  </si>
  <si>
    <t>bp</t>
  </si>
  <si>
    <t>Best of Game</t>
  </si>
  <si>
    <t>BP</t>
  </si>
  <si>
    <t>ecard1</t>
  </si>
  <si>
    <t>Expedition</t>
  </si>
  <si>
    <t>base6</t>
  </si>
  <si>
    <t>Legendary Collection</t>
  </si>
  <si>
    <t>LC</t>
  </si>
  <si>
    <t>neo4</t>
  </si>
  <si>
    <t>Neo Destiny</t>
  </si>
  <si>
    <t>Neo</t>
  </si>
  <si>
    <t>N4</t>
  </si>
  <si>
    <t>neo3</t>
  </si>
  <si>
    <t>Neo Revelation</t>
  </si>
  <si>
    <t>N3</t>
  </si>
  <si>
    <t>si1</t>
  </si>
  <si>
    <t>Southern Islands</t>
  </si>
  <si>
    <t>neo2</t>
  </si>
  <si>
    <t>Neo Entdeckung</t>
  </si>
  <si>
    <t>N2</t>
  </si>
  <si>
    <t>neo1</t>
  </si>
  <si>
    <t>Neo Genesis</t>
  </si>
  <si>
    <t>N1</t>
  </si>
  <si>
    <t>gym2</t>
  </si>
  <si>
    <t>Gym Challenge</t>
  </si>
  <si>
    <t>Gym</t>
  </si>
  <si>
    <t>G2</t>
  </si>
  <si>
    <t>gym1</t>
  </si>
  <si>
    <t>Gym Heroes</t>
  </si>
  <si>
    <t>G1</t>
  </si>
  <si>
    <t>base5</t>
  </si>
  <si>
    <t>Base</t>
  </si>
  <si>
    <t>TR</t>
  </si>
  <si>
    <t>base4</t>
  </si>
  <si>
    <t>Base Set 2</t>
  </si>
  <si>
    <t>B2</t>
  </si>
  <si>
    <t>base3</t>
  </si>
  <si>
    <t>Fossil</t>
  </si>
  <si>
    <t>FO</t>
  </si>
  <si>
    <t>basep</t>
  </si>
  <si>
    <t>Wizards Black Star Promos</t>
  </si>
  <si>
    <t>PR</t>
  </si>
  <si>
    <t>base2</t>
  </si>
  <si>
    <t>Dschungel</t>
  </si>
  <si>
    <t>JU</t>
  </si>
  <si>
    <t>base1</t>
  </si>
  <si>
    <t>Grundset</t>
  </si>
  <si>
    <t>BS</t>
  </si>
  <si>
    <t>mep</t>
  </si>
  <si>
    <t>MEP Black Star Promos</t>
  </si>
  <si>
    <t>---</t>
  </si>
  <si>
    <t>MEP</t>
  </si>
  <si>
    <t>TCGDEX-exu</t>
  </si>
  <si>
    <t>EX Verborgene Mächte Icognito</t>
  </si>
  <si>
    <t>TCGDEX-hgssp</t>
  </si>
  <si>
    <t>Promo HGSS</t>
  </si>
  <si>
    <t>TCGDEX-xya</t>
  </si>
  <si>
    <t>Gelbes-A-Alternativkarten</t>
  </si>
  <si>
    <t>TCGDEX-A1</t>
  </si>
  <si>
    <t>Unschlagbare Gene</t>
  </si>
  <si>
    <t>TCGDEX-P-A</t>
  </si>
  <si>
    <t>PROMO-A</t>
  </si>
  <si>
    <t>TCGDEX-A1a</t>
  </si>
  <si>
    <t>Mysteriöse Insel</t>
  </si>
  <si>
    <t>TCGDEX-A2</t>
  </si>
  <si>
    <t>Kollision von Raum und Zeit</t>
  </si>
  <si>
    <t>TCGDEX-A2a</t>
  </si>
  <si>
    <t>Licht des Triumphs</t>
  </si>
  <si>
    <t>TCGDEX-A2b</t>
  </si>
  <si>
    <t>Glänzendes Festival</t>
  </si>
  <si>
    <t>TCGDEX-A3</t>
  </si>
  <si>
    <t>Hüter des Firmaments</t>
  </si>
  <si>
    <t>Schwarze Blitze</t>
  </si>
  <si>
    <t>TCGDEX-sv10.5w</t>
  </si>
  <si>
    <t>Weiße Flammen</t>
  </si>
  <si>
    <t>TCGDEX-A4a</t>
  </si>
  <si>
    <t>Verborgene Quelle</t>
  </si>
  <si>
    <t>TCGDEX-B1a</t>
  </si>
  <si>
    <t>Feuerrote Flammen</t>
  </si>
  <si>
    <t>TCGDEX-B2</t>
  </si>
  <si>
    <t>Traumhafte Parade</t>
  </si>
  <si>
    <t>Pokémon‑Sammelkartenspiel‑Pocket</t>
  </si>
  <si>
    <t>Pokémon TCG Sammlungsübersicht</t>
  </si>
  <si>
    <t>Gesamtzahl Karten (alle Sets): 4096 | Gesammelte Karten: 2737 | Gesammelte RH Karten: 2189 | Gesamtabschluss: 67 %</t>
  </si>
  <si>
    <t>Gesammelte Karten</t>
  </si>
  <si>
    <t>Gesammelte RH Karten</t>
  </si>
  <si>
    <t>Abschluss-Prozentsatz</t>
  </si>
  <si>
    <t>Zenit Galarian Gallery</t>
  </si>
  <si>
    <t>SVP Black Star Promos (Set-ID: svp)</t>
  </si>
  <si>
    <t xml:space="preserve">Gesamtzahl Karten: 200 | Gesammelte Karten: 93 | Gesammelte RH Karten: 1 | Abschluss-Prozentsatz: 47 % | Abkürzung: </t>
  </si>
  <si>
    <t>6</t>
  </si>
  <si>
    <t>Pamomamo</t>
  </si>
  <si>
    <t>8</t>
  </si>
  <si>
    <t>Knattatox</t>
  </si>
  <si>
    <t>15</t>
  </si>
  <si>
    <t>Waaty</t>
  </si>
  <si>
    <t>16</t>
  </si>
  <si>
    <t>Ampharos-ex</t>
  </si>
  <si>
    <t>17</t>
  </si>
  <si>
    <t>Lucario-ex</t>
  </si>
  <si>
    <t>19</t>
  </si>
  <si>
    <t>Espinodon</t>
  </si>
  <si>
    <t>20</t>
  </si>
  <si>
    <t>Granforgita</t>
  </si>
  <si>
    <t>21</t>
  </si>
  <si>
    <t>Kramurx</t>
  </si>
  <si>
    <t>22</t>
  </si>
  <si>
    <t>Pelipper</t>
  </si>
  <si>
    <t>23</t>
  </si>
  <si>
    <t>Olini</t>
  </si>
  <si>
    <t>24</t>
  </si>
  <si>
    <t>Fukano</t>
  </si>
  <si>
    <t>28</t>
  </si>
  <si>
    <t>Miraidon-ex</t>
  </si>
  <si>
    <t>29</t>
  </si>
  <si>
    <t>Koraidon-ex</t>
  </si>
  <si>
    <t>30</t>
  </si>
  <si>
    <t>Baojian-ex</t>
  </si>
  <si>
    <t>31</t>
  </si>
  <si>
    <t>Granforgita-ex</t>
  </si>
  <si>
    <t>32</t>
  </si>
  <si>
    <t>Epitaff-ex</t>
  </si>
  <si>
    <t>33</t>
  </si>
  <si>
    <t>Maskagato-ex</t>
  </si>
  <si>
    <t>34</t>
  </si>
  <si>
    <t>Skelokrok-ex</t>
  </si>
  <si>
    <t>35</t>
  </si>
  <si>
    <t>Bailonda-ex</t>
  </si>
  <si>
    <t>36</t>
  </si>
  <si>
    <t>Delfinator</t>
  </si>
  <si>
    <t>37</t>
  </si>
  <si>
    <t>Pii</t>
  </si>
  <si>
    <t>38</t>
  </si>
  <si>
    <t>Togekiss</t>
  </si>
  <si>
    <t>39</t>
  </si>
  <si>
    <t>Flunkifer</t>
  </si>
  <si>
    <t>40</t>
  </si>
  <si>
    <t>Pamo</t>
  </si>
  <si>
    <t>41</t>
  </si>
  <si>
    <t>Paldea-Felino</t>
  </si>
  <si>
    <t>42</t>
  </si>
  <si>
    <t>Friedwuff</t>
  </si>
  <si>
    <t>45</t>
  </si>
  <si>
    <t>Paradies Resort</t>
  </si>
  <si>
    <t>54</t>
  </si>
  <si>
    <t>Quajutsu-ex</t>
  </si>
  <si>
    <t>55</t>
  </si>
  <si>
    <t>Kangama-ex</t>
  </si>
  <si>
    <t>57</t>
  </si>
  <si>
    <t>Yuyu</t>
  </si>
  <si>
    <t>58</t>
  </si>
  <si>
    <t>Eisenbündel</t>
  </si>
  <si>
    <t>59</t>
  </si>
  <si>
    <t>Xatu</t>
  </si>
  <si>
    <t>60</t>
  </si>
  <si>
    <t>Durengard</t>
  </si>
  <si>
    <t>61</t>
  </si>
  <si>
    <t>Tannza</t>
  </si>
  <si>
    <t>62</t>
  </si>
  <si>
    <t>Fatalitee</t>
  </si>
  <si>
    <t>79</t>
  </si>
  <si>
    <t>Krokel</t>
  </si>
  <si>
    <t>80</t>
  </si>
  <si>
    <t>Lokroko</t>
  </si>
  <si>
    <t>81</t>
  </si>
  <si>
    <t>82</t>
  </si>
  <si>
    <t>Kwaks</t>
  </si>
  <si>
    <t>83</t>
  </si>
  <si>
    <t>Fuentente</t>
  </si>
  <si>
    <t>84</t>
  </si>
  <si>
    <t>85</t>
  </si>
  <si>
    <t>Pikachu with Grey Felt Hat</t>
  </si>
  <si>
    <t>86</t>
  </si>
  <si>
    <t>Mastifioso-ex</t>
  </si>
  <si>
    <t>87</t>
  </si>
  <si>
    <t>Felori-ex</t>
  </si>
  <si>
    <t>88</t>
  </si>
  <si>
    <t>Pikachu</t>
  </si>
  <si>
    <t>89</t>
  </si>
  <si>
    <t>Impergator</t>
  </si>
  <si>
    <t>90</t>
  </si>
  <si>
    <t>Metang</t>
  </si>
  <si>
    <t>91</t>
  </si>
  <si>
    <t>Koraidon</t>
  </si>
  <si>
    <t>92</t>
  </si>
  <si>
    <t>Miraidon</t>
  </si>
  <si>
    <t>93</t>
  </si>
  <si>
    <t>Kanivanha</t>
  </si>
  <si>
    <t>94</t>
  </si>
  <si>
    <t>Wampitz</t>
  </si>
  <si>
    <t>101</t>
  </si>
  <si>
    <t>102</t>
  </si>
  <si>
    <t>Oddish</t>
  </si>
  <si>
    <t>103</t>
  </si>
  <si>
    <t>Hundemon-ex</t>
  </si>
  <si>
    <t>104</t>
  </si>
  <si>
    <t>Melmetal-ex</t>
  </si>
  <si>
    <t>105</t>
  </si>
  <si>
    <t>Crimanzo-ex</t>
  </si>
  <si>
    <t>106</t>
  </si>
  <si>
    <t>Pikachu-ex</t>
  </si>
  <si>
    <t>107</t>
  </si>
  <si>
    <t>Voltilamm</t>
  </si>
  <si>
    <t>108</t>
  </si>
  <si>
    <t>109</t>
  </si>
  <si>
    <t>Ampharos</t>
  </si>
  <si>
    <t>110</t>
  </si>
  <si>
    <t>Darkrai-ex</t>
  </si>
  <si>
    <t>111</t>
  </si>
  <si>
    <t>Gladiantri</t>
  </si>
  <si>
    <t>112</t>
  </si>
  <si>
    <t>Caesurio</t>
  </si>
  <si>
    <t>113</t>
  </si>
  <si>
    <t>Gladimperio</t>
  </si>
  <si>
    <t>115</t>
  </si>
  <si>
    <t>Chimstix</t>
  </si>
  <si>
    <t>117</t>
  </si>
  <si>
    <t>Frosdedje</t>
  </si>
  <si>
    <t>119</t>
  </si>
  <si>
    <t>Toxel</t>
  </si>
  <si>
    <t>120</t>
  </si>
  <si>
    <t>Pupitar</t>
  </si>
  <si>
    <t>125</t>
  </si>
  <si>
    <t>127</t>
  </si>
  <si>
    <t>Windewoge-ex</t>
  </si>
  <si>
    <t>133</t>
  </si>
  <si>
    <t>Ledian</t>
  </si>
  <si>
    <t>134</t>
  </si>
  <si>
    <t>Krawell</t>
  </si>
  <si>
    <t>136</t>
  </si>
  <si>
    <t>Bisofank</t>
  </si>
  <si>
    <t>137</t>
  </si>
  <si>
    <t>Seeper</t>
  </si>
  <si>
    <t>138</t>
  </si>
  <si>
    <t>Porygon2</t>
  </si>
  <si>
    <t>139</t>
  </si>
  <si>
    <t>Latias</t>
  </si>
  <si>
    <t>142</t>
  </si>
  <si>
    <t>Victini-ex</t>
  </si>
  <si>
    <t>143</t>
  </si>
  <si>
    <t>144</t>
  </si>
  <si>
    <t>Keilflamme-ex</t>
  </si>
  <si>
    <t>146</t>
  </si>
  <si>
    <t>Eisenhaupt-ex</t>
  </si>
  <si>
    <t>147</t>
  </si>
  <si>
    <t>Eisenfels-ex</t>
  </si>
  <si>
    <t>148</t>
  </si>
  <si>
    <t>150</t>
  </si>
  <si>
    <t>153</t>
  </si>
  <si>
    <t>Magneton</t>
  </si>
  <si>
    <t>154</t>
  </si>
  <si>
    <t>Servol</t>
  </si>
  <si>
    <t>155</t>
  </si>
  <si>
    <t>Felino</t>
  </si>
  <si>
    <t>158</t>
  </si>
  <si>
    <t>Pachirisu</t>
  </si>
  <si>
    <t>160</t>
  </si>
  <si>
    <t>Krawalloro-ex</t>
  </si>
  <si>
    <t>162</t>
  </si>
  <si>
    <t>Friedwuff-ex</t>
  </si>
  <si>
    <t>174</t>
  </si>
  <si>
    <t>Evoli-ex</t>
  </si>
  <si>
    <t>178</t>
  </si>
  <si>
    <t>Kyogre-ex</t>
  </si>
  <si>
    <t>179</t>
  </si>
  <si>
    <t>Xerneas-ex</t>
  </si>
  <si>
    <t>182</t>
  </si>
  <si>
    <t>Enigmaras Voltrean</t>
  </si>
  <si>
    <t>184</t>
  </si>
  <si>
    <t>Hops Relaxo</t>
  </si>
  <si>
    <t>185</t>
  </si>
  <si>
    <t>Yanma</t>
  </si>
  <si>
    <t>186</t>
  </si>
  <si>
    <t>Zurrokex</t>
  </si>
  <si>
    <t>194</t>
  </si>
  <si>
    <t>Enigmaras Wampitz-ex</t>
  </si>
  <si>
    <t>195</t>
  </si>
  <si>
    <t>Lillys Piepi-ex</t>
  </si>
  <si>
    <t>196</t>
  </si>
  <si>
    <t>Charizard ex</t>
  </si>
  <si>
    <t>197</t>
  </si>
  <si>
    <t>198</t>
  </si>
  <si>
    <t>Zacian-ex</t>
  </si>
  <si>
    <t>199</t>
  </si>
  <si>
    <t>Zarude</t>
  </si>
  <si>
    <t>200</t>
  </si>
  <si>
    <t>Eevee</t>
  </si>
  <si>
    <t>201</t>
  </si>
  <si>
    <t>Zebstrika</t>
  </si>
  <si>
    <t>202</t>
  </si>
  <si>
    <t>Kangaskhan</t>
  </si>
  <si>
    <t>203</t>
  </si>
  <si>
    <t>Team Rocket's Wobbuffet</t>
  </si>
  <si>
    <t>206</t>
  </si>
  <si>
    <t>Marys Morpeko</t>
  </si>
  <si>
    <t>207</t>
  </si>
  <si>
    <t>Troys Tanhel</t>
  </si>
  <si>
    <t>1</t>
  </si>
  <si>
    <t>Felori</t>
  </si>
  <si>
    <t>2</t>
  </si>
  <si>
    <t>3</t>
  </si>
  <si>
    <t>4</t>
  </si>
  <si>
    <t>Mimigma-ex</t>
  </si>
  <si>
    <t>5</t>
  </si>
  <si>
    <t>Bailonda</t>
  </si>
  <si>
    <t>7</t>
  </si>
  <si>
    <t>Resladero</t>
  </si>
  <si>
    <t>9</t>
  </si>
  <si>
    <t>Spinsidias</t>
  </si>
  <si>
    <t>10</t>
  </si>
  <si>
    <t>Psiopatra</t>
  </si>
  <si>
    <t>11</t>
  </si>
  <si>
    <t>Arkani</t>
  </si>
  <si>
    <t>12</t>
  </si>
  <si>
    <t>Heerashai</t>
  </si>
  <si>
    <t>13</t>
  </si>
  <si>
    <t>14</t>
  </si>
  <si>
    <t>18</t>
  </si>
  <si>
    <t>Mopex-ex</t>
  </si>
  <si>
    <t>25</t>
  </si>
  <si>
    <t>Forgita</t>
  </si>
  <si>
    <t>26</t>
  </si>
  <si>
    <t>Knattox</t>
  </si>
  <si>
    <t>27</t>
  </si>
  <si>
    <t>43</t>
  </si>
  <si>
    <t>Evoli</t>
  </si>
  <si>
    <t>44</t>
  </si>
  <si>
    <t>Glumanda</t>
  </si>
  <si>
    <t>46</t>
  </si>
  <si>
    <t>Bisasam</t>
  </si>
  <si>
    <t>47</t>
  </si>
  <si>
    <t>48</t>
  </si>
  <si>
    <t>Schiggy</t>
  </si>
  <si>
    <t>49</t>
  </si>
  <si>
    <t>Zapdos-ex</t>
  </si>
  <si>
    <t>50</t>
  </si>
  <si>
    <t>Simsala-ex</t>
  </si>
  <si>
    <t>51</t>
  </si>
  <si>
    <t>Relaxo</t>
  </si>
  <si>
    <t>52</t>
  </si>
  <si>
    <t>Mewtu</t>
  </si>
  <si>
    <t>53</t>
  </si>
  <si>
    <t>Mew-ex</t>
  </si>
  <si>
    <t>56</t>
  </si>
  <si>
    <t>Glurak-ex</t>
  </si>
  <si>
    <t>63</t>
  </si>
  <si>
    <t>Kolowal</t>
  </si>
  <si>
    <t>64</t>
  </si>
  <si>
    <t>Cryospino</t>
  </si>
  <si>
    <t>65</t>
  </si>
  <si>
    <t>Brüllschweif</t>
  </si>
  <si>
    <t>66</t>
  </si>
  <si>
    <t>67</t>
  </si>
  <si>
    <t>Donnersichel-ex</t>
  </si>
  <si>
    <t>68</t>
  </si>
  <si>
    <t>Eisenkrieger-ex</t>
  </si>
  <si>
    <t>69</t>
  </si>
  <si>
    <t>Hefel</t>
  </si>
  <si>
    <t>70</t>
  </si>
  <si>
    <t>Gruff</t>
  </si>
  <si>
    <t>71</t>
  </si>
  <si>
    <t>Mobtiff</t>
  </si>
  <si>
    <t>72</t>
  </si>
  <si>
    <t>Riesenzahn-ex</t>
  </si>
  <si>
    <t>73</t>
  </si>
  <si>
    <t>Eisenrad-ex</t>
  </si>
  <si>
    <t>74</t>
  </si>
  <si>
    <t>75</t>
  </si>
  <si>
    <t>Mimigma</t>
  </si>
  <si>
    <t>76</t>
  </si>
  <si>
    <t>77</t>
  </si>
  <si>
    <t>Feliospa</t>
  </si>
  <si>
    <t>78</t>
  </si>
  <si>
    <t>95</t>
  </si>
  <si>
    <t>96</t>
  </si>
  <si>
    <t>Mopex</t>
  </si>
  <si>
    <t>97</t>
  </si>
  <si>
    <t>Flatterhaar</t>
  </si>
  <si>
    <t>98</t>
  </si>
  <si>
    <t>Eisendorn</t>
  </si>
  <si>
    <t>99</t>
  </si>
  <si>
    <t>Sproxi</t>
  </si>
  <si>
    <t>100</t>
  </si>
  <si>
    <t>Affiti-ex</t>
  </si>
  <si>
    <t>114</t>
  </si>
  <si>
    <t>Picknickerin</t>
  </si>
  <si>
    <t>116</t>
  </si>
  <si>
    <t>Panferno</t>
  </si>
  <si>
    <t>118</t>
  </si>
  <si>
    <t>Nigiragi</t>
  </si>
  <si>
    <t>121</t>
  </si>
  <si>
    <t>122</t>
  </si>
  <si>
    <t>123</t>
  </si>
  <si>
    <t>Türkisgrüne-Maske-Ogerpon</t>
  </si>
  <si>
    <t>124</t>
  </si>
  <si>
    <t>Enigmara</t>
  </si>
  <si>
    <t>126</t>
  </si>
  <si>
    <t>Delfinator-ex</t>
  </si>
  <si>
    <t>128</t>
  </si>
  <si>
    <t>Eisenblatt-ex</t>
  </si>
  <si>
    <t>129</t>
  </si>
  <si>
    <t>Infamomo</t>
  </si>
  <si>
    <t>130</t>
  </si>
  <si>
    <t>131</t>
  </si>
  <si>
    <t>Seedraking-ex</t>
  </si>
  <si>
    <t>132</t>
  </si>
  <si>
    <t>135</t>
  </si>
  <si>
    <t>Drifzepeli</t>
  </si>
  <si>
    <t>140</t>
  </si>
  <si>
    <t>141</t>
  </si>
  <si>
    <t>Noctuh</t>
  </si>
  <si>
    <t>145</t>
  </si>
  <si>
    <t>Furienblitz-ex</t>
  </si>
  <si>
    <t>149</t>
  </si>
  <si>
    <t>151</t>
  </si>
  <si>
    <t>Keilflamme</t>
  </si>
  <si>
    <t>152</t>
  </si>
  <si>
    <t>Baojian</t>
  </si>
  <si>
    <t>156</t>
  </si>
  <si>
    <t>Morlord</t>
  </si>
  <si>
    <t>157</t>
  </si>
  <si>
    <t>Zapdos</t>
  </si>
  <si>
    <t>159</t>
  </si>
  <si>
    <t>161</t>
  </si>
  <si>
    <t>163</t>
  </si>
  <si>
    <t>Liberlo-ex</t>
  </si>
  <si>
    <t>164</t>
  </si>
  <si>
    <t>Lapras-ex</t>
  </si>
  <si>
    <t>165</t>
  </si>
  <si>
    <t>Terapagos-ex</t>
  </si>
  <si>
    <t>166</t>
  </si>
  <si>
    <t>Türkisgrüne-Maske-Ogerpon-ex</t>
  </si>
  <si>
    <t>167</t>
  </si>
  <si>
    <t>Flamara</t>
  </si>
  <si>
    <t>168</t>
  </si>
  <si>
    <t>Aquana</t>
  </si>
  <si>
    <t>169</t>
  </si>
  <si>
    <t>Blitza</t>
  </si>
  <si>
    <t>170</t>
  </si>
  <si>
    <t>Folipurba</t>
  </si>
  <si>
    <t>171</t>
  </si>
  <si>
    <t>Glaziola</t>
  </si>
  <si>
    <t>172</t>
  </si>
  <si>
    <t>Feelinara</t>
  </si>
  <si>
    <t>173</t>
  </si>
  <si>
    <t>177</t>
  </si>
  <si>
    <t>Blutmond-Ursaluna-ex</t>
  </si>
  <si>
    <t>180</t>
  </si>
  <si>
    <t>Dialga-ex</t>
  </si>
  <si>
    <t>181</t>
  </si>
  <si>
    <t>Ns Flampivian</t>
  </si>
  <si>
    <t>183</t>
  </si>
  <si>
    <t>Lillys Bandelby</t>
  </si>
  <si>
    <t>187</t>
  </si>
  <si>
    <t>Yanmega</t>
  </si>
  <si>
    <t>188</t>
  </si>
  <si>
    <t>Irokex</t>
  </si>
  <si>
    <t>189</t>
  </si>
  <si>
    <t>Ns Zorua</t>
  </si>
  <si>
    <t>193</t>
  </si>
  <si>
    <t>Hops Zacian-ex</t>
  </si>
  <si>
    <t>Zenit der Könige (Set-ID: swsh12pt5)</t>
  </si>
  <si>
    <t>Gesamtzahl Karten: 160 | Gesammelte Karten: 155 | Gesammelte RH Karten: 96 | Abschluss-Prozentsatz: 97 % | Abkürzung: CRZ</t>
  </si>
  <si>
    <t>Freunde aus Hisui</t>
  </si>
  <si>
    <t>Wasser-Energie</t>
  </si>
  <si>
    <t>Elektro-Energie</t>
  </si>
  <si>
    <t>Kampf-Energie</t>
  </si>
  <si>
    <t>Metall-Energie</t>
  </si>
  <si>
    <t>Myrapla</t>
  </si>
  <si>
    <t>Duflor</t>
  </si>
  <si>
    <t>Blubella</t>
  </si>
  <si>
    <t>Tangela</t>
  </si>
  <si>
    <t>Sichlor</t>
  </si>
  <si>
    <t>Sonnkern</t>
  </si>
  <si>
    <t>Kikugi</t>
  </si>
  <si>
    <t>Coronospa</t>
  </si>
  <si>
    <t>Volcanion</t>
  </si>
  <si>
    <t>Molunk</t>
  </si>
  <si>
    <t>Jurob</t>
  </si>
  <si>
    <t>Galar-Pantimos</t>
  </si>
  <si>
    <t>Wailord</t>
  </si>
  <si>
    <t>Kyogre</t>
  </si>
  <si>
    <t>Sheinux</t>
  </si>
  <si>
    <t>Luxio</t>
  </si>
  <si>
    <t>Luxtra</t>
  </si>
  <si>
    <t>Zapplalek</t>
  </si>
  <si>
    <t>Zeraora</t>
  </si>
  <si>
    <t>Owei</t>
  </si>
  <si>
    <t>Kokowei</t>
  </si>
  <si>
    <t>Girafarig</t>
  </si>
  <si>
    <t>Lunastein</t>
  </si>
  <si>
    <t>Zwirrklop</t>
  </si>
  <si>
    <t>Puppance</t>
  </si>
  <si>
    <t>Pandagro</t>
  </si>
  <si>
    <t>Algitt</t>
  </si>
  <si>
    <t>Tandrak</t>
  </si>
  <si>
    <t>Hoopa</t>
  </si>
  <si>
    <t>Scherox</t>
  </si>
  <si>
    <t>Stollunior</t>
  </si>
  <si>
    <t>Stollrak</t>
  </si>
  <si>
    <t>Zacian</t>
  </si>
  <si>
    <t>Zamazenta</t>
  </si>
  <si>
    <t>Ditto</t>
  </si>
  <si>
    <t>Staralili</t>
  </si>
  <si>
    <t>Plaudagei</t>
  </si>
  <si>
    <t>Kommandutan</t>
  </si>
  <si>
    <t>Saida</t>
  </si>
  <si>
    <t>Schmetterhammer</t>
  </si>
  <si>
    <t>Buddel-Brüder</t>
  </si>
  <si>
    <t>Energie-Zugewinn</t>
  </si>
  <si>
    <t>Energiesuche</t>
  </si>
  <si>
    <t>Freunde aus Sinnoh</t>
  </si>
  <si>
    <t>Superball</t>
  </si>
  <si>
    <t>Hop</t>
  </si>
  <si>
    <t>Delion</t>
  </si>
  <si>
    <t>Nirgendwo-Sauger</t>
  </si>
  <si>
    <t>Pokéball</t>
  </si>
  <si>
    <t>Trank</t>
  </si>
  <si>
    <t>Roy</t>
  </si>
  <si>
    <t>Luft-Siegelstein</t>
  </si>
  <si>
    <t>Tausch</t>
  </si>
  <si>
    <t>Tangoloss</t>
  </si>
  <si>
    <t>Zirpurze</t>
  </si>
  <si>
    <t>Venuflibis</t>
  </si>
  <si>
    <t>Folipurba V</t>
  </si>
  <si>
    <t>Folipurba VSTAR</t>
  </si>
  <si>
    <t>Mabula</t>
  </si>
  <si>
    <t>Glurak V</t>
  </si>
  <si>
    <t>Glurak VSTAR</t>
  </si>
  <si>
    <t>Strahlendes Glurak</t>
  </si>
  <si>
    <t>Entei</t>
  </si>
  <si>
    <t>Grillchita V</t>
  </si>
  <si>
    <t>Grillchita VSTAR</t>
  </si>
  <si>
    <t>Ignivor</t>
  </si>
  <si>
    <t>Ramoth</t>
  </si>
  <si>
    <t>Amfira</t>
  </si>
  <si>
    <t>Wailmer</t>
  </si>
  <si>
    <t>Krebscorps</t>
  </si>
  <si>
    <t>Schneppke</t>
  </si>
  <si>
    <t>Liebiskus</t>
  </si>
  <si>
    <t>Kyogre V</t>
  </si>
  <si>
    <t>Glaziola V</t>
  </si>
  <si>
    <t>Rotom V</t>
  </si>
  <si>
    <t>Rotom VSTAR</t>
  </si>
  <si>
    <t>Emolga</t>
  </si>
  <si>
    <t>Eguana</t>
  </si>
  <si>
    <t>Elezard</t>
  </si>
  <si>
    <t>Strahlendes Akkup</t>
  </si>
  <si>
    <t>Zeraora V</t>
  </si>
  <si>
    <t>Zeraora VMAX</t>
  </si>
  <si>
    <t>Zeraora VSTAR</t>
  </si>
  <si>
    <t>Britzigel</t>
  </si>
  <si>
    <t>Mew V</t>
  </si>
  <si>
    <t>Kapu-Fala</t>
  </si>
  <si>
    <t>Silembrim V</t>
  </si>
  <si>
    <t>Silembrim VMAX</t>
  </si>
  <si>
    <t>Cupidos</t>
  </si>
  <si>
    <t>Georok</t>
  </si>
  <si>
    <t>Sonnfel</t>
  </si>
  <si>
    <t>Riolu</t>
  </si>
  <si>
    <t>Pam-Pam</t>
  </si>
  <si>
    <t>Wuffels</t>
  </si>
  <si>
    <t>Wolwerock</t>
  </si>
  <si>
    <t>Smogon</t>
  </si>
  <si>
    <t>Absol</t>
  </si>
  <si>
    <t>Felilou</t>
  </si>
  <si>
    <t>Kleoparda</t>
  </si>
  <si>
    <t>Rokkaiman</t>
  </si>
  <si>
    <t>Galar-Mauzi</t>
  </si>
  <si>
    <t>Galar-Mauzinger</t>
  </si>
  <si>
    <t>Stolloss</t>
  </si>
  <si>
    <t>Zacian V</t>
  </si>
  <si>
    <t>Zacian VSTAR</t>
  </si>
  <si>
    <t>Zamazenta V</t>
  </si>
  <si>
    <t>Zamazenta VSTAR</t>
  </si>
  <si>
    <t>Rayquaza V</t>
  </si>
  <si>
    <t>Rayquaza VMAX</t>
  </si>
  <si>
    <t>Duraludon V</t>
  </si>
  <si>
    <t>Duraludon VMAX</t>
  </si>
  <si>
    <t>Strahlendes Endynalos</t>
  </si>
  <si>
    <t>Tauros</t>
  </si>
  <si>
    <t>Evoli V</t>
  </si>
  <si>
    <t>Bidiza</t>
  </si>
  <si>
    <t>Regigigas V</t>
  </si>
  <si>
    <t>Regigigas VSTAR</t>
  </si>
  <si>
    <t>Shaymin</t>
  </si>
  <si>
    <t>Bissbark V</t>
  </si>
  <si>
    <t>Mangunior</t>
  </si>
  <si>
    <t>Manguspektor</t>
  </si>
  <si>
    <t>Schlaraffel V</t>
  </si>
  <si>
    <t>Wolly</t>
  </si>
  <si>
    <t>Zwollock</t>
  </si>
  <si>
    <t>Betys</t>
  </si>
  <si>
    <t>Energie-Umschalter</t>
  </si>
  <si>
    <t>Kate</t>
  </si>
  <si>
    <t>Pokémon-Fänger</t>
  </si>
  <si>
    <t>Sonderbonbon</t>
  </si>
  <si>
    <t>Rettungsbox</t>
  </si>
  <si>
    <t>Trekkingschuhe</t>
  </si>
  <si>
    <t>Hyperball</t>
  </si>
  <si>
    <t>Kamillas Glanz</t>
  </si>
  <si>
    <t>Forschung des Professors</t>
  </si>
  <si>
    <t>Volo</t>
  </si>
  <si>
    <t>Pflanze-Energie</t>
  </si>
  <si>
    <t>Feuer-Energie</t>
  </si>
  <si>
    <t>Psycho-Energie</t>
  </si>
  <si>
    <t>Finsternis-Energie</t>
  </si>
  <si>
    <t>Zenit Galarian Gallery (Set-ID: swsh12pt5gg)</t>
  </si>
  <si>
    <t xml:space="preserve">Gesamtzahl Karten: 70 | Gesammelte Karten: 62 | Gesammelte RH Karten: 62 | Abschluss-Prozentsatz: 89 % | Abkürzung: </t>
  </si>
  <si>
    <t>GG42</t>
  </si>
  <si>
    <t>GG44</t>
  </si>
  <si>
    <t>Mewtwo VSTAR</t>
  </si>
  <si>
    <t>GG46</t>
  </si>
  <si>
    <t>Deoxys VSTAR</t>
  </si>
  <si>
    <t>GG64</t>
  </si>
  <si>
    <t>Melony</t>
  </si>
  <si>
    <t>GG65</t>
  </si>
  <si>
    <t>Raihan</t>
  </si>
  <si>
    <t>GG67</t>
  </si>
  <si>
    <t>Origin Forme Palkia VSTAR</t>
  </si>
  <si>
    <t>GG69</t>
  </si>
  <si>
    <t>Giratina VSTAR</t>
  </si>
  <si>
    <t>GG70</t>
  </si>
  <si>
    <t>Arceus VSTAR</t>
  </si>
  <si>
    <t>GG1</t>
  </si>
  <si>
    <t>Hisuian Voltorb</t>
  </si>
  <si>
    <t>GG2</t>
  </si>
  <si>
    <t>Kricketune</t>
  </si>
  <si>
    <t>GG3</t>
  </si>
  <si>
    <t>Magmortar</t>
  </si>
  <si>
    <t>GG4</t>
  </si>
  <si>
    <t>Oricorio</t>
  </si>
  <si>
    <t>GG5</t>
  </si>
  <si>
    <t>Lapras</t>
  </si>
  <si>
    <t>GG6</t>
  </si>
  <si>
    <t>Manaphy</t>
  </si>
  <si>
    <t>GG7</t>
  </si>
  <si>
    <t>Keldeo</t>
  </si>
  <si>
    <t>GG8</t>
  </si>
  <si>
    <t>Electivire</t>
  </si>
  <si>
    <t>GG9</t>
  </si>
  <si>
    <t>Toxtricity</t>
  </si>
  <si>
    <t>GG10</t>
  </si>
  <si>
    <t>Mew</t>
  </si>
  <si>
    <t>GG11</t>
  </si>
  <si>
    <t>Lunatone</t>
  </si>
  <si>
    <t>GG12</t>
  </si>
  <si>
    <t>Deoxys</t>
  </si>
  <si>
    <t>GG13</t>
  </si>
  <si>
    <t>Diancie</t>
  </si>
  <si>
    <t>GG14</t>
  </si>
  <si>
    <t>Comfey</t>
  </si>
  <si>
    <t>GG15</t>
  </si>
  <si>
    <t>Solrock</t>
  </si>
  <si>
    <t>GG16</t>
  </si>
  <si>
    <t>GG17</t>
  </si>
  <si>
    <t>Thievul</t>
  </si>
  <si>
    <t>GG18</t>
  </si>
  <si>
    <t>Magnezone</t>
  </si>
  <si>
    <t>GG19</t>
  </si>
  <si>
    <t>Altaria</t>
  </si>
  <si>
    <t>GG20</t>
  </si>
  <si>
    <t>GG21</t>
  </si>
  <si>
    <t>Hisuian Goodra</t>
  </si>
  <si>
    <t>GG22</t>
  </si>
  <si>
    <t>GG23</t>
  </si>
  <si>
    <t>Dunsparce</t>
  </si>
  <si>
    <t>GG24</t>
  </si>
  <si>
    <t>Miltank</t>
  </si>
  <si>
    <t>GG25</t>
  </si>
  <si>
    <t>Bibarel</t>
  </si>
  <si>
    <t>GG26</t>
  </si>
  <si>
    <t>GG27</t>
  </si>
  <si>
    <t>Swablu</t>
  </si>
  <si>
    <t>GG28</t>
  </si>
  <si>
    <t>Duskull</t>
  </si>
  <si>
    <t>GG29</t>
  </si>
  <si>
    <t>Bidoof</t>
  </si>
  <si>
    <t>GG30</t>
  </si>
  <si>
    <t>GG31</t>
  </si>
  <si>
    <t>Turtwig</t>
  </si>
  <si>
    <t>GG32</t>
  </si>
  <si>
    <t>Paras</t>
  </si>
  <si>
    <t>GG33</t>
  </si>
  <si>
    <t>Poochyena</t>
  </si>
  <si>
    <t>GG34</t>
  </si>
  <si>
    <t>Mareep</t>
  </si>
  <si>
    <t>GG35</t>
  </si>
  <si>
    <t>Leafeon VSTAR</t>
  </si>
  <si>
    <t>GG36</t>
  </si>
  <si>
    <t>Entei V</t>
  </si>
  <si>
    <t>GG37</t>
  </si>
  <si>
    <t>Simisear VSTAR</t>
  </si>
  <si>
    <t>GG38</t>
  </si>
  <si>
    <t>Suicune V</t>
  </si>
  <si>
    <t>GG39</t>
  </si>
  <si>
    <t>Lumineon V</t>
  </si>
  <si>
    <t>GG40</t>
  </si>
  <si>
    <t>Glaceon VSTAR</t>
  </si>
  <si>
    <t>GG41</t>
  </si>
  <si>
    <t>Raikou V</t>
  </si>
  <si>
    <t>GG43</t>
  </si>
  <si>
    <t>GG45</t>
  </si>
  <si>
    <t>Deoxys VMAX</t>
  </si>
  <si>
    <t>GG47</t>
  </si>
  <si>
    <t>Hatterene VMAX</t>
  </si>
  <si>
    <t>GG48</t>
  </si>
  <si>
    <t>GG49</t>
  </si>
  <si>
    <t>Drapion V</t>
  </si>
  <si>
    <t>GG50</t>
  </si>
  <si>
    <t>Darkrai VSTAR</t>
  </si>
  <si>
    <t>GG51</t>
  </si>
  <si>
    <t>Hisuian Samurott V</t>
  </si>
  <si>
    <t>GG52</t>
  </si>
  <si>
    <t>Hisuian Samurott VSTAR</t>
  </si>
  <si>
    <t>GG53</t>
  </si>
  <si>
    <t>Hoopa V</t>
  </si>
  <si>
    <t>GG54</t>
  </si>
  <si>
    <t>GG55</t>
  </si>
  <si>
    <t>GG56</t>
  </si>
  <si>
    <t>Hisuian Zoroark VSTAR</t>
  </si>
  <si>
    <t>GG57</t>
  </si>
  <si>
    <t>Adaman</t>
  </si>
  <si>
    <t>GG58</t>
  </si>
  <si>
    <t>Cheren's Care</t>
  </si>
  <si>
    <t>GG59</t>
  </si>
  <si>
    <t>Colress's Experiment</t>
  </si>
  <si>
    <t>GG60</t>
  </si>
  <si>
    <t>Cynthia's Ambition</t>
  </si>
  <si>
    <t>GG61</t>
  </si>
  <si>
    <t>Gardenia's Vigor</t>
  </si>
  <si>
    <t>GG62</t>
  </si>
  <si>
    <t>Grant</t>
  </si>
  <si>
    <t>GG63</t>
  </si>
  <si>
    <t>Irida</t>
  </si>
  <si>
    <t>GG66</t>
  </si>
  <si>
    <t>Roxanne</t>
  </si>
  <si>
    <t>GG68</t>
  </si>
  <si>
    <t>Origin Forme Dialga VSTAR</t>
  </si>
  <si>
    <t>Karmesin &amp; Purpur (Set-ID: sv1)</t>
  </si>
  <si>
    <t xml:space="preserve">Gesamtzahl Karten: 258 | Gesammelte Karten: 239 | Gesammelte RH Karten: 173 | Abschluss-Prozentsatz: 93 % | Abkürzung: </t>
  </si>
  <si>
    <t>Tarundel</t>
  </si>
  <si>
    <t>Halupenjo</t>
  </si>
  <si>
    <t>Schligda</t>
  </si>
  <si>
    <t>208</t>
  </si>
  <si>
    <t>210</t>
  </si>
  <si>
    <t>Traumato</t>
  </si>
  <si>
    <t>214</t>
  </si>
  <si>
    <t>222</t>
  </si>
  <si>
    <t>Raffel</t>
  </si>
  <si>
    <t>226</t>
  </si>
  <si>
    <t>Magnezone-ex</t>
  </si>
  <si>
    <t>229</t>
  </si>
  <si>
    <t>Banette-ex</t>
  </si>
  <si>
    <t>235</t>
  </si>
  <si>
    <t>Pepper</t>
  </si>
  <si>
    <t>239</t>
  </si>
  <si>
    <t>Cosima</t>
  </si>
  <si>
    <t>244</t>
  </si>
  <si>
    <t>246</t>
  </si>
  <si>
    <t>248</t>
  </si>
  <si>
    <t>252</t>
  </si>
  <si>
    <t>254</t>
  </si>
  <si>
    <t>258</t>
  </si>
  <si>
    <t>Basis-Fighting-Energie</t>
  </si>
  <si>
    <t>Skaraborn</t>
  </si>
  <si>
    <t>Noktuska</t>
  </si>
  <si>
    <t>Tropius</t>
  </si>
  <si>
    <t>Puponcho</t>
  </si>
  <si>
    <t>Chevrumm</t>
  </si>
  <si>
    <t>Olivinio</t>
  </si>
  <si>
    <t>Tenterra</t>
  </si>
  <si>
    <t>Chilingel</t>
  </si>
  <si>
    <t>Skelokrok</t>
  </si>
  <si>
    <t>Knarbon</t>
  </si>
  <si>
    <t>Bojelin</t>
  </si>
  <si>
    <t>Rotom</t>
  </si>
  <si>
    <t>Voltrel</t>
  </si>
  <si>
    <t>Driftlon</t>
  </si>
  <si>
    <t>Dedenne</t>
  </si>
  <si>
    <t>Clavion</t>
  </si>
  <si>
    <t>Flattutu</t>
  </si>
  <si>
    <t>Meditalis</t>
  </si>
  <si>
    <t>Lucario</t>
  </si>
  <si>
    <t>Humanolith</t>
  </si>
  <si>
    <t>Klibbe</t>
  </si>
  <si>
    <t>Vipitis</t>
  </si>
  <si>
    <t>Forstellka</t>
  </si>
  <si>
    <t>Staraptor</t>
  </si>
  <si>
    <t>Ferkuli</t>
  </si>
  <si>
    <t>Fragrunz</t>
  </si>
  <si>
    <t>Zwieps</t>
  </si>
  <si>
    <t>Famieps</t>
  </si>
  <si>
    <t>Krawalloro</t>
  </si>
  <si>
    <t>Flaminkno</t>
  </si>
  <si>
    <t>Trotzband</t>
  </si>
  <si>
    <t>EP-Teiler</t>
  </si>
  <si>
    <t>Ronah</t>
  </si>
  <si>
    <t>Mesalona City</t>
  </si>
  <si>
    <t>Picknickkorb</t>
  </si>
  <si>
    <t>Pokécom 3.0</t>
  </si>
  <si>
    <t>191</t>
  </si>
  <si>
    <t>204</t>
  </si>
  <si>
    <t>Flegmon</t>
  </si>
  <si>
    <t>Knilz</t>
  </si>
  <si>
    <t>Kapilz</t>
  </si>
  <si>
    <t>Tuska</t>
  </si>
  <si>
    <t>Purmel</t>
  </si>
  <si>
    <t>Vivillon</t>
  </si>
  <si>
    <t>Mähikel</t>
  </si>
  <si>
    <t>Maskagato</t>
  </si>
  <si>
    <t>Spinsidias-ex</t>
  </si>
  <si>
    <t>Olithena</t>
  </si>
  <si>
    <t>Tentagra</t>
  </si>
  <si>
    <t>Arkani-ex</t>
  </si>
  <si>
    <t>Hunduster</t>
  </si>
  <si>
    <t>Hundemon</t>
  </si>
  <si>
    <t>Qurtel</t>
  </si>
  <si>
    <t>Crimanzo</t>
  </si>
  <si>
    <t>Lahmus</t>
  </si>
  <si>
    <t>Karpador</t>
  </si>
  <si>
    <t>Garados-ex</t>
  </si>
  <si>
    <t>Bamelin</t>
  </si>
  <si>
    <t>Mamolida</t>
  </si>
  <si>
    <t>Scampisto</t>
  </si>
  <si>
    <t>Wummer</t>
  </si>
  <si>
    <t>Knirfish</t>
  </si>
  <si>
    <t>Schligdri</t>
  </si>
  <si>
    <t>Flaniwal</t>
  </si>
  <si>
    <t>Magnetilo</t>
  </si>
  <si>
    <t>Riffex</t>
  </si>
  <si>
    <t>Pamamo</t>
  </si>
  <si>
    <t>Voltrean</t>
  </si>
  <si>
    <t>Hypno</t>
  </si>
  <si>
    <t>Trasla</t>
  </si>
  <si>
    <t>Kirlia</t>
  </si>
  <si>
    <t>Guardevoir-ex</t>
  </si>
  <si>
    <t>Shuppet</t>
  </si>
  <si>
    <t>Flabébé</t>
  </si>
  <si>
    <t>Floette</t>
  </si>
  <si>
    <t>Florges</t>
  </si>
  <si>
    <t>Backel</t>
  </si>
  <si>
    <t>Menki</t>
  </si>
  <si>
    <t>Rasaff</t>
  </si>
  <si>
    <t>Epitaff</t>
  </si>
  <si>
    <t>Meditie</t>
  </si>
  <si>
    <t>Ganovil</t>
  </si>
  <si>
    <t>Rabigator</t>
  </si>
  <si>
    <t>Salanga</t>
  </si>
  <si>
    <t>Sanaconda</t>
  </si>
  <si>
    <t>Sleima</t>
  </si>
  <si>
    <t>Sleimok</t>
  </si>
  <si>
    <t>Kryppuk</t>
  </si>
  <si>
    <t>Glibunkel</t>
  </si>
  <si>
    <t>Toxiquak-ex</t>
  </si>
  <si>
    <t>Mastifioso</t>
  </si>
  <si>
    <t>Adebom</t>
  </si>
  <si>
    <t>Chaneira</t>
  </si>
  <si>
    <t>Heiteira</t>
  </si>
  <si>
    <t>Sengo</t>
  </si>
  <si>
    <t>Staravia</t>
  </si>
  <si>
    <t>Schlaraffel</t>
  </si>
  <si>
    <t>Fragrunz-ex</t>
  </si>
  <si>
    <t>Strandplatz</t>
  </si>
  <si>
    <t>Elektrischer Generator</t>
  </si>
  <si>
    <t>175</t>
  </si>
  <si>
    <t>Jim</t>
  </si>
  <si>
    <t>176</t>
  </si>
  <si>
    <t>Richter</t>
  </si>
  <si>
    <t>Mimi</t>
  </si>
  <si>
    <t>Nemila</t>
  </si>
  <si>
    <t>Nestball</t>
  </si>
  <si>
    <t>Adressbuch</t>
  </si>
  <si>
    <t>190</t>
  </si>
  <si>
    <t>192</t>
  </si>
  <si>
    <t>Steinbrustpanzer</t>
  </si>
  <si>
    <t>Beulenhelm</t>
  </si>
  <si>
    <t>Rüpel von Team Star</t>
  </si>
  <si>
    <t>Vitalitätsband</t>
  </si>
  <si>
    <t>Knirps</t>
  </si>
  <si>
    <t>205</t>
  </si>
  <si>
    <t>209</t>
  </si>
  <si>
    <t>211</t>
  </si>
  <si>
    <t>212</t>
  </si>
  <si>
    <t>213</t>
  </si>
  <si>
    <t>215</t>
  </si>
  <si>
    <t>216</t>
  </si>
  <si>
    <t>217</t>
  </si>
  <si>
    <t>218</t>
  </si>
  <si>
    <t>219</t>
  </si>
  <si>
    <t>220</t>
  </si>
  <si>
    <t>221</t>
  </si>
  <si>
    <t>223</t>
  </si>
  <si>
    <t>224</t>
  </si>
  <si>
    <t>225</t>
  </si>
  <si>
    <t>227</t>
  </si>
  <si>
    <t>228</t>
  </si>
  <si>
    <t>230</t>
  </si>
  <si>
    <t>231</t>
  </si>
  <si>
    <t>232</t>
  </si>
  <si>
    <t>233</t>
  </si>
  <si>
    <t>234</t>
  </si>
  <si>
    <t>236</t>
  </si>
  <si>
    <t>237</t>
  </si>
  <si>
    <t>238</t>
  </si>
  <si>
    <t>240</t>
  </si>
  <si>
    <t>241</t>
  </si>
  <si>
    <t>242</t>
  </si>
  <si>
    <t>243</t>
  </si>
  <si>
    <t>245</t>
  </si>
  <si>
    <t>247</t>
  </si>
  <si>
    <t>249</t>
  </si>
  <si>
    <t>250</t>
  </si>
  <si>
    <t>251</t>
  </si>
  <si>
    <t>253</t>
  </si>
  <si>
    <t>255</t>
  </si>
  <si>
    <t>256</t>
  </si>
  <si>
    <t>257</t>
  </si>
  <si>
    <t>Basis-Lightning-Energie</t>
  </si>
  <si>
    <t>Entwicklungen in Paldea (Set-ID: sv2)</t>
  </si>
  <si>
    <t>Gesamtzahl Karten: 279 | Gesammelte Karten: 0 | Gesammelte RH Karten: 0 | Abschluss-Prozentsatz: 0 % | Abkürzung: PAL</t>
  </si>
  <si>
    <t>Obsidian Flammen (Set-ID: sv3)</t>
  </si>
  <si>
    <t>Gesamtzahl Karten: 230 | Gesammelte Karten: 0 | Gesammelte RH Karten: 0 | Abschluss-Prozentsatz: 0 % | Abkürzung: OBF</t>
  </si>
  <si>
    <t>Pottrott</t>
  </si>
  <si>
    <t>Gehweiher</t>
  </si>
  <si>
    <t>Maskeregen</t>
  </si>
  <si>
    <t>Wadribie</t>
  </si>
  <si>
    <t>Tarnpignon</t>
  </si>
  <si>
    <t>Hutsassa</t>
  </si>
  <si>
    <t>Paragoni</t>
  </si>
  <si>
    <t>Trombork</t>
  </si>
  <si>
    <t>Bauz</t>
  </si>
  <si>
    <t>Arboretoss</t>
  </si>
  <si>
    <t>Silvarro-ex</t>
  </si>
  <si>
    <t>Frubberl</t>
  </si>
  <si>
    <t>Frubaila</t>
  </si>
  <si>
    <t>Fruyal</t>
  </si>
  <si>
    <t>Tenterra-ex</t>
  </si>
  <si>
    <t>Glutexo</t>
  </si>
  <si>
    <t>Vulpix</t>
  </si>
  <si>
    <t>Vulnona</t>
  </si>
  <si>
    <t>Camaub</t>
  </si>
  <si>
    <t>Camerupt</t>
  </si>
  <si>
    <t>Flampion</t>
  </si>
  <si>
    <t>Flampivian</t>
  </si>
  <si>
    <t>Lichtel</t>
  </si>
  <si>
    <t>Laternecto</t>
  </si>
  <si>
    <t>Skelabra</t>
  </si>
  <si>
    <t>Furnifraß</t>
  </si>
  <si>
    <t>Kubuin-ex</t>
  </si>
  <si>
    <t>Tohaido</t>
  </si>
  <si>
    <t>Schallquap</t>
  </si>
  <si>
    <t>Mebrana</t>
  </si>
  <si>
    <t>Branawarz</t>
  </si>
  <si>
    <t>Petznief</t>
  </si>
  <si>
    <t>Siberio</t>
  </si>
  <si>
    <t>Frigometri</t>
  </si>
  <si>
    <t>Froxy</t>
  </si>
  <si>
    <t>Amphizel</t>
  </si>
  <si>
    <t>Normifin</t>
  </si>
  <si>
    <t>Despotar-ex</t>
  </si>
  <si>
    <t>Zapplardin</t>
  </si>
  <si>
    <t>Zapplarang</t>
  </si>
  <si>
    <t>Voltolos</t>
  </si>
  <si>
    <t>Pamomamo-ex</t>
  </si>
  <si>
    <t>Blipp</t>
  </si>
  <si>
    <t>Piepi</t>
  </si>
  <si>
    <t>Pixi-ex</t>
  </si>
  <si>
    <t>Togepi</t>
  </si>
  <si>
    <t>Togetic</t>
  </si>
  <si>
    <t>Psiana</t>
  </si>
  <si>
    <t>Snubbull</t>
  </si>
  <si>
    <t>Granbull</t>
  </si>
  <si>
    <t>Spoink</t>
  </si>
  <si>
    <t>Groink</t>
  </si>
  <si>
    <t>Lepumentas</t>
  </si>
  <si>
    <t>Honweisel-ex</t>
  </si>
  <si>
    <t>Mortipot</t>
  </si>
  <si>
    <t>Digda</t>
  </si>
  <si>
    <t>Digdri</t>
  </si>
  <si>
    <t>Larvitar</t>
  </si>
  <si>
    <t>Nasgnet</t>
  </si>
  <si>
    <t>Schmerbe</t>
  </si>
  <si>
    <t>Welsar</t>
  </si>
  <si>
    <t>Mobai</t>
  </si>
  <si>
    <t>Rotomurf</t>
  </si>
  <si>
    <t>Flunschlik</t>
  </si>
  <si>
    <t>Grebbit</t>
  </si>
  <si>
    <t>Krabbox</t>
  </si>
  <si>
    <t>Klibbe-ex</t>
  </si>
  <si>
    <t>Lumispross</t>
  </si>
  <si>
    <t>Lumiflora-ex</t>
  </si>
  <si>
    <t>Paldea-Suelord</t>
  </si>
  <si>
    <t>Nachtara</t>
  </si>
  <si>
    <t>Absol-ex</t>
  </si>
  <si>
    <t>Darkrai</t>
  </si>
  <si>
    <t>Iscalar</t>
  </si>
  <si>
    <t>Calamanero</t>
  </si>
  <si>
    <t>Panzaeron</t>
  </si>
  <si>
    <t>Bronzel</t>
  </si>
  <si>
    <t>Bronzong</t>
  </si>
  <si>
    <t>Voluminas</t>
  </si>
  <si>
    <t>Stalobor</t>
  </si>
  <si>
    <t>Togedemaru</t>
  </si>
  <si>
    <t>Meltan</t>
  </si>
  <si>
    <t>Knattatox-ex</t>
  </si>
  <si>
    <t>Dratini</t>
  </si>
  <si>
    <t>Dragonir</t>
  </si>
  <si>
    <t>Dragoran-ex</t>
  </si>
  <si>
    <t>Sen-Long</t>
  </si>
  <si>
    <t>Taubsi</t>
  </si>
  <si>
    <t>Tauboga</t>
  </si>
  <si>
    <t>Tauboss-ex</t>
  </si>
  <si>
    <t>Kangama</t>
  </si>
  <si>
    <t>Zigzachs</t>
  </si>
  <si>
    <t>Geradaks</t>
  </si>
  <si>
    <t>Wablu</t>
  </si>
  <si>
    <t>Yorkleff</t>
  </si>
  <si>
    <t>Terribark</t>
  </si>
  <si>
    <t>Bissbark</t>
  </si>
  <si>
    <t>Ohrdoch</t>
  </si>
  <si>
    <t>Scoppel</t>
  </si>
  <si>
    <t>Schlaraffel-ex</t>
  </si>
  <si>
    <t>Colzo</t>
  </si>
  <si>
    <t>Sagaria</t>
  </si>
  <si>
    <t>Ermutigender Brief</t>
  </si>
  <si>
    <t>Otis</t>
  </si>
  <si>
    <t>Patrouillenkappe</t>
  </si>
  <si>
    <t>Pokémon-Liga-Hauptquartier</t>
  </si>
  <si>
    <t>Poppy</t>
  </si>
  <si>
    <t>Etta</t>
  </si>
  <si>
    <t>Stadtgeschäft</t>
  </si>
  <si>
    <t>Rächender Boxhieb</t>
  </si>
  <si>
    <t>Bolardin</t>
  </si>
  <si>
    <t>Basis-Fire-Energie</t>
  </si>
  <si>
    <t>151 (Set-ID: sv3pt5)</t>
  </si>
  <si>
    <t>Gesamtzahl Karten: 207 | Gesammelte Karten: 0 | Gesammelte RH Karten: 0 | Abschluss-Prozentsatz: 0 % | Abkürzung: MEW</t>
  </si>
  <si>
    <t>Bisaknosp</t>
  </si>
  <si>
    <t>Bisaflor-ex</t>
  </si>
  <si>
    <t>Schillok</t>
  </si>
  <si>
    <t>Turtok-ex</t>
  </si>
  <si>
    <t>Raupy</t>
  </si>
  <si>
    <t>Safcon</t>
  </si>
  <si>
    <t>Smettbo</t>
  </si>
  <si>
    <t>Hornliu</t>
  </si>
  <si>
    <t>Kokuna</t>
  </si>
  <si>
    <t>Bibor</t>
  </si>
  <si>
    <t>Tauboss</t>
  </si>
  <si>
    <t>Rattfratz</t>
  </si>
  <si>
    <t>Rattikarl</t>
  </si>
  <si>
    <t>Habitak</t>
  </si>
  <si>
    <t>Ibitak</t>
  </si>
  <si>
    <t>Rettan</t>
  </si>
  <si>
    <t>Arbok-ex</t>
  </si>
  <si>
    <t>Raichu</t>
  </si>
  <si>
    <t>Sandan</t>
  </si>
  <si>
    <t>Sandamer</t>
  </si>
  <si>
    <t>Nidoran♀</t>
  </si>
  <si>
    <t>Nidorina</t>
  </si>
  <si>
    <t>Nidoqueen</t>
  </si>
  <si>
    <t>Nidoran♂</t>
  </si>
  <si>
    <t>Nidorino</t>
  </si>
  <si>
    <t>Nidoking</t>
  </si>
  <si>
    <t>Pixi</t>
  </si>
  <si>
    <t>Vulnona-ex</t>
  </si>
  <si>
    <t>Pummeluff</t>
  </si>
  <si>
    <t>Knuddeluff-ex</t>
  </si>
  <si>
    <t>Zubat</t>
  </si>
  <si>
    <t>Golbat</t>
  </si>
  <si>
    <t>Giflor</t>
  </si>
  <si>
    <t>Parasek</t>
  </si>
  <si>
    <t>Bluzuk</t>
  </si>
  <si>
    <t>Omot</t>
  </si>
  <si>
    <t>Mauzi</t>
  </si>
  <si>
    <t>Snobilikat</t>
  </si>
  <si>
    <t>Enton</t>
  </si>
  <si>
    <t>Entoron</t>
  </si>
  <si>
    <t>Quapsel</t>
  </si>
  <si>
    <t>Quaputzi</t>
  </si>
  <si>
    <t>Quappo</t>
  </si>
  <si>
    <t>Abra</t>
  </si>
  <si>
    <t>Kadabra</t>
  </si>
  <si>
    <t>Machollo</t>
  </si>
  <si>
    <t>Maschock</t>
  </si>
  <si>
    <t>Machomei</t>
  </si>
  <si>
    <t>Knofensa</t>
  </si>
  <si>
    <t>Ultrigaria</t>
  </si>
  <si>
    <t>Sarzenia</t>
  </si>
  <si>
    <t>Tentacha</t>
  </si>
  <si>
    <t>Tentoxa</t>
  </si>
  <si>
    <t>Kleinstein</t>
  </si>
  <si>
    <t>Geowaz-ex</t>
  </si>
  <si>
    <t>Ponita</t>
  </si>
  <si>
    <t>Gallopa</t>
  </si>
  <si>
    <t>Porenta</t>
  </si>
  <si>
    <t>Dodu</t>
  </si>
  <si>
    <t>Dodri</t>
  </si>
  <si>
    <t>Jugong</t>
  </si>
  <si>
    <t>Muschas</t>
  </si>
  <si>
    <t>Austos</t>
  </si>
  <si>
    <t>Nebulak</t>
  </si>
  <si>
    <t>Alpollo</t>
  </si>
  <si>
    <t>Gengar</t>
  </si>
  <si>
    <t>Onix</t>
  </si>
  <si>
    <t>Krabby</t>
  </si>
  <si>
    <t>Kingler</t>
  </si>
  <si>
    <t>Voltobal</t>
  </si>
  <si>
    <t>Lektrobal</t>
  </si>
  <si>
    <t>Tragosso</t>
  </si>
  <si>
    <t>Knogga</t>
  </si>
  <si>
    <t>Kicklee</t>
  </si>
  <si>
    <t>Nockchan</t>
  </si>
  <si>
    <t>Schlurp</t>
  </si>
  <si>
    <t>Smogmog</t>
  </si>
  <si>
    <t>Rihorn</t>
  </si>
  <si>
    <t>Rizeros</t>
  </si>
  <si>
    <t>Seemon</t>
  </si>
  <si>
    <t>Goldini</t>
  </si>
  <si>
    <t>Golking</t>
  </si>
  <si>
    <t>Sterndu</t>
  </si>
  <si>
    <t>Starmie</t>
  </si>
  <si>
    <t>Pantimos</t>
  </si>
  <si>
    <t>Rossana-ex</t>
  </si>
  <si>
    <t>Elektek</t>
  </si>
  <si>
    <t>Magmar</t>
  </si>
  <si>
    <t>Pinsir</t>
  </si>
  <si>
    <t>Garados</t>
  </si>
  <si>
    <t>Porygon</t>
  </si>
  <si>
    <t>Amonitas</t>
  </si>
  <si>
    <t>Amoroso</t>
  </si>
  <si>
    <t>Kabuto</t>
  </si>
  <si>
    <t>Kabutops</t>
  </si>
  <si>
    <t>Aerodactyl</t>
  </si>
  <si>
    <t>Arktos</t>
  </si>
  <si>
    <t>Lavados</t>
  </si>
  <si>
    <t>Dragoran</t>
  </si>
  <si>
    <t>Antikes Domfossil</t>
  </si>
  <si>
    <t>Antikes Helixfossil</t>
  </si>
  <si>
    <t>Antiker Altbernstein</t>
  </si>
  <si>
    <t>Großer Luftballon</t>
  </si>
  <si>
    <t>Bills Transfer</t>
  </si>
  <si>
    <t>Radweg</t>
  </si>
  <si>
    <t>Sarahs Hilfe</t>
  </si>
  <si>
    <t>Energiesticker</t>
  </si>
  <si>
    <t>Erikas Einladung</t>
  </si>
  <si>
    <t>Giovannis Charisma</t>
  </si>
  <si>
    <t>Greifarm</t>
  </si>
  <si>
    <t>Überreste</t>
  </si>
  <si>
    <t>Sicherheitsbrille</t>
  </si>
  <si>
    <t>Härteband</t>
  </si>
  <si>
    <t>Basis-Psychic-Energie</t>
  </si>
  <si>
    <t>Paradoxrift (Set-ID: sv4)</t>
  </si>
  <si>
    <t>Gesamtzahl Karten: 266 | Gesammelte Karten: 0 | Gesammelte RH Karten: 0 | Abschluss-Prozentsatz: 0 % | Abkürzung: PAR</t>
  </si>
  <si>
    <t>Frosdedje-ex</t>
  </si>
  <si>
    <t>Vegimak</t>
  </si>
  <si>
    <t>Vegichita</t>
  </si>
  <si>
    <t>Lithomith</t>
  </si>
  <si>
    <t>Castellith</t>
  </si>
  <si>
    <t>Sensect</t>
  </si>
  <si>
    <t>Keradar</t>
  </si>
  <si>
    <t>Maritellit</t>
  </si>
  <si>
    <t>Micrick</t>
  </si>
  <si>
    <t>Chongjian</t>
  </si>
  <si>
    <t>Magby</t>
  </si>
  <si>
    <t>Grillmak</t>
  </si>
  <si>
    <t>Grillchita</t>
  </si>
  <si>
    <t>Eisenfalter</t>
  </si>
  <si>
    <t>Seedraking</t>
  </si>
  <si>
    <t>Remoraid</t>
  </si>
  <si>
    <t>Octillery</t>
  </si>
  <si>
    <t>Barschwa</t>
  </si>
  <si>
    <t>Milotic</t>
  </si>
  <si>
    <t>Knakrack-ex</t>
  </si>
  <si>
    <t>Mantirps</t>
  </si>
  <si>
    <t>Palkia</t>
  </si>
  <si>
    <t>Sodamak</t>
  </si>
  <si>
    <t>Sodachita</t>
  </si>
  <si>
    <t>Gelatini</t>
  </si>
  <si>
    <t>Gelatroppo</t>
  </si>
  <si>
    <t>Gelatwino</t>
  </si>
  <si>
    <t>Fruyal-ex</t>
  </si>
  <si>
    <t>Reißlaus</t>
  </si>
  <si>
    <t>Tectass</t>
  </si>
  <si>
    <t>Tectass-ex</t>
  </si>
  <si>
    <t>Agiluza</t>
  </si>
  <si>
    <t>Mewtu-ex</t>
  </si>
  <si>
    <t>Elekid</t>
  </si>
  <si>
    <t>Plusle</t>
  </si>
  <si>
    <t>Minun</t>
  </si>
  <si>
    <t>Elezeba</t>
  </si>
  <si>
    <t>Zebritz</t>
  </si>
  <si>
    <t>Wattzapf</t>
  </si>
  <si>
    <t>Voltula</t>
  </si>
  <si>
    <t>Zekrom</t>
  </si>
  <si>
    <t>Choreogel</t>
  </si>
  <si>
    <t>Kapu-Riki-ex</t>
  </si>
  <si>
    <t>Eisenhand-ex</t>
  </si>
  <si>
    <t>Natu</t>
  </si>
  <si>
    <t>Latios</t>
  </si>
  <si>
    <t>Makabaja</t>
  </si>
  <si>
    <t>Echnatoll-ex</t>
  </si>
  <si>
    <t>Irrbis</t>
  </si>
  <si>
    <t>Pumpdjinn</t>
  </si>
  <si>
    <t>Tafforgita</t>
  </si>
  <si>
    <t>Gierspenst</t>
  </si>
  <si>
    <t>Skorgla</t>
  </si>
  <si>
    <t>Skorgro</t>
  </si>
  <si>
    <t>Groudon</t>
  </si>
  <si>
    <t>Kaumalat</t>
  </si>
  <si>
    <t>Knarksel</t>
  </si>
  <si>
    <t>Lin-Fu</t>
  </si>
  <si>
    <t>Wie-Shu</t>
  </si>
  <si>
    <t>Hoopa-ex</t>
  </si>
  <si>
    <t>Meteno</t>
  </si>
  <si>
    <t>Riffex-ex</t>
  </si>
  <si>
    <t>Geosali</t>
  </si>
  <si>
    <t>Sedisal</t>
  </si>
  <si>
    <t>Saltigant</t>
  </si>
  <si>
    <t>Kriechflügel</t>
  </si>
  <si>
    <t>Sandfell-ex</t>
  </si>
  <si>
    <t>Dinglu</t>
  </si>
  <si>
    <t>Iksbat</t>
  </si>
  <si>
    <t>Unratütox</t>
  </si>
  <si>
    <t>Deponitox</t>
  </si>
  <si>
    <t>Yveltal</t>
  </si>
  <si>
    <t>Kleptifux</t>
  </si>
  <si>
    <t>Gaunux</t>
  </si>
  <si>
    <t>Morpeko</t>
  </si>
  <si>
    <t>Lextremo</t>
  </si>
  <si>
    <t>Wutpilz</t>
  </si>
  <si>
    <t>Stahlos</t>
  </si>
  <si>
    <t>Jirachi</t>
  </si>
  <si>
    <t>Kastadur</t>
  </si>
  <si>
    <t>Tentantel</t>
  </si>
  <si>
    <t>Fermicula</t>
  </si>
  <si>
    <t>Gramokles</t>
  </si>
  <si>
    <t>Duokles</t>
  </si>
  <si>
    <t>Durengard-ex</t>
  </si>
  <si>
    <t>Schlurm</t>
  </si>
  <si>
    <t>Monetigo-ex</t>
  </si>
  <si>
    <t>Altaria-ex</t>
  </si>
  <si>
    <t>Porygon-Z</t>
  </si>
  <si>
    <t>Griffel</t>
  </si>
  <si>
    <t>Ambidiffel</t>
  </si>
  <si>
    <t>Flurmel</t>
  </si>
  <si>
    <t>Krakeelo</t>
  </si>
  <si>
    <t>Krawumms</t>
  </si>
  <si>
    <t>Pandir</t>
  </si>
  <si>
    <t>Famieps-ex</t>
  </si>
  <si>
    <t>Adebom-ex</t>
  </si>
  <si>
    <t>Eisenhals</t>
  </si>
  <si>
    <t>Energiekapsel aus der Vergangenheit</t>
  </si>
  <si>
    <t>Konterfänger</t>
  </si>
  <si>
    <t>Verfluchter Staubwedel</t>
  </si>
  <si>
    <t>Trotzweste</t>
  </si>
  <si>
    <t>Irdengefäß</t>
  </si>
  <si>
    <t>Energiekapsel aus der Zukunft</t>
  </si>
  <si>
    <t>Aoki</t>
  </si>
  <si>
    <t>Luxuriöser Umhang</t>
  </si>
  <si>
    <t>Irsa</t>
  </si>
  <si>
    <t>Norman</t>
  </si>
  <si>
    <t>Schirmdame</t>
  </si>
  <si>
    <t>Prof. Antiquas Vitalität</t>
  </si>
  <si>
    <t>Prof. Futurus' Szenario</t>
  </si>
  <si>
    <t>Cay</t>
  </si>
  <si>
    <t>Veit</t>
  </si>
  <si>
    <t>Anissa</t>
  </si>
  <si>
    <t>Relaxo-Puppe</t>
  </si>
  <si>
    <t>Technische Maschine: Aus heiterem Himmel</t>
  </si>
  <si>
    <t>Technische Maschine: Rückentwicklung</t>
  </si>
  <si>
    <t>Technische Maschine: Entwicklung</t>
  </si>
  <si>
    <t>Technische Maschine: Schubenergie</t>
  </si>
  <si>
    <t>Techradar</t>
  </si>
  <si>
    <t>Tulia</t>
  </si>
  <si>
    <t>Medizin-Energie</t>
  </si>
  <si>
    <t>259</t>
  </si>
  <si>
    <t>260</t>
  </si>
  <si>
    <t>261</t>
  </si>
  <si>
    <t>262</t>
  </si>
  <si>
    <t>263</t>
  </si>
  <si>
    <t>264</t>
  </si>
  <si>
    <t>265</t>
  </si>
  <si>
    <t>266</t>
  </si>
  <si>
    <t>Wandel-Energie</t>
  </si>
  <si>
    <t>Paldeas Schicksale (Set-ID: sv4pt5)</t>
  </si>
  <si>
    <t>Gesamtzahl Karten: 245 | Gesammelte Karten: 0 | Gesammelte RH Karten: 0 | Abschluss-Prozentsatz: 0 % | Abkürzung: PAF</t>
  </si>
  <si>
    <t>Forstellka-ex</t>
  </si>
  <si>
    <t>Maracamba</t>
  </si>
  <si>
    <t>Psiopatra-ex</t>
  </si>
  <si>
    <t>Magbrant</t>
  </si>
  <si>
    <t>Hitze-Rotom</t>
  </si>
  <si>
    <t>Frospino</t>
  </si>
  <si>
    <t>Lampi</t>
  </si>
  <si>
    <t>Lanturn</t>
  </si>
  <si>
    <t>Palimpalim</t>
  </si>
  <si>
    <t>Pantimimi</t>
  </si>
  <si>
    <t>Fleknoil</t>
  </si>
  <si>
    <t>Fletiamo</t>
  </si>
  <si>
    <t>Waumboll</t>
  </si>
  <si>
    <t>Elfun</t>
  </si>
  <si>
    <t>Azugladis</t>
  </si>
  <si>
    <t>Phanpy</t>
  </si>
  <si>
    <t>Donphan</t>
  </si>
  <si>
    <t>Klopptopus</t>
  </si>
  <si>
    <t>Kaocto</t>
  </si>
  <si>
    <t>Paldea-Suelord-ex</t>
  </si>
  <si>
    <t>Monetigo</t>
  </si>
  <si>
    <t>eF-eM</t>
  </si>
  <si>
    <t>UHaFnir-ex</t>
  </si>
  <si>
    <t>Shugi</t>
  </si>
  <si>
    <t>Leval</t>
  </si>
  <si>
    <t>Mondscheinhügel</t>
  </si>
  <si>
    <t>Nemilas Rucksack</t>
  </si>
  <si>
    <t>Paldea-Schüler</t>
  </si>
  <si>
    <t>Technische Maschine: Krisenhieb</t>
  </si>
  <si>
    <t>Hoppspross</t>
  </si>
  <si>
    <t>Hubelupf</t>
  </si>
  <si>
    <t>Papungha</t>
  </si>
  <si>
    <t>Shnebedeck</t>
  </si>
  <si>
    <t>Rexblisar</t>
  </si>
  <si>
    <t>Relluk</t>
  </si>
  <si>
    <t>Paldea-Tauros</t>
  </si>
  <si>
    <t>Knuddeluff</t>
  </si>
  <si>
    <t>Skarabaks</t>
  </si>
  <si>
    <t>Sniebel</t>
  </si>
  <si>
    <t>Snibunna</t>
  </si>
  <si>
    <t>Zobiris</t>
  </si>
  <si>
    <t>Affiti</t>
  </si>
  <si>
    <t>Wingull</t>
  </si>
  <si>
    <t>Chongjian-ex</t>
  </si>
  <si>
    <t>Yuyu-ex</t>
  </si>
  <si>
    <t>Dinglu-ex</t>
  </si>
  <si>
    <t>Gewalten der Zeit (Set-ID: sv5)</t>
  </si>
  <si>
    <t>Gesamtzahl Karten: 218 | Gesammelte Karten: 1 | Gesammelte RH Karten: 0 | Abschluss-Prozentsatz: 0 % | Abkürzung: TEF</t>
  </si>
  <si>
    <t>Samurzel</t>
  </si>
  <si>
    <t>Blanas</t>
  </si>
  <si>
    <t>Tengulist</t>
  </si>
  <si>
    <t>Roselia</t>
  </si>
  <si>
    <t>Roserade</t>
  </si>
  <si>
    <t>Chelast</t>
  </si>
  <si>
    <t>Chelcarain</t>
  </si>
  <si>
    <t>Chelterrar-ex</t>
  </si>
  <si>
    <t>Sesokitz</t>
  </si>
  <si>
    <t>Kronjuwild</t>
  </si>
  <si>
    <t>Moruda</t>
  </si>
  <si>
    <t>Weherba</t>
  </si>
  <si>
    <t>Horrerba</t>
  </si>
  <si>
    <t>Halupenjo-ex</t>
  </si>
  <si>
    <t>Schneckmag</t>
  </si>
  <si>
    <t>Magcargo</t>
  </si>
  <si>
    <t>Victini</t>
  </si>
  <si>
    <t>Flamiau</t>
  </si>
  <si>
    <t>Miezunder</t>
  </si>
  <si>
    <t>Fuegro-ex</t>
  </si>
  <si>
    <t>Tortunator</t>
  </si>
  <si>
    <t>Thermopod</t>
  </si>
  <si>
    <t>Infernopod</t>
  </si>
  <si>
    <t>Karnimani</t>
  </si>
  <si>
    <t>Tyracroc</t>
  </si>
  <si>
    <t>Snomnom</t>
  </si>
  <si>
    <t>Mottineva</t>
  </si>
  <si>
    <t>Elevoltek</t>
  </si>
  <si>
    <t>Akkup</t>
  </si>
  <si>
    <t>Donarion</t>
  </si>
  <si>
    <t>Voldi</t>
  </si>
  <si>
    <t>Bellektro</t>
  </si>
  <si>
    <t>Schligdri-ex</t>
  </si>
  <si>
    <t>Eisenhand</t>
  </si>
  <si>
    <t>Marill</t>
  </si>
  <si>
    <t>Azumarill</t>
  </si>
  <si>
    <t>Monozyto</t>
  </si>
  <si>
    <t>Mitodos</t>
  </si>
  <si>
    <t>Zytomega</t>
  </si>
  <si>
    <t>Pygraulon</t>
  </si>
  <si>
    <t>Megalon</t>
  </si>
  <si>
    <t>Wommel</t>
  </si>
  <si>
    <t>Bandelby</t>
  </si>
  <si>
    <t>Eisenkrieger</t>
  </si>
  <si>
    <t>Relicanth</t>
  </si>
  <si>
    <t>Golbit</t>
  </si>
  <si>
    <t>Golgantes</t>
  </si>
  <si>
    <t>Pampuli</t>
  </si>
  <si>
    <t>Pampross</t>
  </si>
  <si>
    <t>Klonkett</t>
  </si>
  <si>
    <t>Wagong</t>
  </si>
  <si>
    <t>Montecarbo</t>
  </si>
  <si>
    <t>Riesenzahn</t>
  </si>
  <si>
    <t>Sandfell</t>
  </si>
  <si>
    <t>Arbok</t>
  </si>
  <si>
    <t>Gengar-ex</t>
  </si>
  <si>
    <t>Fiffyen</t>
  </si>
  <si>
    <t>Magnayen</t>
  </si>
  <si>
    <t>Farigiraf-ex</t>
  </si>
  <si>
    <t>Donnersichel</t>
  </si>
  <si>
    <t>Scherox-ex</t>
  </si>
  <si>
    <t>Tanhel</t>
  </si>
  <si>
    <t>Metagross</t>
  </si>
  <si>
    <t>Melmetal</t>
  </si>
  <si>
    <t>Eisenrad</t>
  </si>
  <si>
    <t>Schlurplek</t>
  </si>
  <si>
    <t>Hoothoot</t>
  </si>
  <si>
    <t>Dummisel</t>
  </si>
  <si>
    <t>Dummimisel</t>
  </si>
  <si>
    <t>Eneco</t>
  </si>
  <si>
    <t>Enekoro</t>
  </si>
  <si>
    <t>Dusselgurr</t>
  </si>
  <si>
    <t>Navitaub</t>
  </si>
  <si>
    <t>Fasasnob</t>
  </si>
  <si>
    <t>Picochilla</t>
  </si>
  <si>
    <t>Chillabell</t>
  </si>
  <si>
    <t>Erweckende Trommel</t>
  </si>
  <si>
    <t>Bells Hingabe</t>
  </si>
  <si>
    <t>Verpackte Bestellung</t>
  </si>
  <si>
    <t>Dicke-Freunde-Knursp</t>
  </si>
  <si>
    <t>Ciphermaniacs Decodierung</t>
  </si>
  <si>
    <t>Rioba</t>
  </si>
  <si>
    <t>Führung des Entdeckers</t>
  </si>
  <si>
    <t>Vollmetall-Labor</t>
  </si>
  <si>
    <t>Handtrimmer</t>
  </si>
  <si>
    <t>Schweres Staffelholz</t>
  </si>
  <si>
    <t>Heldenumhang</t>
  </si>
  <si>
    <t>Meisterball</t>
  </si>
  <si>
    <t>Maximalgürtel</t>
  </si>
  <si>
    <t>Jens' Überzeugung</t>
  </si>
  <si>
    <t>Gefährlicher Dschungel</t>
  </si>
  <si>
    <t>Erstklassiger Fänger</t>
  </si>
  <si>
    <t>Reboot-Modul</t>
  </si>
  <si>
    <t>Rettungsboard</t>
  </si>
  <si>
    <t>Salvatore</t>
  </si>
  <si>
    <t>Nebelschleier-Energie</t>
  </si>
  <si>
    <t>Neo-Aufputsch-Energie</t>
  </si>
  <si>
    <t>Maskerade im Zwielicht (Set-ID: sv6)</t>
  </si>
  <si>
    <t>Gesamtzahl Karten: 226 | Gesammelte Karten: 0 | Gesammelte RH Karten: 0 | Abschluss-Prozentsatz: 0 % | Abkürzung: TWM</t>
  </si>
  <si>
    <t>Webarak</t>
  </si>
  <si>
    <t>Ariados</t>
  </si>
  <si>
    <t>Sonnflora</t>
  </si>
  <si>
    <t>Volbeat</t>
  </si>
  <si>
    <t>Illumise</t>
  </si>
  <si>
    <t>Chimpep</t>
  </si>
  <si>
    <t>Gortrom</t>
  </si>
  <si>
    <t>Knapfel</t>
  </si>
  <si>
    <t>Sirapfel</t>
  </si>
  <si>
    <t>Eisenblatt</t>
  </si>
  <si>
    <t>Mortcha</t>
  </si>
  <si>
    <t>Fatalitcha</t>
  </si>
  <si>
    <t>Fatalitcha-ex</t>
  </si>
  <si>
    <t>Magcargo-ex</t>
  </si>
  <si>
    <t>Panflam</t>
  </si>
  <si>
    <t>Panpyro</t>
  </si>
  <si>
    <t>Ofenmaske-Ogerpon-ex</t>
  </si>
  <si>
    <t>Rossana</t>
  </si>
  <si>
    <t>Krebutack</t>
  </si>
  <si>
    <t>Firnontor</t>
  </si>
  <si>
    <t>Phione</t>
  </si>
  <si>
    <t>Urgl</t>
  </si>
  <si>
    <t>Windewoge</t>
  </si>
  <si>
    <t>Brunnenmaske-Ogerpon-ex</t>
  </si>
  <si>
    <t>Luxtra-ex</t>
  </si>
  <si>
    <t>Eisendorn-ex</t>
  </si>
  <si>
    <t>Simsala</t>
  </si>
  <si>
    <t>Farigiraf</t>
  </si>
  <si>
    <t>Flauschling</t>
  </si>
  <si>
    <t>Sabbaione</t>
  </si>
  <si>
    <t>Sankabuh</t>
  </si>
  <si>
    <t>Colossand</t>
  </si>
  <si>
    <t>Brüllschweif-ex</t>
  </si>
  <si>
    <t>Benesaru</t>
  </si>
  <si>
    <t>Beatori</t>
  </si>
  <si>
    <t>Hisui-Fukano</t>
  </si>
  <si>
    <t>Hisui-Arkani</t>
  </si>
  <si>
    <t>Praktibalk</t>
  </si>
  <si>
    <t>Strepoli</t>
  </si>
  <si>
    <t>Meistagrif</t>
  </si>
  <si>
    <t>Lumiflora</t>
  </si>
  <si>
    <t>Boninu</t>
  </si>
  <si>
    <t>Fundamentmaske-Ogerpon-ex</t>
  </si>
  <si>
    <t>Toxiped</t>
  </si>
  <si>
    <t>Rollum</t>
  </si>
  <si>
    <t>Cerapendra</t>
  </si>
  <si>
    <t>Heatran</t>
  </si>
  <si>
    <t>Grolldra</t>
  </si>
  <si>
    <t>Phandra</t>
  </si>
  <si>
    <t>Katapuldra-ex</t>
  </si>
  <si>
    <t>Heiteira-ex</t>
  </si>
  <si>
    <t>Piccolente</t>
  </si>
  <si>
    <t>Swaroness</t>
  </si>
  <si>
    <t>Begleitende Flöte</t>
  </si>
  <si>
    <t>Käfersammlerset</t>
  </si>
  <si>
    <t>Verwalter</t>
  </si>
  <si>
    <t>Hana</t>
  </si>
  <si>
    <t>Gemeindehaus</t>
  </si>
  <si>
    <t>Küchenchef</t>
  </si>
  <si>
    <t>Spezial-Hammer</t>
  </si>
  <si>
    <t>Festplatz</t>
  </si>
  <si>
    <t>Handventilator</t>
  </si>
  <si>
    <t>Sinius</t>
  </si>
  <si>
    <t>Hyperaroma</t>
  </si>
  <si>
    <t>Störturm</t>
  </si>
  <si>
    <t>Jo</t>
  </si>
  <si>
    <t>Tracys Unterstützung</t>
  </si>
  <si>
    <t>Sympaball</t>
  </si>
  <si>
    <t>Lucian</t>
  </si>
  <si>
    <t>Glückshelm</t>
  </si>
  <si>
    <t>Maske des Oni</t>
  </si>
  <si>
    <t>Gemma</t>
  </si>
  <si>
    <t>Moira</t>
  </si>
  <si>
    <t>Aufwischwirbel</t>
  </si>
  <si>
    <t>Geheime Box</t>
  </si>
  <si>
    <t>Überlebensschiene</t>
  </si>
  <si>
    <t>Unfairer Stempel</t>
  </si>
  <si>
    <t>Bumerang-Energie</t>
  </si>
  <si>
    <t>Vermächtnis-Energie</t>
  </si>
  <si>
    <t>Leucht-Energie</t>
  </si>
  <si>
    <t>Nebel der Sagen (Set-ID: sv6pt5)</t>
  </si>
  <si>
    <t>Gesamtzahl Karten: 99 | Gesammelte Karten: 0 | Gesammelte RH Karten: 0 | Abschluss-Prozentsatz: 0 % | Abkürzung: SFA</t>
  </si>
  <si>
    <t>Silvarro</t>
  </si>
  <si>
    <t>Kapu-Toro</t>
  </si>
  <si>
    <t>Zwirrlicht</t>
  </si>
  <si>
    <t>Zwirrfinst</t>
  </si>
  <si>
    <t>Cresselia</t>
  </si>
  <si>
    <t>Toxiquak</t>
  </si>
  <si>
    <t>Blutmond-Ursaluna</t>
  </si>
  <si>
    <t>Zorua</t>
  </si>
  <si>
    <t>Zoroark</t>
  </si>
  <si>
    <t>Boninu-ex</t>
  </si>
  <si>
    <t>Benesaru-ex</t>
  </si>
  <si>
    <t>Beatori-ex</t>
  </si>
  <si>
    <t>Infamomo-ex</t>
  </si>
  <si>
    <t>Genesect</t>
  </si>
  <si>
    <t>Kupfanti</t>
  </si>
  <si>
    <t>Patinaraja</t>
  </si>
  <si>
    <t>Milza</t>
  </si>
  <si>
    <t>Sharfax</t>
  </si>
  <si>
    <t>Maxax</t>
  </si>
  <si>
    <t>Kyurem</t>
  </si>
  <si>
    <t>Coiffwaff</t>
  </si>
  <si>
    <t>Velursi</t>
  </si>
  <si>
    <t>Kosturso</t>
  </si>
  <si>
    <t>Akademie bei Nacht</t>
  </si>
  <si>
    <t>Ketten-Mochi</t>
  </si>
  <si>
    <t>Cassiopeia</t>
  </si>
  <si>
    <t>Achromas' Beharrlichkeit</t>
  </si>
  <si>
    <t>Gefährlicher Laser</t>
  </si>
  <si>
    <t>Janinas Geheimkunst</t>
  </si>
  <si>
    <t>Neutralisierungszone</t>
  </si>
  <si>
    <t>Nachttrage</t>
  </si>
  <si>
    <t>Poké Vital A</t>
  </si>
  <si>
    <t>Power-Sanduhr</t>
  </si>
  <si>
    <t>Xeros' Machinationen</t>
  </si>
  <si>
    <t>Basis-Darkness-Energie</t>
  </si>
  <si>
    <t>Basis-Metal-Energie</t>
  </si>
  <si>
    <t>Stellarkrone (Set-ID: sv7)</t>
  </si>
  <si>
    <t>Gesamtzahl Karten: 175 | Gesammelte Karten: 0 | Gesammelte RH Karten: 0 | Abschluss-Prozentsatz: 0 % | Abkürzung: SCR</t>
  </si>
  <si>
    <t>Ledyba</t>
  </si>
  <si>
    <t>Celebi</t>
  </si>
  <si>
    <t>Liliep</t>
  </si>
  <si>
    <t>Wielie</t>
  </si>
  <si>
    <t>Schneid-Rotom</t>
  </si>
  <si>
    <t>Cottini</t>
  </si>
  <si>
    <t>Cottomi</t>
  </si>
  <si>
    <t>Hydrapfel-ex</t>
  </si>
  <si>
    <t>Reshiram</t>
  </si>
  <si>
    <t>Hopplo</t>
  </si>
  <si>
    <t>Kickerlo</t>
  </si>
  <si>
    <t>Finneon</t>
  </si>
  <si>
    <t>Lumineon</t>
  </si>
  <si>
    <t>Galapaflos</t>
  </si>
  <si>
    <t>Karippas</t>
  </si>
  <si>
    <t>Kamehaps</t>
  </si>
  <si>
    <t>Kamalm</t>
  </si>
  <si>
    <t>Voltula-ex</t>
  </si>
  <si>
    <t>Laschoking</t>
  </si>
  <si>
    <t>Curelei</t>
  </si>
  <si>
    <t>Hokumil</t>
  </si>
  <si>
    <t>Pokusan</t>
  </si>
  <si>
    <t>Backel-ex</t>
  </si>
  <si>
    <t>Eisenfels</t>
  </si>
  <si>
    <t>Rihornior</t>
  </si>
  <si>
    <t>Meditalis-ex</t>
  </si>
  <si>
    <t>Legios</t>
  </si>
  <si>
    <t>Saltigant-ex</t>
  </si>
  <si>
    <t>Schluppuck</t>
  </si>
  <si>
    <t>Schlukwech</t>
  </si>
  <si>
    <t>Bähmon</t>
  </si>
  <si>
    <t>Pelzebub</t>
  </si>
  <si>
    <t>Olangaar</t>
  </si>
  <si>
    <t>Klikk</t>
  </si>
  <si>
    <t>Kliklak</t>
  </si>
  <si>
    <t>Klikdiklak</t>
  </si>
  <si>
    <t>Duraludon</t>
  </si>
  <si>
    <t>Briduradon</t>
  </si>
  <si>
    <t>Schlurm-ex</t>
  </si>
  <si>
    <t>Furienblitz</t>
  </si>
  <si>
    <t>Charmian</t>
  </si>
  <si>
    <t>Shnurgarst</t>
  </si>
  <si>
    <t>Wirbel-Rotom</t>
  </si>
  <si>
    <t>Boreos</t>
  </si>
  <si>
    <t>Dartiri</t>
  </si>
  <si>
    <t>Dartignis</t>
  </si>
  <si>
    <t>Fiaro</t>
  </si>
  <si>
    <t>Antikes Schildfossil</t>
  </si>
  <si>
    <t>Antikes Wurzelfossil</t>
  </si>
  <si>
    <t>Höhlensystem Null</t>
  </si>
  <si>
    <t>Brianna</t>
  </si>
  <si>
    <t>Matt</t>
  </si>
  <si>
    <t>Luxusbombe</t>
  </si>
  <si>
    <t>Glastrompete</t>
  </si>
  <si>
    <t>Prachtbaum</t>
  </si>
  <si>
    <t>Erdanziehungsedelstein</t>
  </si>
  <si>
    <t>Kombu</t>
  </si>
  <si>
    <t>Tara</t>
  </si>
  <si>
    <t>Koakobeere</t>
  </si>
  <si>
    <t>Pyapabeere</t>
  </si>
  <si>
    <t>Funkelnder Kristall</t>
  </si>
  <si>
    <t>Amulett der Tapferkeit</t>
  </si>
  <si>
    <t>Stürmische Funken (Set-ID: sv8)</t>
  </si>
  <si>
    <t>Gesamtzahl Karten: 252 | Gesammelte Karten: 0 | Gesammelte RH Karten: 0 | Abschluss-Prozentsatz: 0 % | Abkürzung: SSP</t>
  </si>
  <si>
    <t>Fermicula-ex</t>
  </si>
  <si>
    <t>Bubungus</t>
  </si>
  <si>
    <t>Lamellux</t>
  </si>
  <si>
    <t>Ho-Oh</t>
  </si>
  <si>
    <t>Formeo Sonnenform</t>
  </si>
  <si>
    <t>Azugladis-ex</t>
  </si>
  <si>
    <t>Mantax</t>
  </si>
  <si>
    <t>Milotic-ex</t>
  </si>
  <si>
    <t>Seemops</t>
  </si>
  <si>
    <t>Seejong</t>
  </si>
  <si>
    <t>Walraisa</t>
  </si>
  <si>
    <t>Schalellos</t>
  </si>
  <si>
    <t>Schwarzes Kyurem-ex</t>
  </si>
  <si>
    <t>Kapu-Riki</t>
  </si>
  <si>
    <t>Voltrean-ex</t>
  </si>
  <si>
    <t>Kussilla</t>
  </si>
  <si>
    <t>Latias-ex</t>
  </si>
  <si>
    <t>Selfe</t>
  </si>
  <si>
    <t>Vesprit</t>
  </si>
  <si>
    <t>Tobutz</t>
  </si>
  <si>
    <t>Symvolara</t>
  </si>
  <si>
    <t>Echnatoll</t>
  </si>
  <si>
    <t>Psiau</t>
  </si>
  <si>
    <t>Psiaugon</t>
  </si>
  <si>
    <t>Feelinara-ex</t>
  </si>
  <si>
    <t>Xerneas</t>
  </si>
  <si>
    <t>Colossand-ex</t>
  </si>
  <si>
    <t>Knacklion</t>
  </si>
  <si>
    <t>Vibrava</t>
  </si>
  <si>
    <t>Libelldra-ex</t>
  </si>
  <si>
    <t>Gastrodon</t>
  </si>
  <si>
    <t>Demeteros</t>
  </si>
  <si>
    <t>Quartermak</t>
  </si>
  <si>
    <t>Kapuno</t>
  </si>
  <si>
    <t>Duodino</t>
  </si>
  <si>
    <t>Trikephalo-ex</t>
  </si>
  <si>
    <t>Alola-Digda</t>
  </si>
  <si>
    <t>Alola-Digdri</t>
  </si>
  <si>
    <t>Registeel</t>
  </si>
  <si>
    <t>Briduradon-ex</t>
  </si>
  <si>
    <t>Eisenhaupt</t>
  </si>
  <si>
    <t>Alola-Kokowei-ex</t>
  </si>
  <si>
    <t>Dialga</t>
  </si>
  <si>
    <t>Drapfel</t>
  </si>
  <si>
    <t>Schlapfel</t>
  </si>
  <si>
    <t>Endynalos</t>
  </si>
  <si>
    <t>Nigiragi-ex</t>
  </si>
  <si>
    <t>Bummelz</t>
  </si>
  <si>
    <t>Muntier</t>
  </si>
  <si>
    <t>Letarking-ex</t>
  </si>
  <si>
    <t>Kecleon</t>
  </si>
  <si>
    <t>Geronimatz</t>
  </si>
  <si>
    <t>Washakwil</t>
  </si>
  <si>
    <t>Flaminkno-ex</t>
  </si>
  <si>
    <t>Terapagos</t>
  </si>
  <si>
    <t>Amulett der Hoffnung</t>
  </si>
  <si>
    <t>Babiribeere</t>
  </si>
  <si>
    <t>Prächtiger Mixer</t>
  </si>
  <si>
    <t>Rufklingel</t>
  </si>
  <si>
    <t>Lockwedel</t>
  </si>
  <si>
    <t>Citros Scharfsinn</t>
  </si>
  <si>
    <t>Burleobeere</t>
  </si>
  <si>
    <t>Kontergewinn</t>
  </si>
  <si>
    <t>Cyano</t>
  </si>
  <si>
    <t>Ermittlerset</t>
  </si>
  <si>
    <t>Drachenelixier</t>
  </si>
  <si>
    <t>Dracena</t>
  </si>
  <si>
    <t>Levy</t>
  </si>
  <si>
    <t>Finsterball</t>
  </si>
  <si>
    <t>Profi-Energiesuche</t>
  </si>
  <si>
    <t>Erdanziehungsberg</t>
  </si>
  <si>
    <t>Jasmins Blick</t>
  </si>
  <si>
    <t>Xenias Aufruf</t>
  </si>
  <si>
    <t>Belebtes Stadion</t>
  </si>
  <si>
    <t>Einmischende Notiz</t>
  </si>
  <si>
    <t>Megatonnengebläse</t>
  </si>
  <si>
    <t>Wunder-Headset</t>
  </si>
  <si>
    <t>Foepasbeere</t>
  </si>
  <si>
    <t>Edler Rollwagen</t>
  </si>
  <si>
    <t>Wechselschalter</t>
  </si>
  <si>
    <t>Surfer</t>
  </si>
  <si>
    <t>Technische Maschine: Fluorit</t>
  </si>
  <si>
    <t>Terakristall-Orb</t>
  </si>
  <si>
    <t>Quendella</t>
  </si>
  <si>
    <t>Gewinn-Energie</t>
  </si>
  <si>
    <t>Jet-Energie</t>
  </si>
  <si>
    <t>Prismatische Entwicklungen (Set-ID: sv8pt5)</t>
  </si>
  <si>
    <t>Gesamtzahl Karten: 180 | Gesammelte Karten: 0 | Gesammelte RH Karten: 0 | Abschluss-Prozentsatz: 0 % | Abkürzung: PRE</t>
  </si>
  <si>
    <t>Knospi</t>
  </si>
  <si>
    <t>Folipurba-ex</t>
  </si>
  <si>
    <t>Flamara-ex</t>
  </si>
  <si>
    <t>Leufeo</t>
  </si>
  <si>
    <t>Pyroleo</t>
  </si>
  <si>
    <t>Aquana-ex</t>
  </si>
  <si>
    <t>Suicune</t>
  </si>
  <si>
    <t>Glaziola-ex</t>
  </si>
  <si>
    <t>Blitza-ex</t>
  </si>
  <si>
    <t>Psiana-ex</t>
  </si>
  <si>
    <t>Parfi</t>
  </si>
  <si>
    <t>Parfinesse</t>
  </si>
  <si>
    <t>Hippopotas</t>
  </si>
  <si>
    <t>Hippoterus</t>
  </si>
  <si>
    <t>Nachtara-ex</t>
  </si>
  <si>
    <t>Relaxo-ex</t>
  </si>
  <si>
    <t>Lugia-ex</t>
  </si>
  <si>
    <t>Haspiror</t>
  </si>
  <si>
    <t>Schlapor</t>
  </si>
  <si>
    <t>Regigigas</t>
  </si>
  <si>
    <t>Erin</t>
  </si>
  <si>
    <t>Schwarzgurt-Training</t>
  </si>
  <si>
    <t>Freunde aus Paldea</t>
  </si>
  <si>
    <t>Terirobeere</t>
  </si>
  <si>
    <t>Aokis Geschick</t>
  </si>
  <si>
    <t>Maximale Angel</t>
  </si>
  <si>
    <t>Rotom-Stick</t>
  </si>
  <si>
    <t>Schatz-Tracker</t>
  </si>
  <si>
    <t>Pinio</t>
  </si>
  <si>
    <t>Reisegefährten (Set-ID: sv9)</t>
  </si>
  <si>
    <t>Gesamtzahl Karten: 190 | Gesammelte Karten: 0 | Gesammelte RH Karten: 0 | Abschluss-Prozentsatz: 0 % | Abkürzung: JTG</t>
  </si>
  <si>
    <t>Lilminip</t>
  </si>
  <si>
    <t>Dressella</t>
  </si>
  <si>
    <t>Laukaps</t>
  </si>
  <si>
    <t>Hutsassa-ex</t>
  </si>
  <si>
    <t>Schnuthelm</t>
  </si>
  <si>
    <t>Hydragil</t>
  </si>
  <si>
    <t>Viridium</t>
  </si>
  <si>
    <t>Flemmli</t>
  </si>
  <si>
    <t>Jungglut</t>
  </si>
  <si>
    <t>Lohgock-ex</t>
  </si>
  <si>
    <t>Ns Flampion</t>
  </si>
  <si>
    <t>Reshiram-ex</t>
  </si>
  <si>
    <t>Volcanion-ex</t>
  </si>
  <si>
    <t>Loturzel</t>
  </si>
  <si>
    <t>Lombrero</t>
  </si>
  <si>
    <t>Kappalores</t>
  </si>
  <si>
    <t>Regice</t>
  </si>
  <si>
    <t>Agiluza-ex</t>
  </si>
  <si>
    <t>Alola-Kleinstein</t>
  </si>
  <si>
    <t>Alola-Georok</t>
  </si>
  <si>
    <t>Alola-Geowaz</t>
  </si>
  <si>
    <t>Enigmaras Voltobal</t>
  </si>
  <si>
    <t>Enigmaras Lektrobal</t>
  </si>
  <si>
    <t>Ns Wattzapf</t>
  </si>
  <si>
    <t>Enigmaras Blipp</t>
  </si>
  <si>
    <t>Enigmaras Voltrel</t>
  </si>
  <si>
    <t>Alola-Knogga</t>
  </si>
  <si>
    <t>Banette</t>
  </si>
  <si>
    <t>Ns Symvolara</t>
  </si>
  <si>
    <t>Lillys Wommel</t>
  </si>
  <si>
    <t>Lillys Curelei</t>
  </si>
  <si>
    <t>Pokusan-ex</t>
  </si>
  <si>
    <t>Quiekel</t>
  </si>
  <si>
    <t>Keifel</t>
  </si>
  <si>
    <t>Mamutel-ex</t>
  </si>
  <si>
    <t>Regirock</t>
  </si>
  <si>
    <t>Hops Salanga</t>
  </si>
  <si>
    <t>Hops Sanaconda</t>
  </si>
  <si>
    <t>Despotar</t>
  </si>
  <si>
    <t>Ns Felilou</t>
  </si>
  <si>
    <t>Ns Zoroark-ex</t>
  </si>
  <si>
    <t>Cavalanzas</t>
  </si>
  <si>
    <t>Ns Klikk</t>
  </si>
  <si>
    <t>Ns Kliklak</t>
  </si>
  <si>
    <t>Ns Klikdiklak</t>
  </si>
  <si>
    <t>Galar-Flunschlik</t>
  </si>
  <si>
    <t>Magearna</t>
  </si>
  <si>
    <t>Hops Krarmor</t>
  </si>
  <si>
    <t>Kindwurm</t>
  </si>
  <si>
    <t>Draschel</t>
  </si>
  <si>
    <t>Brutalanda-ex</t>
  </si>
  <si>
    <t>Shardrago</t>
  </si>
  <si>
    <t>Ns Reshiram</t>
  </si>
  <si>
    <t>Wiesor</t>
  </si>
  <si>
    <t>Wiesenior</t>
  </si>
  <si>
    <t>Dummimisel-ex</t>
  </si>
  <si>
    <t>UHaFnir</t>
  </si>
  <si>
    <t>Koalelu</t>
  </si>
  <si>
    <t>Hops Meikro</t>
  </si>
  <si>
    <t>Hops Kranoviz</t>
  </si>
  <si>
    <t>Hops Wolly</t>
  </si>
  <si>
    <t>Hops Zwollock</t>
  </si>
  <si>
    <t>Hops Urgl</t>
  </si>
  <si>
    <t>Billy &amp; Onea</t>
  </si>
  <si>
    <t>Rockos Erkundung</t>
  </si>
  <si>
    <t>Hops Tasche</t>
  </si>
  <si>
    <t>Hops Wahlband</t>
  </si>
  <si>
    <t>Lilias Kampfgeist</t>
  </si>
  <si>
    <t>Fermanca City</t>
  </si>
  <si>
    <t>Lillys Perle</t>
  </si>
  <si>
    <t>Schloss von N</t>
  </si>
  <si>
    <t>Ns AP-Plus</t>
  </si>
  <si>
    <t>Furlongham</t>
  </si>
  <si>
    <t>Einlösbares Ticket</t>
  </si>
  <si>
    <t>Halbstarker</t>
  </si>
  <si>
    <t>Supertrank</t>
  </si>
  <si>
    <t>Stachel-Energie</t>
  </si>
  <si>
    <t>Ewige Rivalen (Set-ID: sv10)</t>
  </si>
  <si>
    <t>Gesamtzahl Karten: 244 | Gesammelte Karten: 0 | Gesammelte RH Karten: 0 | Abschluss-Prozentsatz: 0 % | Abkürzung: DRI</t>
  </si>
  <si>
    <t>Klarins Pinsir</t>
  </si>
  <si>
    <t>Yanmega-ex</t>
  </si>
  <si>
    <t>Cynthias Roselia</t>
  </si>
  <si>
    <t>Cynthias Roserade</t>
  </si>
  <si>
    <t>Imantis</t>
  </si>
  <si>
    <t>Mantidea</t>
  </si>
  <si>
    <t>Team Rockets Sensect</t>
  </si>
  <si>
    <t>Hydrapfel</t>
  </si>
  <si>
    <t>Team Rockets Tarundel</t>
  </si>
  <si>
    <t>Team Rockets Spinsidias</t>
  </si>
  <si>
    <t>Olithena-ex</t>
  </si>
  <si>
    <t>Skarabaks-ex</t>
  </si>
  <si>
    <t>Team Rockets Lavados-ex</t>
  </si>
  <si>
    <t>Klarins Feurigel</t>
  </si>
  <si>
    <t>Klarins Igelavar</t>
  </si>
  <si>
    <t>Klarins Tornupto</t>
  </si>
  <si>
    <t>Klarins Schneckmag</t>
  </si>
  <si>
    <t>Klarins Magcargo</t>
  </si>
  <si>
    <t>Team Rockets Hunduster</t>
  </si>
  <si>
    <t>Team Rockets Hundemon</t>
  </si>
  <si>
    <t>Klarins Ho-Oh-ex</t>
  </si>
  <si>
    <t>Lohgock</t>
  </si>
  <si>
    <t>Ofenmaske-Ogerpon</t>
  </si>
  <si>
    <t>Mistys Enton</t>
  </si>
  <si>
    <t>Mistys Sterndu</t>
  </si>
  <si>
    <t>Mistys Starmie</t>
  </si>
  <si>
    <t>Mistys Karpador</t>
  </si>
  <si>
    <t>Mistys Garados</t>
  </si>
  <si>
    <t>Mistys Lapras</t>
  </si>
  <si>
    <t>Team Rockets Arktos</t>
  </si>
  <si>
    <t>Cynthias Barschwa</t>
  </si>
  <si>
    <t>Cynthias Milotic</t>
  </si>
  <si>
    <t>Perlu</t>
  </si>
  <si>
    <t>Aalabyss</t>
  </si>
  <si>
    <t>Saganabyss</t>
  </si>
  <si>
    <t>Wasch-Rotom</t>
  </si>
  <si>
    <t>Pikuda</t>
  </si>
  <si>
    <t>Barrakiefa</t>
  </si>
  <si>
    <t>Kolowal-ex</t>
  </si>
  <si>
    <t>Heerashai-ex</t>
  </si>
  <si>
    <t>Brunnenmaske-Ogerpon</t>
  </si>
  <si>
    <t>Elevoltek-ex</t>
  </si>
  <si>
    <t>Team Rockets Zapdos</t>
  </si>
  <si>
    <t>Klarins Pichu</t>
  </si>
  <si>
    <t>Team Rockets Voltilamm</t>
  </si>
  <si>
    <t>Team Rockets Waaty</t>
  </si>
  <si>
    <t>Team Rockets Ampharos</t>
  </si>
  <si>
    <t>Frizelbliz</t>
  </si>
  <si>
    <t>Voltenso</t>
  </si>
  <si>
    <t>Team Rockets Traumato</t>
  </si>
  <si>
    <t>Team Rockets Hypno</t>
  </si>
  <si>
    <t>Team Rockets Mewtu-ex</t>
  </si>
  <si>
    <t>Team Rockets Woingenau</t>
  </si>
  <si>
    <t>Troys Puppance</t>
  </si>
  <si>
    <t>Troys Lepumentas</t>
  </si>
  <si>
    <t>Team Rockets Klingplim</t>
  </si>
  <si>
    <t>Troys Rocara</t>
  </si>
  <si>
    <t>Team Rockets Mimigma</t>
  </si>
  <si>
    <t>Team Rockets Keradar</t>
  </si>
  <si>
    <t>Team Rockets Maritellit</t>
  </si>
  <si>
    <t>Klarins Mogelbaum</t>
  </si>
  <si>
    <t>Team Rockets Larvitar</t>
  </si>
  <si>
    <t>Team Rockets Pupitar</t>
  </si>
  <si>
    <t>Team Rockets Despotar</t>
  </si>
  <si>
    <t>Regirock-ex</t>
  </si>
  <si>
    <t>Cynthias Kaumalat</t>
  </si>
  <si>
    <t>Cynthias Knarksel</t>
  </si>
  <si>
    <t>Cynthias Knakrack-ex</t>
  </si>
  <si>
    <t>Peppers Tentagra</t>
  </si>
  <si>
    <t>Peppers Tenterra</t>
  </si>
  <si>
    <t>Fundamentmaske-Ogerpon</t>
  </si>
  <si>
    <t>Team Rockets Rettan</t>
  </si>
  <si>
    <t>Team Rockets Arbok</t>
  </si>
  <si>
    <t>Team Rockets Nidoran♀</t>
  </si>
  <si>
    <t>Team Rockets Nidorina</t>
  </si>
  <si>
    <t>Team Rockets Nidoqueen</t>
  </si>
  <si>
    <t>Team Rockets Nidoran♂</t>
  </si>
  <si>
    <t>Team Rockets Nidorino</t>
  </si>
  <si>
    <t>Team Rockets Nidoking-ex</t>
  </si>
  <si>
    <t>Team Rockets Zubat</t>
  </si>
  <si>
    <t>Team Rockets Golbat</t>
  </si>
  <si>
    <t>Team Rockets Iksbat-ex</t>
  </si>
  <si>
    <t>Team Rockets Sleima</t>
  </si>
  <si>
    <t>Team Rockets Sleimok</t>
  </si>
  <si>
    <t>Team Rockets Smogon</t>
  </si>
  <si>
    <t>Team Rockets Smogmog</t>
  </si>
  <si>
    <t>Team Rockets Kramurx</t>
  </si>
  <si>
    <t>Team Rockets Sniebel</t>
  </si>
  <si>
    <t>Cynthias Kryppuk</t>
  </si>
  <si>
    <t>Marys Felilou</t>
  </si>
  <si>
    <t>Marys Kleoparda</t>
  </si>
  <si>
    <t>Marys Zurrokex</t>
  </si>
  <si>
    <t>Marys Irokex</t>
  </si>
  <si>
    <t>Marys Bähmon</t>
  </si>
  <si>
    <t>Marys Pelzebub</t>
  </si>
  <si>
    <t>Marys Olangaar-ex</t>
  </si>
  <si>
    <t>Peppers Mobtiff</t>
  </si>
  <si>
    <t>Peppers Mastifioso-ex</t>
  </si>
  <si>
    <t>Troys Panzaeron</t>
  </si>
  <si>
    <t>Troys Metang</t>
  </si>
  <si>
    <t>Troys Metagross-ex</t>
  </si>
  <si>
    <t>Team Rockets Rattfratz</t>
  </si>
  <si>
    <t>Team Rockets Rattikarl</t>
  </si>
  <si>
    <t>Team Rockets Mauzi</t>
  </si>
  <si>
    <t>Team Rockets Snobilikat-ex</t>
  </si>
  <si>
    <t>Team Rockets Porygon</t>
  </si>
  <si>
    <t>Team Rockets Porygon2</t>
  </si>
  <si>
    <t>Team Rockets Porygon-Z</t>
  </si>
  <si>
    <t>Schwalbini</t>
  </si>
  <si>
    <t>Schwalboss</t>
  </si>
  <si>
    <t>Peppers Raffel</t>
  </si>
  <si>
    <t>Peppers Schlaraffel</t>
  </si>
  <si>
    <t>Peppers Sandwich</t>
  </si>
  <si>
    <t>Cynthias Machtgewicht</t>
  </si>
  <si>
    <t>MCs Hype</t>
  </si>
  <si>
    <t>Energieaufbereitung</t>
  </si>
  <si>
    <t>Klarins Abenteuer</t>
  </si>
  <si>
    <t>Granithöhle</t>
  </si>
  <si>
    <t>Zauberasche</t>
  </si>
  <si>
    <t>Spikeford-Arena</t>
  </si>
  <si>
    <t>Team Rockets Atlas</t>
  </si>
  <si>
    <t>Team Rockets Athena</t>
  </si>
  <si>
    <t>Team Rockets Stör-Bot</t>
  </si>
  <si>
    <t>Team Rockets Fabrik</t>
  </si>
  <si>
    <t>Team Rockets Giovanni</t>
  </si>
  <si>
    <t>Team Rockets Superball</t>
  </si>
  <si>
    <t>Team Rockets Lambda</t>
  </si>
  <si>
    <t>Team Rockets Lance</t>
  </si>
  <si>
    <t>Team Rockets Transceiver</t>
  </si>
  <si>
    <t>Team Rockets Wagnisbombe</t>
  </si>
  <si>
    <t>Team Rockets Wachturm</t>
  </si>
  <si>
    <t>TM-Maschine</t>
  </si>
  <si>
    <t>Team Rockets Energie</t>
  </si>
  <si>
    <t>Schwarze Blitze (Set-ID: TCGDEX-sv10.5b)</t>
  </si>
  <si>
    <t>Gesamtzahl Karten: 172 | Gesammelte Karten: 0 | Gesammelte RH Karten: 0 | Abschluss-Prozentsatz: 0 % | Abkürzung: BLK</t>
  </si>
  <si>
    <t>Serpifeu</t>
  </si>
  <si>
    <t>Efoserp</t>
  </si>
  <si>
    <t>Serpiroyal-ex</t>
  </si>
  <si>
    <t>CM (Link fehlt)</t>
  </si>
  <si>
    <t>Kyurem-ex</t>
  </si>
  <si>
    <t>Zekrom-ex</t>
  </si>
  <si>
    <t>Somniam</t>
  </si>
  <si>
    <t>Somnivora</t>
  </si>
  <si>
    <t>Meloetta-ex</t>
  </si>
  <si>
    <t>Stalobor-ex</t>
  </si>
  <si>
    <t>Jiutesto</t>
  </si>
  <si>
    <t>Kobalium</t>
  </si>
  <si>
    <t>Genesect-ex</t>
  </si>
  <si>
    <t>Luftballon</t>
  </si>
  <si>
    <t>Energiemünze</t>
  </si>
  <si>
    <t>Vivian</t>
  </si>
  <si>
    <t>Ns Plan</t>
  </si>
  <si>
    <t>Prisma-Energie</t>
  </si>
  <si>
    <t>Fatale Flammen (Set-ID: me2)</t>
  </si>
  <si>
    <t>Gesamtzahl Karten: 130 | Gesammelte Karten: 0 | Gesammelte RH Karten: 0 | Abschluss-Prozentsatz: 0 % | Abkürzung: PFL</t>
  </si>
  <si>
    <t>Mega-Skaraborn-ex</t>
  </si>
  <si>
    <t>Mega-Glurak X-ex</t>
  </si>
  <si>
    <t>Choreogel-ex</t>
  </si>
  <si>
    <t>Mamutel</t>
  </si>
  <si>
    <t>Plinfa</t>
  </si>
  <si>
    <t>Pliprin</t>
  </si>
  <si>
    <t>Rotom-ex</t>
  </si>
  <si>
    <t>Traunfugil</t>
  </si>
  <si>
    <t>Traunmagil-ex</t>
  </si>
  <si>
    <t>Meloetta</t>
  </si>
  <si>
    <t>Mega-Diancie-ex</t>
  </si>
  <si>
    <t>Libelldra</t>
  </si>
  <si>
    <t>Mega-Gengar-ex</t>
  </si>
  <si>
    <t>Kramshef</t>
  </si>
  <si>
    <t>Mega-Tohaido-ex</t>
  </si>
  <si>
    <t>Impoleon-ex</t>
  </si>
  <si>
    <t>Farbeagle</t>
  </si>
  <si>
    <t>Mega-Schlapor-ex</t>
  </si>
  <si>
    <t>Kampfkäfig</t>
  </si>
  <si>
    <t>Schweißbrenner</t>
  </si>
  <si>
    <t>Lucia</t>
  </si>
  <si>
    <t>Taumeltal</t>
  </si>
  <si>
    <t>Feuerspucker</t>
  </si>
  <si>
    <t>Astors Zug</t>
  </si>
  <si>
    <t>Rieseneis</t>
  </si>
  <si>
    <t>Punk-Helm</t>
  </si>
  <si>
    <t>Geweihtes Amulett</t>
  </si>
  <si>
    <t>Wunderpflaster</t>
  </si>
  <si>
    <t>Zünd-Energie</t>
  </si>
  <si>
    <t>Ascended Heroes (Set-ID: me2pt5)</t>
  </si>
  <si>
    <t>Gesamtzahl Karten: 295 | Gesammelte Karten: 0 | Gesammelte RH Karten: 0 | Abschluss-Prozentsatz: 0 % | Abkürzung: ASC</t>
  </si>
  <si>
    <t>Erika's Oddish</t>
  </si>
  <si>
    <t>Erika's Gloom</t>
  </si>
  <si>
    <t>Erika's Vileplume ex</t>
  </si>
  <si>
    <t>Erika's Bellsprout</t>
  </si>
  <si>
    <t>Erika's Weepinbell</t>
  </si>
  <si>
    <t>Erika's Victreebel</t>
  </si>
  <si>
    <t>Erika's Tangela</t>
  </si>
  <si>
    <t>Chikorita</t>
  </si>
  <si>
    <t>Bayleef</t>
  </si>
  <si>
    <t>Mega Meganium ex</t>
  </si>
  <si>
    <t>Wurmple</t>
  </si>
  <si>
    <t>Silcoon</t>
  </si>
  <si>
    <t>Beautifly</t>
  </si>
  <si>
    <t>Cascoon</t>
  </si>
  <si>
    <t>Dustox</t>
  </si>
  <si>
    <t>Budew</t>
  </si>
  <si>
    <t>Grubbin</t>
  </si>
  <si>
    <t>Team Rocket's Tarountula</t>
  </si>
  <si>
    <t>Team Rocket's Spidops</t>
  </si>
  <si>
    <t>Charmander</t>
  </si>
  <si>
    <t>Charmeleon</t>
  </si>
  <si>
    <t>Mega Charizard Y ex</t>
  </si>
  <si>
    <t>Ethan's Slugma</t>
  </si>
  <si>
    <t>Ethan's Magcargo</t>
  </si>
  <si>
    <t>Ethan's Ho-Oh ex</t>
  </si>
  <si>
    <t>Numel</t>
  </si>
  <si>
    <t>Tepig</t>
  </si>
  <si>
    <t>Pignite</t>
  </si>
  <si>
    <t>Mega Emboar ex</t>
  </si>
  <si>
    <t>N's Darumaka</t>
  </si>
  <si>
    <t>N's Darmanitan</t>
  </si>
  <si>
    <t>Salandit</t>
  </si>
  <si>
    <t>Salazzle</t>
  </si>
  <si>
    <t>Scorbunny</t>
  </si>
  <si>
    <t>Raboot</t>
  </si>
  <si>
    <t>Cinderace ex</t>
  </si>
  <si>
    <t>Psyduck</t>
  </si>
  <si>
    <t>Golduck</t>
  </si>
  <si>
    <t>Totodile</t>
  </si>
  <si>
    <t>Croconaw</t>
  </si>
  <si>
    <t>Mega Feraligatr ex</t>
  </si>
  <si>
    <t>Sneasel</t>
  </si>
  <si>
    <t>Weavile</t>
  </si>
  <si>
    <t>Snorunt</t>
  </si>
  <si>
    <t>Mega Froslass ex</t>
  </si>
  <si>
    <t>Regice ex</t>
  </si>
  <si>
    <t>N's Vanillite</t>
  </si>
  <si>
    <t>N's Vanillish</t>
  </si>
  <si>
    <t>N's Vanilluxe</t>
  </si>
  <si>
    <t>Snom</t>
  </si>
  <si>
    <t>Frosmoth</t>
  </si>
  <si>
    <t>Glastrier</t>
  </si>
  <si>
    <t>Pikachu ex</t>
  </si>
  <si>
    <t>Voltorb ex</t>
  </si>
  <si>
    <t>Tynamo</t>
  </si>
  <si>
    <t>Eelektrik</t>
  </si>
  <si>
    <t>Mega Eelektross ex</t>
  </si>
  <si>
    <t>Stunfisk</t>
  </si>
  <si>
    <t>Helioptile</t>
  </si>
  <si>
    <t>Heliolisk</t>
  </si>
  <si>
    <t>Charjabug</t>
  </si>
  <si>
    <t>Vikavolt</t>
  </si>
  <si>
    <t>Tapu Koko</t>
  </si>
  <si>
    <t>Hop's Pincurchin ex</t>
  </si>
  <si>
    <t>Iono's Tadbulb</t>
  </si>
  <si>
    <t>Iono's Bellibolt ex</t>
  </si>
  <si>
    <t>Iono's Wattrel</t>
  </si>
  <si>
    <t>Iono's Kilowattrel</t>
  </si>
  <si>
    <t>Miraidon ex</t>
  </si>
  <si>
    <t>Clefairy</t>
  </si>
  <si>
    <t>Clefable</t>
  </si>
  <si>
    <t>Lillie's Clefairy ex</t>
  </si>
  <si>
    <t>Team Rocket's Exeggcute</t>
  </si>
  <si>
    <t>Team Rocket's Exeggutor</t>
  </si>
  <si>
    <t>Team Rocket's Mewtwo ex</t>
  </si>
  <si>
    <t>Azumarill ex</t>
  </si>
  <si>
    <t>Misdreavus</t>
  </si>
  <si>
    <t>Mismagius</t>
  </si>
  <si>
    <t>Ralts</t>
  </si>
  <si>
    <t>Mega Gardevoir ex</t>
  </si>
  <si>
    <t>Swirlix</t>
  </si>
  <si>
    <t>Slurpuff</t>
  </si>
  <si>
    <t>Hop's Phantump</t>
  </si>
  <si>
    <t>Hop's Trevenant</t>
  </si>
  <si>
    <t>Team Rocket's Mimikyu</t>
  </si>
  <si>
    <t>Spectrier</t>
  </si>
  <si>
    <t>Munkidori</t>
  </si>
  <si>
    <t>Team Rocket's Diglett</t>
  </si>
  <si>
    <t>Team Rocket's Dugtrio</t>
  </si>
  <si>
    <t>Hitmontop</t>
  </si>
  <si>
    <t>Meditite</t>
  </si>
  <si>
    <t>Medicham</t>
  </si>
  <si>
    <t>Regirock ex</t>
  </si>
  <si>
    <t>Cynthia's Gible</t>
  </si>
  <si>
    <t>Cynthia's Gabite</t>
  </si>
  <si>
    <t>Cynthia's Garchomp ex</t>
  </si>
  <si>
    <t>Mega Lucario ex</t>
  </si>
  <si>
    <t>Stunfisk ex</t>
  </si>
  <si>
    <t>Pancham</t>
  </si>
  <si>
    <t>Mega Hawlucha ex</t>
  </si>
  <si>
    <t>Carbink</t>
  </si>
  <si>
    <t>Rolycoly</t>
  </si>
  <si>
    <t>Carkol</t>
  </si>
  <si>
    <t>Coalossal</t>
  </si>
  <si>
    <t>Koraidon ex</t>
  </si>
  <si>
    <t>Okidogi</t>
  </si>
  <si>
    <t>Gastly</t>
  </si>
  <si>
    <t>Haunter</t>
  </si>
  <si>
    <t>Mega Gengar ex</t>
  </si>
  <si>
    <t>Team Rocket's Murkrow</t>
  </si>
  <si>
    <t>Team Rocket's Honchkrow</t>
  </si>
  <si>
    <t>Mightyena</t>
  </si>
  <si>
    <t>Galarian Zigzagoon</t>
  </si>
  <si>
    <t>Galarian Linoone</t>
  </si>
  <si>
    <t>Galarian Obstagoon</t>
  </si>
  <si>
    <t>Cynthia's Spiritomb</t>
  </si>
  <si>
    <t>Scraggy</t>
  </si>
  <si>
    <t>Mega Scrafty ex</t>
  </si>
  <si>
    <t>N's Zorua</t>
  </si>
  <si>
    <t>N's Zoroark ex</t>
  </si>
  <si>
    <t>Vullaby</t>
  </si>
  <si>
    <t>Mandibuzz ex</t>
  </si>
  <si>
    <t>Pangoro</t>
  </si>
  <si>
    <t>Fezandipiti ex</t>
  </si>
  <si>
    <t>Pecharunt</t>
  </si>
  <si>
    <t>Mawile</t>
  </si>
  <si>
    <t>Registeel ex</t>
  </si>
  <si>
    <t>Pawniard</t>
  </si>
  <si>
    <t>Bisharp</t>
  </si>
  <si>
    <t>Kingambit</t>
  </si>
  <si>
    <t>Togedemaru ex</t>
  </si>
  <si>
    <t>Dragonair</t>
  </si>
  <si>
    <t>Mega Dragonite ex</t>
  </si>
  <si>
    <t>Rayquaza</t>
  </si>
  <si>
    <t>N's Reshiram</t>
  </si>
  <si>
    <t>N's Zekrom</t>
  </si>
  <si>
    <t>Noibat</t>
  </si>
  <si>
    <t>Noivern</t>
  </si>
  <si>
    <t>Dreepy</t>
  </si>
  <si>
    <t>Drakloak</t>
  </si>
  <si>
    <t>Dragapult ex</t>
  </si>
  <si>
    <t>Team Rocket's Meowth</t>
  </si>
  <si>
    <t>Team Rocket's Kangaskhan ex</t>
  </si>
  <si>
    <t>Larry's Dunsparce</t>
  </si>
  <si>
    <t>Larry's Dudunsparce ex</t>
  </si>
  <si>
    <t>Skitty</t>
  </si>
  <si>
    <t>Delcatty</t>
  </si>
  <si>
    <t>Zangoose ex</t>
  </si>
  <si>
    <t>Larry's Starly</t>
  </si>
  <si>
    <t>Larry's Staravia</t>
  </si>
  <si>
    <t>Larry's Staraptor</t>
  </si>
  <si>
    <t>Fan Rotom</t>
  </si>
  <si>
    <t>Mega Audino ex</t>
  </si>
  <si>
    <t>Larry's Rufflet</t>
  </si>
  <si>
    <t>Larry's Braviary</t>
  </si>
  <si>
    <t>Larry's Komala</t>
  </si>
  <si>
    <t>Drampa</t>
  </si>
  <si>
    <t>Hop's Cramorant</t>
  </si>
  <si>
    <t>Terapagos ex</t>
  </si>
  <si>
    <t>Acerola's Mischief</t>
  </si>
  <si>
    <t>Air Balloon</t>
  </si>
  <si>
    <t>Anthea &amp; Concordia</t>
  </si>
  <si>
    <t>Boss's Orders</t>
  </si>
  <si>
    <t>Buddy-Buddy Poffin</t>
  </si>
  <si>
    <t>Canari</t>
  </si>
  <si>
    <t>Counter Gain</t>
  </si>
  <si>
    <t>Fighting Gong</t>
  </si>
  <si>
    <t>Forest of Vitality</t>
  </si>
  <si>
    <t>Glass Trumpet</t>
  </si>
  <si>
    <t>Iris's Fighting Spirit</t>
  </si>
  <si>
    <t>Light Ball</t>
  </si>
  <si>
    <t>Lillie's Determination</t>
  </si>
  <si>
    <t>Mega Signal</t>
  </si>
  <si>
    <t>Mystery Garden</t>
  </si>
  <si>
    <t>N's PP Up</t>
  </si>
  <si>
    <t>Night Stretcher</t>
  </si>
  <si>
    <t>Nighttime Mine</t>
  </si>
  <si>
    <t>Poké Pad</t>
  </si>
  <si>
    <t>Premium Power Pro</t>
  </si>
  <si>
    <t>Team Rocket's Archer</t>
  </si>
  <si>
    <t>Team Rocket's Ariana</t>
  </si>
  <si>
    <t>Team Rocket's Factory</t>
  </si>
  <si>
    <t>Team Rocket's Giovanni</t>
  </si>
  <si>
    <t>Team Rocket's Great Ball</t>
  </si>
  <si>
    <t>Team Rocket's Hypnotizer</t>
  </si>
  <si>
    <t>Team Rocket's Petrel</t>
  </si>
  <si>
    <t>Team Rocket's Proton</t>
  </si>
  <si>
    <t>Team Rocket's Transceiver</t>
  </si>
  <si>
    <t>Team Rocket's Watchtower</t>
  </si>
  <si>
    <t>Thick Scale</t>
  </si>
  <si>
    <t>Tool Scrapper</t>
  </si>
  <si>
    <t>Ultra Ball</t>
  </si>
  <si>
    <t>Urbain</t>
  </si>
  <si>
    <t>Waitress</t>
  </si>
  <si>
    <t>Prism Energy</t>
  </si>
  <si>
    <t>Team Rocket's Energy</t>
  </si>
  <si>
    <t>Sprigatito ex</t>
  </si>
  <si>
    <t>Black Belt's Training</t>
  </si>
  <si>
    <t>Cheren</t>
  </si>
  <si>
    <t>Jamming Tower</t>
  </si>
  <si>
    <t>267</t>
  </si>
  <si>
    <t>Mega Diancie ex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</si>
  <si>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</si>
  <si>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</si>
  <si>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</si>
  <si>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</si>
  <si>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</si>
  <si>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</si>
  <si>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</si>
  <si>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</si>
  <si>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</si>
  <si>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</si>
  <si>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</si>
  <si>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</si>
  <si>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</si>
  <si>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</si>
  <si>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</si>
  <si>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</si>
  <si>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</si>
  <si>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</si>
  <si>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</si>
  <si>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</si>
  <si>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Marnie's Grimmsnarl ex</t>
  </si>
  <si>
    <t>288</t>
  </si>
  <si>
    <t>289</t>
  </si>
  <si>
    <t>Steven's Metagross ex</t>
  </si>
  <si>
    <t>290</t>
  </si>
  <si>
    <t>291</t>
  </si>
  <si>
    <t>292</t>
  </si>
  <si>
    <t>293</t>
  </si>
  <si>
    <t>294</t>
  </si>
  <si>
    <t>295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</si>
</sst>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m/dd"/>
    <numFmt numFmtId="165" formatCode="yyyy/m/d"/>
  </numFmts>
  <fonts count="11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/>
    <font>
      <color rgb="FFFFFFFF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color rgb="FF0000FF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C9DAF8"/>
        <bgColor rgb="FFC9DAF8"/>
      </patternFill>
    </fill>
    <fill>
      <patternFill patternType="solid">
        <fgColor rgb="FFE0E0E0"/>
        <bgColor rgb="FFE0E0E0"/>
      </patternFill>
    </fill>
    <fill>
      <patternFill patternType="solid">
        <fgColor rgb="FFD0E0F0"/>
        <bgColor rgb="FFD0E0F0"/>
      </patternFill>
    </fill>
    <fill>
      <patternFill patternType="solid">
        <fgColor rgb="FFD9EAD3"/>
        <bgColor rgb="FFD9EAD3"/>
      </patternFill>
    </fill>
  </fills>
  <borders count="6">
    <border/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</border>
    <border>
      <left style="medium">
        <color rgb="FFBDBDBD"/>
      </left>
      <right style="medium">
        <color rgb="FFBDBDBD"/>
      </right>
      <top style="medium">
        <color rgb="FFBDBDBD"/>
      </top>
      <bottom style="medium">
        <color rgb="FFBDBDBD"/>
      </bottom>
    </border>
    <border>
      <left style="medium">
        <color rgb="FFBDBDBD"/>
      </left>
      <top style="medium">
        <color rgb="FFBDBDBD"/>
      </top>
      <bottom style="medium">
        <color rgb="FFBDBDBD"/>
      </bottom>
    </border>
    <border>
      <right style="medium">
        <color rgb="FFBDBDBD"/>
      </right>
      <top style="medium">
        <color rgb="FFBDBDBD"/>
      </top>
      <bottom style="medium">
        <color rgb="FFBDBDBD"/>
      </bottom>
    </border>
    <border>
      <top style="medium">
        <color rgb="FFBDBDBD"/>
      </top>
      <bottom style="medium">
        <color rgb="FFBDBDBD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2" numFmtId="0" xfId="0" applyAlignment="1" applyFont="1">
      <alignment horizontal="center" readingOrder="0" vertical="center"/>
    </xf>
    <xf borderId="0" fillId="3" fontId="1" numFmtId="0" xfId="0" applyAlignment="1" applyFill="1" applyFont="1">
      <alignment horizontal="center" readingOrder="0" vertical="center"/>
    </xf>
    <xf borderId="1" fillId="4" fontId="1" numFmtId="0" xfId="0" applyAlignment="1" applyBorder="1" applyFill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horizontal="left" readingOrder="0"/>
    </xf>
    <xf borderId="0" fillId="0" fontId="2" numFmtId="165" xfId="0" applyAlignment="1" applyFont="1" applyNumberFormat="1">
      <alignment readingOrder="0"/>
    </xf>
    <xf borderId="0" fillId="0" fontId="2" numFmtId="0" xfId="0" applyFont="1"/>
    <xf borderId="0" fillId="0" fontId="2" numFmtId="14" xfId="0" applyAlignment="1" applyFont="1" applyNumberFormat="1">
      <alignment readingOrder="0"/>
    </xf>
    <xf borderId="0" fillId="0" fontId="4" numFmtId="0" xfId="0" applyFont="1"/>
    <xf borderId="1" fillId="4" fontId="1" numFmtId="0" xfId="0" applyBorder="1" applyFont="1"/>
    <xf borderId="0" fillId="0" fontId="2" numFmtId="10" xfId="0" applyAlignment="1" applyFont="1" applyNumberFormat="1">
      <alignment readingOrder="0"/>
    </xf>
    <xf borderId="0" fillId="5" fontId="1" numFmtId="0" xfId="0" applyAlignment="1" applyFill="1" applyFont="1">
      <alignment horizontal="center" readingOrder="0" vertical="center"/>
    </xf>
    <xf borderId="0" fillId="5" fontId="2" numFmtId="0" xfId="0" applyAlignment="1" applyFont="1">
      <alignment horizontal="center" readingOrder="0" vertical="center"/>
    </xf>
    <xf borderId="2" fillId="0" fontId="1" numFmtId="49" xfId="0" applyAlignment="1" applyBorder="1" applyFont="1" applyNumberFormat="1">
      <alignment horizontal="center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1"/>
    </xf>
    <xf borderId="4" fillId="0" fontId="5" numFmtId="0" xfId="0" applyBorder="1" applyFont="1"/>
    <xf borderId="3" fillId="0" fontId="2" numFmtId="0" xfId="0" applyAlignment="1" applyBorder="1" applyFont="1">
      <alignment horizontal="center" shrinkToFit="0" vertical="center" wrapText="0"/>
    </xf>
    <xf borderId="5" fillId="0" fontId="5" numFmtId="0" xfId="0" applyBorder="1" applyFont="1"/>
    <xf borderId="2" fillId="0" fontId="2" numFmtId="0" xfId="0" applyAlignment="1" applyBorder="1" applyFont="1">
      <alignment horizontal="center" readingOrder="0" shrinkToFit="0" vertical="center" wrapText="0"/>
    </xf>
    <xf borderId="2" fillId="0" fontId="6" numFmtId="0" xfId="0" applyAlignment="1" applyBorder="1" applyFont="1">
      <alignment horizontal="center" readingOrder="0" shrinkToFit="0" vertical="center" wrapText="0"/>
    </xf>
    <xf borderId="2" fillId="0" fontId="7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shrinkToFit="0" wrapText="0"/>
    </xf>
    <xf borderId="2" fillId="6" fontId="1" numFmtId="49" xfId="0" applyAlignment="1" applyBorder="1" applyFill="1" applyFont="1" applyNumberFormat="1">
      <alignment horizontal="center" readingOrder="0" shrinkToFit="0" vertical="center" wrapText="0"/>
    </xf>
    <xf borderId="3" fillId="6" fontId="1" numFmtId="0" xfId="0" applyAlignment="1" applyBorder="1" applyFont="1">
      <alignment horizontal="left" readingOrder="0" shrinkToFit="0" vertical="center" wrapText="1"/>
    </xf>
    <xf borderId="2" fillId="7" fontId="1" numFmtId="49" xfId="0" applyAlignment="1" applyBorder="1" applyFill="1" applyFont="1" applyNumberFormat="1">
      <alignment horizontal="center" readingOrder="0" shrinkToFit="0" vertical="center" wrapText="0"/>
    </xf>
    <xf borderId="3" fillId="7" fontId="1" numFmtId="0" xfId="0" applyAlignment="1" applyBorder="1" applyFont="1">
      <alignment horizontal="left" readingOrder="0" shrinkToFit="0" vertical="center" wrapText="1"/>
    </xf>
    <xf borderId="3" fillId="6" fontId="2" numFmtId="0" xfId="0" applyAlignment="1" applyBorder="1" applyFont="1">
      <alignment horizontal="center" shrinkToFit="0" vertical="center" wrapText="0"/>
    </xf>
    <xf borderId="3" fillId="7" fontId="2" numFmtId="0" xfId="0" applyAlignment="1" applyBorder="1" applyFont="1">
      <alignment horizontal="center" shrinkToFit="0" vertical="center" wrapText="0"/>
    </xf>
    <xf borderId="2" fillId="6" fontId="2" numFmtId="0" xfId="0" applyAlignment="1" applyBorder="1" applyFont="1">
      <alignment horizontal="center" readingOrder="0" shrinkToFit="0" vertical="center" wrapText="0"/>
    </xf>
    <xf borderId="2" fillId="6" fontId="8" numFmtId="0" xfId="0" applyAlignment="1" applyBorder="1" applyFont="1">
      <alignment horizontal="center" shrinkToFit="0" vertical="center" wrapText="0"/>
    </xf>
    <xf borderId="2" fillId="7" fontId="2" numFmtId="0" xfId="0" applyAlignment="1" applyBorder="1" applyFont="1">
      <alignment horizontal="center" readingOrder="0" shrinkToFit="0" vertical="center" wrapText="0"/>
    </xf>
    <xf borderId="2" fillId="7" fontId="9" numFmtId="0" xfId="0" applyAlignment="1" applyBorder="1" applyFont="1">
      <alignment horizontal="center" shrinkToFit="0" vertical="center" wrapText="0"/>
    </xf>
    <xf borderId="0" fillId="0" fontId="2" numFmtId="49" xfId="0" applyFont="1" applyNumberFormat="1"/>
    <xf borderId="0" fillId="0" fontId="2" numFmtId="0" xfId="0" applyFont="1"/>
    <xf borderId="2" fillId="0" fontId="10" numFmtId="0" xfId="0" applyAlignment="1" applyBorder="1" applyFont="1">
      <alignment horizontal="center"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6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7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8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9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10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11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12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13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drawing" Target="../drawings/drawing14.xml"/><Relationship Id="rId3" Type="http://schemas.openxmlformats.org/officeDocument/2006/relationships/vmlDrawing" Target="../drawings/vmlDrawing14.v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drawing" Target="../drawings/drawing15.xml"/><Relationship Id="rId3" Type="http://schemas.openxmlformats.org/officeDocument/2006/relationships/vmlDrawing" Target="../drawings/vmlDrawing15.v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drawing" Target="../drawings/drawing16.xml"/><Relationship Id="rId3" Type="http://schemas.openxmlformats.org/officeDocument/2006/relationships/vmlDrawing" Target="../drawings/vmlDrawing16.v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comments" Target="../comments17.xml"/><Relationship Id="rId2" Type="http://schemas.openxmlformats.org/officeDocument/2006/relationships/drawing" Target="../drawings/drawing17.xml"/><Relationship Id="rId3" Type="http://schemas.openxmlformats.org/officeDocument/2006/relationships/vmlDrawing" Target="../drawings/vmlDrawing17.v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comments" Target="../comments18.xml"/><Relationship Id="rId2" Type="http://schemas.openxmlformats.org/officeDocument/2006/relationships/drawing" Target="../drawings/drawing18.xml"/><Relationship Id="rId3" Type="http://schemas.openxmlformats.org/officeDocument/2006/relationships/vmlDrawing" Target="../drawings/vmlDrawing18.v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comments" Target="../comments19.xml"/><Relationship Id="rId2" Type="http://schemas.openxmlformats.org/officeDocument/2006/relationships/drawing" Target="../drawings/drawing19.xml"/><Relationship Id="rId3" Type="http://schemas.openxmlformats.org/officeDocument/2006/relationships/vmlDrawing" Target="../drawings/vmlDrawing19.v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comments" Target="../comments20.xml"/><Relationship Id="rId2" Type="http://schemas.openxmlformats.org/officeDocument/2006/relationships/drawing" Target="../drawings/drawing20.xml"/><Relationship Id="rId3" Type="http://schemas.openxmlformats.org/officeDocument/2006/relationships/vmlDrawing" Target="../drawings/vmlDrawing20.v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comments" Target="../comments21.xml"/><Relationship Id="rId2" Type="http://schemas.openxmlformats.org/officeDocument/2006/relationships/drawing" Target="../drawings/drawing21.xml"/><Relationship Id="rId3" Type="http://schemas.openxmlformats.org/officeDocument/2006/relationships/vmlDrawing" Target="../drawings/vmlDrawing21.v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comments" Target="../comments22.xml"/><Relationship Id="rId2" Type="http://schemas.openxmlformats.org/officeDocument/2006/relationships/drawing" Target="../drawings/drawing22.xml"/><Relationship Id="rId3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5.5"/>
    <col customWidth="1" min="2" max="2" width="28.5"/>
    <col customWidth="1" min="3" max="4" width="6.38"/>
    <col customWidth="1" min="5" max="5" width="17.38"/>
    <col customWidth="1" min="8" max="8" width="12.63"/>
    <col customWidth="1" min="9" max="9" width="8.88"/>
    <col customWidth="1" min="10" max="10" width="12.63"/>
  </cols>
  <sheetData>
    <row r="1">
      <c r="A1" s="1" t="s">
        <v>0</v>
      </c>
      <c r="J1" s="2" t="b">
        <v>0</v>
      </c>
    </row>
    <row r="2">
      <c r="A2" s="3" t="s">
        <v>1</v>
      </c>
    </row>
    <row r="3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</row>
    <row r="4">
      <c r="A4" s="5" t="str">
        <f>HYPERLINK("https://docs.google.com/spreadsheets/d/1RepZ5n-45tou-9vu20l8ffErT4TfBaLDdyY8BwxQDsI/edit#gid=1762088049", "me2pt5")</f>
        <v>me2pt5</v>
      </c>
      <c r="B4" s="6" t="s">
        <v>12</v>
      </c>
      <c r="C4" s="6" t="s">
        <v>13</v>
      </c>
      <c r="D4" s="6" t="s">
        <v>13</v>
      </c>
      <c r="E4" s="6" t="s">
        <v>14</v>
      </c>
      <c r="F4" s="6" t="s">
        <v>15</v>
      </c>
      <c r="G4" s="7">
        <v>295.0</v>
      </c>
      <c r="H4" s="6" t="s">
        <v>16</v>
      </c>
      <c r="I4" s="6" t="b">
        <v>1</v>
      </c>
      <c r="J4" s="6" t="b">
        <v>0</v>
      </c>
    </row>
    <row r="5">
      <c r="A5" s="5" t="str">
        <f>HYPERLINK("https://docs.google.com/spreadsheets/d/1RepZ5n-45tou-9vu20l8ffErT4TfBaLDdyY8BwxQDsI/edit#gid=901126333", "me2")</f>
        <v>me2</v>
      </c>
      <c r="B5" s="6" t="s">
        <v>17</v>
      </c>
      <c r="C5" s="6" t="str">
        <f>IMAGE("https://images.pokemontcg.io/me2/logo.png", 1)</f>
        <v/>
      </c>
      <c r="D5" s="6" t="str">
        <f>IMAGE("https://images.pokemontcg.io/me2/symbol.png", 1)</f>
        <v/>
      </c>
      <c r="E5" s="6" t="s">
        <v>18</v>
      </c>
      <c r="F5" s="8">
        <v>45975.0</v>
      </c>
      <c r="G5" s="7">
        <v>94.0</v>
      </c>
      <c r="H5" s="6" t="s">
        <v>19</v>
      </c>
      <c r="I5" s="6" t="b">
        <v>1</v>
      </c>
      <c r="J5" s="6" t="b">
        <v>0</v>
      </c>
    </row>
    <row r="6">
      <c r="A6" s="6" t="s">
        <v>20</v>
      </c>
      <c r="B6" s="6" t="s">
        <v>18</v>
      </c>
      <c r="C6" s="6" t="str">
        <f>IMAGE("https://images.pokemontcg.io/me1/logo.png", 1)</f>
        <v/>
      </c>
      <c r="D6" s="6" t="str">
        <f>IMAGE("https://images.pokemontcg.io/me1/symbol.png", 1)</f>
        <v/>
      </c>
      <c r="E6" s="6" t="s">
        <v>14</v>
      </c>
      <c r="F6" s="8">
        <v>45926.0</v>
      </c>
      <c r="G6" s="7">
        <v>132.0</v>
      </c>
      <c r="H6" s="6" t="s">
        <v>21</v>
      </c>
      <c r="I6" s="6" t="b">
        <v>0</v>
      </c>
      <c r="J6" s="6" t="b">
        <v>0</v>
      </c>
    </row>
    <row r="7">
      <c r="A7" s="6" t="s">
        <v>22</v>
      </c>
      <c r="B7" s="6" t="s">
        <v>23</v>
      </c>
      <c r="C7" s="6" t="str">
        <f>IMAGE("https://images.pokemontcg.io/zsv10pt5/logo.png", 1)</f>
        <v/>
      </c>
      <c r="D7" s="6" t="str">
        <f>IMAGE("https://images.pokemontcg.io/zsv10pt5/symbol.png", 1)</f>
        <v/>
      </c>
      <c r="E7" s="6" t="s">
        <v>24</v>
      </c>
      <c r="F7" s="8">
        <v>45856.0</v>
      </c>
      <c r="G7" s="7">
        <v>172.0</v>
      </c>
      <c r="H7" s="6" t="s">
        <v>25</v>
      </c>
      <c r="I7" s="6" t="b">
        <v>0</v>
      </c>
      <c r="J7" s="6" t="b">
        <v>0</v>
      </c>
    </row>
    <row r="8">
      <c r="A8" s="6" t="s">
        <v>26</v>
      </c>
      <c r="B8" s="6" t="s">
        <v>27</v>
      </c>
      <c r="C8" s="6" t="str">
        <f>IMAGE("https://images.pokemontcg.io/rsv10pt5/logo.png", 1)</f>
        <v/>
      </c>
      <c r="D8" s="6" t="str">
        <f>IMAGE("https://images.pokemontcg.io/rsv10pt5/symbol.png", 1)</f>
        <v/>
      </c>
      <c r="E8" s="6" t="s">
        <v>24</v>
      </c>
      <c r="F8" s="8">
        <v>45856.0</v>
      </c>
      <c r="G8" s="7">
        <v>173.0</v>
      </c>
      <c r="H8" s="6" t="s">
        <v>28</v>
      </c>
      <c r="I8" s="6" t="b">
        <v>0</v>
      </c>
      <c r="J8" s="6" t="b">
        <v>0</v>
      </c>
    </row>
    <row r="9">
      <c r="A9" s="5" t="str">
        <f>HYPERLINK("https://docs.google.com/spreadsheets/d/1RepZ5n-45tou-9vu20l8ffErT4TfBaLDdyY8BwxQDsI/edit#gid=83769221", "sv10")</f>
        <v>sv10</v>
      </c>
      <c r="B9" s="6" t="s">
        <v>29</v>
      </c>
      <c r="C9" s="6" t="str">
        <f>IMAGE("https://images.pokemontcg.io/sv10/logo.png", 1)</f>
        <v/>
      </c>
      <c r="D9" s="6" t="str">
        <f>IMAGE("https://images.pokemontcg.io/sv10/symbol.png", 1)</f>
        <v/>
      </c>
      <c r="E9" s="6" t="s">
        <v>24</v>
      </c>
      <c r="F9" s="8">
        <v>45807.0</v>
      </c>
      <c r="G9" s="7">
        <v>182.0</v>
      </c>
      <c r="H9" s="6" t="s">
        <v>30</v>
      </c>
      <c r="I9" s="6" t="b">
        <v>1</v>
      </c>
      <c r="J9" s="6" t="b">
        <v>0</v>
      </c>
    </row>
    <row r="10">
      <c r="A10" s="5" t="str">
        <f>HYPERLINK("https://docs.google.com/spreadsheets/d/1RepZ5n-45tou-9vu20l8ffErT4TfBaLDdyY8BwxQDsI/edit#gid=24264819", "sv9")</f>
        <v>sv9</v>
      </c>
      <c r="B10" s="6" t="s">
        <v>31</v>
      </c>
      <c r="C10" s="6" t="str">
        <f>IMAGE("https://images.pokemontcg.io/sv9/logo.png", 1)</f>
        <v/>
      </c>
      <c r="D10" s="6" t="str">
        <f>IMAGE("https://images.pokemontcg.io/sv9/symbol.png", 1)</f>
        <v/>
      </c>
      <c r="E10" s="6" t="s">
        <v>24</v>
      </c>
      <c r="F10" s="8">
        <v>45744.0</v>
      </c>
      <c r="G10" s="7">
        <v>159.0</v>
      </c>
      <c r="H10" s="6" t="s">
        <v>32</v>
      </c>
      <c r="I10" s="6" t="b">
        <v>1</v>
      </c>
      <c r="J10" s="6" t="b">
        <v>0</v>
      </c>
    </row>
    <row r="11">
      <c r="A11" s="5" t="str">
        <f>HYPERLINK("https://docs.google.com/spreadsheets/d/1RepZ5n-45tou-9vu20l8ffErT4TfBaLDdyY8BwxQDsI/edit#gid=1052291442", "sv8pt5")</f>
        <v>sv8pt5</v>
      </c>
      <c r="B11" s="6" t="s">
        <v>33</v>
      </c>
      <c r="C11" s="6" t="str">
        <f>IMAGE("https://images.pokemontcg.io/sv8pt5/logo.png", 1)</f>
        <v/>
      </c>
      <c r="D11" s="6" t="str">
        <f>IMAGE("https://images.pokemontcg.io/sv8pt5/symbol.png", 1)</f>
        <v/>
      </c>
      <c r="E11" s="6" t="s">
        <v>24</v>
      </c>
      <c r="F11" s="8">
        <v>45674.0</v>
      </c>
      <c r="G11" s="7">
        <v>131.0</v>
      </c>
      <c r="H11" s="6" t="s">
        <v>34</v>
      </c>
      <c r="I11" s="6" t="b">
        <v>1</v>
      </c>
      <c r="J11" s="6" t="b">
        <v>0</v>
      </c>
    </row>
    <row r="12">
      <c r="A12" s="5" t="str">
        <f>HYPERLINK("https://docs.google.com/spreadsheets/d/1RepZ5n-45tou-9vu20l8ffErT4TfBaLDdyY8BwxQDsI/edit#gid=822012895", "sv8")</f>
        <v>sv8</v>
      </c>
      <c r="B12" s="6" t="s">
        <v>35</v>
      </c>
      <c r="C12" s="6" t="str">
        <f>IMAGE("https://images.pokemontcg.io/sv8/logo.png", 1)</f>
        <v/>
      </c>
      <c r="D12" s="6" t="str">
        <f>IMAGE("https://images.pokemontcg.io/sv8/symbol.png", 1)</f>
        <v/>
      </c>
      <c r="E12" s="6" t="s">
        <v>24</v>
      </c>
      <c r="F12" s="8">
        <v>45604.0</v>
      </c>
      <c r="G12" s="7">
        <v>191.0</v>
      </c>
      <c r="H12" s="6" t="s">
        <v>36</v>
      </c>
      <c r="I12" s="6" t="b">
        <v>1</v>
      </c>
      <c r="J12" s="6" t="b">
        <v>0</v>
      </c>
    </row>
    <row r="13">
      <c r="A13" s="5" t="str">
        <f>HYPERLINK("https://docs.google.com/spreadsheets/d/1RepZ5n-45tou-9vu20l8ffErT4TfBaLDdyY8BwxQDsI/edit#gid=539531712", "sv7")</f>
        <v>sv7</v>
      </c>
      <c r="B13" s="6" t="s">
        <v>37</v>
      </c>
      <c r="C13" s="6" t="str">
        <f>IMAGE("https://images.pokemontcg.io/sv7/logo.png", 1)</f>
        <v/>
      </c>
      <c r="D13" s="6" t="str">
        <f>IMAGE("https://images.pokemontcg.io/sv7/symbol.png", 1)</f>
        <v/>
      </c>
      <c r="E13" s="6" t="s">
        <v>24</v>
      </c>
      <c r="F13" s="8">
        <v>45548.0</v>
      </c>
      <c r="G13" s="7">
        <v>142.0</v>
      </c>
      <c r="H13" s="6" t="s">
        <v>38</v>
      </c>
      <c r="I13" s="6" t="b">
        <v>1</v>
      </c>
      <c r="J13" s="6" t="b">
        <v>0</v>
      </c>
    </row>
    <row r="14">
      <c r="A14" s="5" t="str">
        <f>HYPERLINK("https://docs.google.com/spreadsheets/d/1RepZ5n-45tou-9vu20l8ffErT4TfBaLDdyY8BwxQDsI/edit#gid=1843630671", "sv6pt5")</f>
        <v>sv6pt5</v>
      </c>
      <c r="B14" s="9" t="s">
        <v>39</v>
      </c>
      <c r="C14" s="6" t="str">
        <f>IMAGE("https://images.pokemontcg.io/sv6pt5/logo.png", 1)</f>
        <v/>
      </c>
      <c r="D14" s="6" t="str">
        <f>IMAGE("https://images.pokemontcg.io/sv6pt5/symbol.png", 1)</f>
        <v/>
      </c>
      <c r="E14" s="6" t="s">
        <v>24</v>
      </c>
      <c r="F14" s="8">
        <v>45506.0</v>
      </c>
      <c r="G14" s="7">
        <v>64.0</v>
      </c>
      <c r="H14" s="6" t="s">
        <v>40</v>
      </c>
      <c r="I14" s="6" t="b">
        <v>1</v>
      </c>
      <c r="J14" s="6" t="b">
        <v>0</v>
      </c>
    </row>
    <row r="15">
      <c r="A15" s="5" t="str">
        <f>HYPERLINK("https://docs.google.com/spreadsheets/d/1RepZ5n-45tou-9vu20l8ffErT4TfBaLDdyY8BwxQDsI/edit#gid=1193562416", "sv6")</f>
        <v>sv6</v>
      </c>
      <c r="B15" s="6" t="s">
        <v>41</v>
      </c>
      <c r="C15" s="6" t="str">
        <f>IMAGE("https://images.pokemontcg.io/sv6/logo.png", 1)</f>
        <v/>
      </c>
      <c r="D15" s="6" t="str">
        <f>IMAGE("https://images.pokemontcg.io/sv6/symbol.png", 1)</f>
        <v/>
      </c>
      <c r="E15" s="6" t="s">
        <v>24</v>
      </c>
      <c r="F15" s="8">
        <v>45436.0</v>
      </c>
      <c r="G15" s="7">
        <v>167.0</v>
      </c>
      <c r="H15" s="6" t="s">
        <v>42</v>
      </c>
      <c r="I15" s="6" t="b">
        <v>1</v>
      </c>
      <c r="J15" s="6" t="b">
        <v>0</v>
      </c>
    </row>
    <row r="16">
      <c r="A16" s="5" t="str">
        <f>HYPERLINK("https://docs.google.com/spreadsheets/d/1RepZ5n-45tou-9vu20l8ffErT4TfBaLDdyY8BwxQDsI/edit#gid=123170925", "sv5")</f>
        <v>sv5</v>
      </c>
      <c r="B16" s="6" t="s">
        <v>43</v>
      </c>
      <c r="C16" s="6" t="str">
        <f>IMAGE("https://images.pokemontcg.io/sv5/logo.png", 1)</f>
        <v/>
      </c>
      <c r="D16" s="6" t="str">
        <f>IMAGE("https://images.pokemontcg.io/sv5/symbol.png", 1)</f>
        <v/>
      </c>
      <c r="E16" s="6" t="s">
        <v>24</v>
      </c>
      <c r="F16" s="8">
        <v>45373.0</v>
      </c>
      <c r="G16" s="7">
        <v>162.0</v>
      </c>
      <c r="H16" s="6" t="s">
        <v>44</v>
      </c>
      <c r="I16" s="6" t="b">
        <v>1</v>
      </c>
      <c r="J16" s="6" t="b">
        <v>0</v>
      </c>
    </row>
    <row r="17">
      <c r="A17" s="5" t="str">
        <f>HYPERLINK("https://docs.google.com/spreadsheets/d/1RepZ5n-45tou-9vu20l8ffErT4TfBaLDdyY8BwxQDsI/edit#gid=2079761047", "sv4pt5")</f>
        <v>sv4pt5</v>
      </c>
      <c r="B17" s="6" t="s">
        <v>45</v>
      </c>
      <c r="C17" s="6" t="str">
        <f>IMAGE("https://images.pokemontcg.io/sv4pt5/logo.png", 1)</f>
        <v/>
      </c>
      <c r="D17" s="6" t="str">
        <f>IMAGE("https://images.pokemontcg.io/sv4pt5/symbol.png", 1)</f>
        <v/>
      </c>
      <c r="E17" s="6" t="s">
        <v>24</v>
      </c>
      <c r="F17" s="8">
        <v>45317.0</v>
      </c>
      <c r="G17" s="7">
        <v>91.0</v>
      </c>
      <c r="H17" s="6" t="s">
        <v>46</v>
      </c>
      <c r="I17" s="6" t="b">
        <v>1</v>
      </c>
      <c r="J17" s="6" t="b">
        <v>0</v>
      </c>
    </row>
    <row r="18">
      <c r="A18" s="5" t="str">
        <f>HYPERLINK("https://docs.google.com/spreadsheets/d/1RepZ5n-45tou-9vu20l8ffErT4TfBaLDdyY8BwxQDsI/edit#gid=1113170307", "sv4")</f>
        <v>sv4</v>
      </c>
      <c r="B18" s="6" t="s">
        <v>47</v>
      </c>
      <c r="C18" s="6" t="str">
        <f>IMAGE("https://images.pokemontcg.io/sv4/logo.png", 1)</f>
        <v/>
      </c>
      <c r="D18" s="6" t="str">
        <f>IMAGE("https://images.pokemontcg.io/sv4/symbol.png", 1)</f>
        <v/>
      </c>
      <c r="E18" s="6" t="s">
        <v>24</v>
      </c>
      <c r="F18" s="8">
        <v>45233.0</v>
      </c>
      <c r="G18" s="7">
        <v>182.0</v>
      </c>
      <c r="H18" s="6" t="s">
        <v>48</v>
      </c>
      <c r="I18" s="6" t="b">
        <v>1</v>
      </c>
      <c r="J18" s="6" t="b">
        <v>0</v>
      </c>
    </row>
    <row r="19">
      <c r="A19" s="5" t="str">
        <f>HYPERLINK("https://docs.google.com/spreadsheets/d/1RepZ5n-45tou-9vu20l8ffErT4TfBaLDdyY8BwxQDsI/edit#gid=291685569", "sv3pt5")</f>
        <v>sv3pt5</v>
      </c>
      <c r="B19" s="6">
        <v>151.0</v>
      </c>
      <c r="C19" s="6" t="str">
        <f>IMAGE("https://images.pokemontcg.io/sv3pt5/logo.png", 1)</f>
        <v/>
      </c>
      <c r="D19" s="6" t="str">
        <f>IMAGE("https://images.pokemontcg.io/sv3pt5/symbol.png", 1)</f>
        <v/>
      </c>
      <c r="E19" s="6" t="s">
        <v>24</v>
      </c>
      <c r="F19" s="8">
        <v>45191.0</v>
      </c>
      <c r="G19" s="7">
        <v>165.0</v>
      </c>
      <c r="H19" s="6" t="s">
        <v>49</v>
      </c>
      <c r="I19" s="6" t="b">
        <v>1</v>
      </c>
      <c r="J19" s="6" t="b">
        <v>0</v>
      </c>
    </row>
    <row r="20">
      <c r="A20" s="5" t="str">
        <f>HYPERLINK("https://docs.google.com/spreadsheets/d/1RepZ5n-45tou-9vu20l8ffErT4TfBaLDdyY8BwxQDsI/edit#gid=1198493475", "sv3")</f>
        <v>sv3</v>
      </c>
      <c r="B20" s="6" t="s">
        <v>50</v>
      </c>
      <c r="C20" s="6" t="str">
        <f>IMAGE("https://images.pokemontcg.io/sv3/logo.png", 1)</f>
        <v/>
      </c>
      <c r="D20" s="6" t="str">
        <f>IMAGE("https://images.pokemontcg.io/sv3/symbol.png", 1)</f>
        <v/>
      </c>
      <c r="E20" s="6" t="s">
        <v>24</v>
      </c>
      <c r="F20" s="8">
        <v>45149.0</v>
      </c>
      <c r="G20" s="7">
        <v>197.0</v>
      </c>
      <c r="H20" s="6" t="s">
        <v>51</v>
      </c>
      <c r="I20" s="6" t="b">
        <v>1</v>
      </c>
      <c r="J20" s="6" t="b">
        <v>0</v>
      </c>
    </row>
    <row r="21">
      <c r="A21" s="5" t="str">
        <f>HYPERLINK("https://docs.google.com/spreadsheets/d/1RepZ5n-45tou-9vu20l8ffErT4TfBaLDdyY8BwxQDsI/edit#gid=1799177577", "sv2")</f>
        <v>sv2</v>
      </c>
      <c r="B21" s="6" t="s">
        <v>52</v>
      </c>
      <c r="C21" s="6" t="str">
        <f>IMAGE("https://images.pokemontcg.io/sv2/logo.png", 1)</f>
        <v/>
      </c>
      <c r="D21" s="6" t="str">
        <f>IMAGE("https://images.pokemontcg.io/sv2/symbol.png", 1)</f>
        <v/>
      </c>
      <c r="E21" s="6" t="s">
        <v>24</v>
      </c>
      <c r="F21" s="8">
        <v>45086.0</v>
      </c>
      <c r="G21" s="7">
        <v>193.0</v>
      </c>
      <c r="H21" s="6" t="s">
        <v>53</v>
      </c>
      <c r="I21" s="6" t="b">
        <v>1</v>
      </c>
      <c r="J21" s="6" t="b">
        <v>0</v>
      </c>
    </row>
    <row r="22">
      <c r="A22" s="6" t="s">
        <v>54</v>
      </c>
      <c r="B22" s="6" t="s">
        <v>55</v>
      </c>
      <c r="C22" s="6" t="str">
        <f>IMAGE("https://images.pokemontcg.io/sve/logo.png", 1)</f>
        <v/>
      </c>
      <c r="D22" s="6" t="str">
        <f>IMAGE("https://images.pokemontcg.io/sve/symbol.png", 1)</f>
        <v/>
      </c>
      <c r="E22" s="6" t="s">
        <v>24</v>
      </c>
      <c r="F22" s="10">
        <v>45016.0</v>
      </c>
      <c r="G22" s="7">
        <v>8.0</v>
      </c>
      <c r="H22" s="6" t="s">
        <v>56</v>
      </c>
      <c r="I22" s="6" t="b">
        <v>0</v>
      </c>
      <c r="J22" s="6" t="b">
        <v>0</v>
      </c>
    </row>
    <row r="23">
      <c r="A23" s="5" t="str">
        <f>HYPERLINK("https://docs.google.com/spreadsheets/d/1RepZ5n-45tou-9vu20l8ffErT4TfBaLDdyY8BwxQDsI/edit#gid=1892588256", "sv1")</f>
        <v>sv1</v>
      </c>
      <c r="B23" s="6" t="s">
        <v>57</v>
      </c>
      <c r="C23" s="6" t="str">
        <f>IMAGE("https://images.pokemontcg.io/sv1/logo.png", 1)</f>
        <v/>
      </c>
      <c r="D23" s="6" t="str">
        <f>IMAGE("https://images.pokemontcg.io/sv1/symbol.png", 1)</f>
        <v/>
      </c>
      <c r="E23" s="6" t="s">
        <v>24</v>
      </c>
      <c r="F23" s="10">
        <v>45016.0</v>
      </c>
      <c r="G23" s="7">
        <v>198.0</v>
      </c>
      <c r="H23" s="6" t="s">
        <v>58</v>
      </c>
      <c r="I23" s="6" t="b">
        <v>1</v>
      </c>
      <c r="J23" s="6" t="b">
        <v>0</v>
      </c>
    </row>
    <row r="24">
      <c r="A24" s="5" t="str">
        <f>HYPERLINK("https://docs.google.com/spreadsheets/d/1RepZ5n-45tou-9vu20l8ffErT4TfBaLDdyY8BwxQDsI/edit#gid=1650913624", "swsh12pt5")</f>
        <v>swsh12pt5</v>
      </c>
      <c r="B24" s="6" t="s">
        <v>59</v>
      </c>
      <c r="C24" s="6" t="str">
        <f>IMAGE("https://images.pokemontcg.io/swsh12pt5/logo.png", 1)</f>
        <v/>
      </c>
      <c r="D24" s="6" t="str">
        <f>IMAGE("https://images.pokemontcg.io/swsh12pt5/symbol.png", 1)</f>
        <v/>
      </c>
      <c r="E24" s="6" t="s">
        <v>60</v>
      </c>
      <c r="F24" s="8">
        <v>44946.0</v>
      </c>
      <c r="G24" s="7">
        <v>159.0</v>
      </c>
      <c r="H24" s="6" t="s">
        <v>61</v>
      </c>
      <c r="I24" s="6" t="b">
        <v>1</v>
      </c>
      <c r="J24" s="6" t="b">
        <v>0</v>
      </c>
    </row>
    <row r="25">
      <c r="A25" s="6" t="s">
        <v>62</v>
      </c>
      <c r="B25" s="6" t="s">
        <v>63</v>
      </c>
      <c r="C25" s="6" t="str">
        <f>IMAGE("https://images.pokemontcg.io/swsh12pt5gg/logo.png", 1)</f>
        <v/>
      </c>
      <c r="D25" s="6" t="str">
        <f>IMAGE("https://images.pokemontcg.io/swsh12pt5gg/symbol.png", 1)</f>
        <v/>
      </c>
      <c r="E25" s="6" t="s">
        <v>60</v>
      </c>
      <c r="F25" s="8">
        <v>44946.0</v>
      </c>
      <c r="G25" s="7">
        <v>70.0</v>
      </c>
      <c r="H25" s="6" t="s">
        <v>61</v>
      </c>
      <c r="I25" s="6" t="b">
        <v>0</v>
      </c>
      <c r="J25" s="6" t="b">
        <v>0</v>
      </c>
    </row>
    <row r="26">
      <c r="A26" s="5" t="str">
        <f>HYPERLINK("https://docs.google.com/spreadsheets/d/1RepZ5n-45tou-9vu20l8ffErT4TfBaLDdyY8BwxQDsI/edit#gid=1556373753", "svp")</f>
        <v>svp</v>
      </c>
      <c r="B26" s="6" t="s">
        <v>64</v>
      </c>
      <c r="C26" s="6" t="str">
        <f>IMAGE("https://images.pokemontcg.io/svp/logo.png", 1)</f>
        <v/>
      </c>
      <c r="D26" s="6" t="str">
        <f>IMAGE("https://images.pokemontcg.io/svp/symbol.png", 1)</f>
        <v/>
      </c>
      <c r="E26" s="6" t="s">
        <v>24</v>
      </c>
      <c r="F26" s="8">
        <v>44927.0</v>
      </c>
      <c r="G26" s="7">
        <v>75.0</v>
      </c>
      <c r="H26" s="6" t="s">
        <v>65</v>
      </c>
      <c r="I26" s="6" t="b">
        <v>1</v>
      </c>
      <c r="J26" s="6" t="b">
        <v>0</v>
      </c>
    </row>
    <row r="27">
      <c r="A27" s="6" t="s">
        <v>66</v>
      </c>
      <c r="B27" s="6" t="s">
        <v>67</v>
      </c>
      <c r="C27" s="6" t="str">
        <f>IMAGE("https://images.pokemontcg.io/swsh12/logo.png", 1)</f>
        <v/>
      </c>
      <c r="D27" s="6" t="str">
        <f>IMAGE("https://images.pokemontcg.io/swsh12/symbol.png", 1)</f>
        <v/>
      </c>
      <c r="E27" s="6" t="s">
        <v>60</v>
      </c>
      <c r="F27" s="8">
        <v>44876.0</v>
      </c>
      <c r="G27" s="7">
        <v>195.0</v>
      </c>
      <c r="H27" s="6" t="s">
        <v>68</v>
      </c>
      <c r="I27" s="6" t="b">
        <v>0</v>
      </c>
      <c r="J27" s="6" t="b">
        <v>0</v>
      </c>
    </row>
    <row r="28">
      <c r="A28" s="6" t="s">
        <v>69</v>
      </c>
      <c r="B28" s="6" t="s">
        <v>70</v>
      </c>
      <c r="C28" s="6" t="str">
        <f>IMAGE("https://images.pokemontcg.io/swsh12tg/logo.png", 1)</f>
        <v/>
      </c>
      <c r="D28" s="6" t="str">
        <f>IMAGE("https://images.pokemontcg.io/swsh12tg/symbol.png", 1)</f>
        <v/>
      </c>
      <c r="E28" s="6" t="s">
        <v>60</v>
      </c>
      <c r="F28" s="8">
        <v>44876.0</v>
      </c>
      <c r="G28" s="7">
        <v>30.0</v>
      </c>
      <c r="H28" s="6" t="s">
        <v>68</v>
      </c>
      <c r="I28" s="6" t="b">
        <v>0</v>
      </c>
      <c r="J28" s="6" t="b">
        <v>0</v>
      </c>
    </row>
    <row r="29">
      <c r="A29" s="6" t="s">
        <v>71</v>
      </c>
      <c r="B29" s="6" t="s">
        <v>72</v>
      </c>
      <c r="C29" s="6" t="str">
        <f>IMAGE("https://images.pokemontcg.io/swsh11/logo.png", 1)</f>
        <v/>
      </c>
      <c r="D29" s="6" t="str">
        <f>IMAGE("https://images.pokemontcg.io/swsh11/symbol.png", 1)</f>
        <v/>
      </c>
      <c r="E29" s="6" t="s">
        <v>60</v>
      </c>
      <c r="F29" s="8">
        <v>44813.0</v>
      </c>
      <c r="G29" s="7">
        <v>196.0</v>
      </c>
      <c r="H29" s="6" t="s">
        <v>73</v>
      </c>
      <c r="I29" s="6" t="b">
        <v>0</v>
      </c>
      <c r="J29" s="6" t="b">
        <v>0</v>
      </c>
    </row>
    <row r="30">
      <c r="A30" s="6" t="s">
        <v>74</v>
      </c>
      <c r="B30" s="6" t="s">
        <v>75</v>
      </c>
      <c r="C30" s="6" t="str">
        <f>IMAGE("https://images.pokemontcg.io/swsh11tg/logo.png", 1)</f>
        <v/>
      </c>
      <c r="D30" s="6" t="str">
        <f>IMAGE("https://images.pokemontcg.io/swsh11tg/symbol.png", 1)</f>
        <v/>
      </c>
      <c r="E30" s="6" t="s">
        <v>60</v>
      </c>
      <c r="F30" s="8">
        <v>44813.0</v>
      </c>
      <c r="G30" s="7">
        <v>30.0</v>
      </c>
      <c r="H30" s="6" t="s">
        <v>73</v>
      </c>
      <c r="I30" s="6" t="b">
        <v>0</v>
      </c>
      <c r="J30" s="6" t="b">
        <v>0</v>
      </c>
    </row>
    <row r="31">
      <c r="A31" s="6" t="s">
        <v>76</v>
      </c>
      <c r="B31" s="6" t="s">
        <v>77</v>
      </c>
      <c r="C31" s="6" t="str">
        <f>IMAGE("https://images.pokemontcg.io/mcd22/logo.png", 1)</f>
        <v/>
      </c>
      <c r="D31" s="6" t="str">
        <f>IMAGE("https://images.pokemontcg.io/mcd22/symbol.png", 1)</f>
        <v/>
      </c>
      <c r="E31" s="6" t="s">
        <v>78</v>
      </c>
      <c r="F31" s="8">
        <v>44776.0</v>
      </c>
      <c r="G31" s="7">
        <v>15.0</v>
      </c>
      <c r="H31" s="6"/>
      <c r="I31" s="6" t="b">
        <v>0</v>
      </c>
      <c r="J31" s="6" t="b">
        <v>0</v>
      </c>
    </row>
    <row r="32">
      <c r="A32" s="6" t="s">
        <v>79</v>
      </c>
      <c r="B32" s="6" t="s">
        <v>80</v>
      </c>
      <c r="C32" s="6" t="str">
        <f>IMAGE("https://images.pokemontcg.io/pgo/logo.png", 1)</f>
        <v/>
      </c>
      <c r="D32" s="6" t="str">
        <f>IMAGE("https://images.pokemontcg.io/pgo/symbol.png", 1)</f>
        <v/>
      </c>
      <c r="E32" s="6" t="s">
        <v>60</v>
      </c>
      <c r="F32" s="10">
        <v>44743.0</v>
      </c>
      <c r="G32" s="7">
        <v>78.0</v>
      </c>
      <c r="H32" s="6" t="s">
        <v>81</v>
      </c>
      <c r="I32" s="6" t="b">
        <v>0</v>
      </c>
      <c r="J32" s="6" t="b">
        <v>0</v>
      </c>
    </row>
    <row r="33">
      <c r="A33" s="6" t="s">
        <v>82</v>
      </c>
      <c r="B33" s="6" t="s">
        <v>83</v>
      </c>
      <c r="C33" s="6" t="str">
        <f>IMAGE("https://images.pokemontcg.io/swsh10/logo.png", 1)</f>
        <v/>
      </c>
      <c r="D33" s="6" t="str">
        <f>IMAGE("https://images.pokemontcg.io/swsh10/symbol.png", 1)</f>
        <v/>
      </c>
      <c r="E33" s="6" t="s">
        <v>60</v>
      </c>
      <c r="F33" s="8">
        <v>44708.0</v>
      </c>
      <c r="G33" s="7">
        <v>189.0</v>
      </c>
      <c r="H33" s="6" t="s">
        <v>84</v>
      </c>
      <c r="I33" s="6" t="b">
        <v>0</v>
      </c>
      <c r="J33" s="6" t="b">
        <v>0</v>
      </c>
    </row>
    <row r="34">
      <c r="A34" s="6" t="s">
        <v>85</v>
      </c>
      <c r="B34" s="6" t="s">
        <v>86</v>
      </c>
      <c r="C34" s="11" t="str">
        <f>IMAGE("https://images.pokemontcg.io/swsh10tg/logo.png", 1)</f>
        <v/>
      </c>
      <c r="D34" s="11" t="str">
        <f>IMAGE("https://images.pokemontcg.io/swsh10tg/symbol.png", 1)</f>
        <v/>
      </c>
      <c r="E34" s="6" t="s">
        <v>60</v>
      </c>
      <c r="F34" s="8">
        <v>44708.0</v>
      </c>
      <c r="G34" s="7">
        <v>30.0</v>
      </c>
      <c r="H34" s="6" t="s">
        <v>84</v>
      </c>
      <c r="I34" s="6" t="b">
        <v>0</v>
      </c>
      <c r="J34" s="6" t="b">
        <v>0</v>
      </c>
    </row>
    <row r="35">
      <c r="A35" s="6" t="s">
        <v>87</v>
      </c>
      <c r="B35" s="6" t="s">
        <v>88</v>
      </c>
      <c r="C35" s="6" t="str">
        <f>IMAGE("https://images.pokemontcg.io/swsh9/logo.png", 1)</f>
        <v/>
      </c>
      <c r="D35" s="6" t="str">
        <f>IMAGE("https://images.pokemontcg.io/swsh9/symbol.png", 1)</f>
        <v/>
      </c>
      <c r="E35" s="6" t="s">
        <v>60</v>
      </c>
      <c r="F35" s="8">
        <v>44617.0</v>
      </c>
      <c r="G35" s="7">
        <v>172.0</v>
      </c>
      <c r="H35" s="6" t="s">
        <v>89</v>
      </c>
      <c r="I35" s="6" t="b">
        <v>0</v>
      </c>
      <c r="J35" s="6" t="b">
        <v>0</v>
      </c>
    </row>
    <row r="36">
      <c r="A36" s="6" t="s">
        <v>90</v>
      </c>
      <c r="B36" s="6" t="s">
        <v>91</v>
      </c>
      <c r="C36" s="6" t="str">
        <f>IMAGE("https://images.pokemontcg.io/swsh9tg/logo.png", 1)</f>
        <v/>
      </c>
      <c r="D36" s="6" t="str">
        <f>IMAGE("https://images.pokemontcg.io/swsh9tg/symbol.png", 1)</f>
        <v/>
      </c>
      <c r="E36" s="6" t="s">
        <v>60</v>
      </c>
      <c r="F36" s="8">
        <v>44617.0</v>
      </c>
      <c r="G36" s="7">
        <v>30.0</v>
      </c>
      <c r="H36" s="6" t="s">
        <v>89</v>
      </c>
      <c r="I36" s="6" t="b">
        <v>0</v>
      </c>
      <c r="J36" s="6" t="b">
        <v>0</v>
      </c>
    </row>
    <row r="37">
      <c r="A37" s="6" t="s">
        <v>92</v>
      </c>
      <c r="B37" s="6" t="s">
        <v>93</v>
      </c>
      <c r="C37" s="6" t="str">
        <f>IMAGE("https://images.pokemontcg.io/swsh8/logo.png", 1)</f>
        <v/>
      </c>
      <c r="D37" s="6" t="str">
        <f>IMAGE("https://images.pokemontcg.io/swsh8/symbol.png", 1)</f>
        <v/>
      </c>
      <c r="E37" s="6" t="s">
        <v>60</v>
      </c>
      <c r="F37" s="8">
        <v>44512.0</v>
      </c>
      <c r="G37" s="7">
        <v>264.0</v>
      </c>
      <c r="H37" s="6" t="s">
        <v>94</v>
      </c>
      <c r="I37" s="6" t="b">
        <v>0</v>
      </c>
      <c r="J37" s="6" t="b">
        <v>0</v>
      </c>
    </row>
    <row r="38">
      <c r="A38" s="6" t="s">
        <v>95</v>
      </c>
      <c r="B38" s="6" t="s">
        <v>96</v>
      </c>
      <c r="C38" s="6" t="str">
        <f>IMAGE("https://images.pokemontcg.io/cel25/logo.png", 1)</f>
        <v/>
      </c>
      <c r="D38" s="6" t="str">
        <f>IMAGE("https://images.pokemontcg.io/cel25/symbol.png", 1)</f>
        <v/>
      </c>
      <c r="E38" s="6" t="s">
        <v>60</v>
      </c>
      <c r="F38" s="8">
        <v>44477.0</v>
      </c>
      <c r="G38" s="7">
        <v>25.0</v>
      </c>
      <c r="H38" s="6" t="s">
        <v>97</v>
      </c>
      <c r="I38" s="6" t="b">
        <v>0</v>
      </c>
      <c r="J38" s="6" t="b">
        <v>0</v>
      </c>
    </row>
    <row r="39">
      <c r="A39" s="6" t="s">
        <v>98</v>
      </c>
      <c r="B39" s="6" t="s">
        <v>96</v>
      </c>
      <c r="C39" s="6" t="str">
        <f>IMAGE("https://images.pokemontcg.io/cel25c/logo.png", 1)</f>
        <v/>
      </c>
      <c r="D39" s="6" t="str">
        <f>IMAGE("https://images.pokemontcg.io/cel25c/symbol.png", 1)</f>
        <v/>
      </c>
      <c r="E39" s="6" t="s">
        <v>60</v>
      </c>
      <c r="F39" s="8">
        <v>44477.0</v>
      </c>
      <c r="G39" s="7">
        <v>25.0</v>
      </c>
      <c r="H39" s="6" t="s">
        <v>97</v>
      </c>
      <c r="I39" s="6" t="b">
        <v>0</v>
      </c>
      <c r="J39" s="6" t="b">
        <v>0</v>
      </c>
    </row>
    <row r="40">
      <c r="A40" s="6" t="s">
        <v>99</v>
      </c>
      <c r="B40" s="6" t="s">
        <v>100</v>
      </c>
      <c r="C40" s="6" t="str">
        <f>IMAGE("https://images.pokemontcg.io/swsh7/logo.png", 1)</f>
        <v/>
      </c>
      <c r="D40" s="6" t="str">
        <f>IMAGE("https://images.pokemontcg.io/swsh7/symbol.png", 1)</f>
        <v/>
      </c>
      <c r="E40" s="6" t="s">
        <v>60</v>
      </c>
      <c r="F40" s="8">
        <v>44435.0</v>
      </c>
      <c r="G40" s="7">
        <v>203.0</v>
      </c>
      <c r="H40" s="6" t="s">
        <v>101</v>
      </c>
      <c r="I40" s="6" t="b">
        <v>0</v>
      </c>
      <c r="J40" s="6" t="b">
        <v>0</v>
      </c>
    </row>
    <row r="41">
      <c r="A41" s="6" t="s">
        <v>102</v>
      </c>
      <c r="B41" s="6" t="s">
        <v>103</v>
      </c>
      <c r="C41" s="6" t="str">
        <f>IMAGE("https://images.pokemontcg.io/swsh6/logo.png", 1)</f>
        <v/>
      </c>
      <c r="D41" s="6" t="str">
        <f>IMAGE("https://images.pokemontcg.io/swsh6/symbol.png", 1)</f>
        <v/>
      </c>
      <c r="E41" s="6" t="s">
        <v>60</v>
      </c>
      <c r="F41" s="10">
        <v>44365.0</v>
      </c>
      <c r="G41" s="7">
        <v>198.0</v>
      </c>
      <c r="H41" s="6" t="s">
        <v>104</v>
      </c>
      <c r="I41" s="6" t="b">
        <v>0</v>
      </c>
      <c r="J41" s="6" t="b">
        <v>0</v>
      </c>
    </row>
    <row r="42">
      <c r="A42" s="6" t="s">
        <v>105</v>
      </c>
      <c r="B42" s="6" t="s">
        <v>106</v>
      </c>
      <c r="C42" s="6" t="str">
        <f>IMAGE("https://images.pokemontcg.io/swsh5/logo.png", 1)</f>
        <v/>
      </c>
      <c r="D42" s="6" t="str">
        <f>IMAGE("https://images.pokemontcg.io/swsh5/symbol.png", 1)</f>
        <v/>
      </c>
      <c r="E42" s="6" t="s">
        <v>60</v>
      </c>
      <c r="F42" s="8">
        <v>44274.0</v>
      </c>
      <c r="G42" s="7">
        <v>163.0</v>
      </c>
      <c r="H42" s="6" t="s">
        <v>107</v>
      </c>
      <c r="I42" s="6" t="b">
        <v>0</v>
      </c>
      <c r="J42" s="6" t="b">
        <v>0</v>
      </c>
    </row>
    <row r="43">
      <c r="A43" s="6" t="s">
        <v>108</v>
      </c>
      <c r="B43" s="6" t="s">
        <v>109</v>
      </c>
      <c r="C43" s="11" t="str">
        <f>IMAGE("https://images.pokemontcg.io/swsh45/logo.png", 1)</f>
        <v/>
      </c>
      <c r="D43" s="11" t="str">
        <f>IMAGE("https://images.pokemontcg.io/swsh45/symbol.png", 1)</f>
        <v/>
      </c>
      <c r="E43" s="6" t="s">
        <v>60</v>
      </c>
      <c r="F43" s="8">
        <v>44246.0</v>
      </c>
      <c r="G43" s="7">
        <v>72.0</v>
      </c>
      <c r="H43" s="6" t="s">
        <v>110</v>
      </c>
      <c r="I43" s="6" t="b">
        <v>0</v>
      </c>
      <c r="J43" s="6" t="b">
        <v>0</v>
      </c>
    </row>
    <row r="44">
      <c r="A44" s="6" t="s">
        <v>111</v>
      </c>
      <c r="B44" s="6" t="s">
        <v>112</v>
      </c>
      <c r="C44" s="6" t="str">
        <f>IMAGE("https://images.pokemontcg.io/swsh45sv/logo.png", 1)</f>
        <v/>
      </c>
      <c r="D44" s="6" t="str">
        <f>IMAGE("https://images.pokemontcg.io/swsh45sv/symbol.png", 1)</f>
        <v/>
      </c>
      <c r="E44" s="6" t="s">
        <v>60</v>
      </c>
      <c r="F44" s="8">
        <v>44246.0</v>
      </c>
      <c r="G44" s="7">
        <v>122.0</v>
      </c>
      <c r="H44" s="6" t="s">
        <v>110</v>
      </c>
      <c r="I44" s="6" t="b">
        <v>0</v>
      </c>
      <c r="J44" s="6" t="b">
        <v>0</v>
      </c>
    </row>
    <row r="45">
      <c r="A45" s="6" t="s">
        <v>113</v>
      </c>
      <c r="B45" s="6" t="s">
        <v>114</v>
      </c>
      <c r="C45" s="6" t="str">
        <f>IMAGE("https://images.pokemontcg.io/mcd21/logo.png", 1)</f>
        <v/>
      </c>
      <c r="D45" s="6" t="str">
        <f>IMAGE("https://images.pokemontcg.io/mcd21/symbol.png", 1)</f>
        <v/>
      </c>
      <c r="E45" s="6" t="s">
        <v>78</v>
      </c>
      <c r="F45" s="8">
        <v>44236.0</v>
      </c>
      <c r="G45" s="7">
        <v>25.0</v>
      </c>
      <c r="H45" s="6"/>
      <c r="I45" s="6" t="b">
        <v>0</v>
      </c>
      <c r="J45" s="6" t="b">
        <v>0</v>
      </c>
    </row>
    <row r="46">
      <c r="A46" s="6" t="s">
        <v>115</v>
      </c>
      <c r="B46" s="6" t="s">
        <v>116</v>
      </c>
      <c r="C46" s="6" t="str">
        <f>IMAGE("https://images.pokemontcg.io/swsh4/logo.png", 1)</f>
        <v/>
      </c>
      <c r="D46" s="6" t="str">
        <f>IMAGE("https://images.pokemontcg.io/swsh4/symbol.png", 1)</f>
        <v/>
      </c>
      <c r="E46" s="6" t="s">
        <v>60</v>
      </c>
      <c r="F46" s="8">
        <v>44148.0</v>
      </c>
      <c r="G46" s="7">
        <v>185.0</v>
      </c>
      <c r="H46" s="6" t="s">
        <v>117</v>
      </c>
      <c r="I46" s="6" t="b">
        <v>0</v>
      </c>
      <c r="J46" s="6" t="b">
        <v>0</v>
      </c>
    </row>
    <row r="47">
      <c r="A47" s="6" t="s">
        <v>118</v>
      </c>
      <c r="B47" s="6" t="s">
        <v>119</v>
      </c>
      <c r="C47" s="11" t="str">
        <f>IMAGE("https://images.pokemontcg.io/swsh35/logo.png", 1)</f>
        <v/>
      </c>
      <c r="D47" s="11" t="str">
        <f>IMAGE("https://images.pokemontcg.io/swsh35/symbol.png", 1)</f>
        <v/>
      </c>
      <c r="E47" s="6" t="s">
        <v>60</v>
      </c>
      <c r="F47" s="10">
        <v>44099.0</v>
      </c>
      <c r="G47" s="7">
        <v>73.0</v>
      </c>
      <c r="H47" s="6" t="s">
        <v>120</v>
      </c>
      <c r="I47" s="6" t="b">
        <v>0</v>
      </c>
      <c r="J47" s="6" t="b">
        <v>0</v>
      </c>
    </row>
    <row r="48">
      <c r="A48" s="6" t="s">
        <v>121</v>
      </c>
      <c r="B48" s="6" t="s">
        <v>122</v>
      </c>
      <c r="C48" s="6" t="str">
        <f>IMAGE("https://images.pokemontcg.io/fut20/logo.png", 1)</f>
        <v/>
      </c>
      <c r="D48" s="6" t="str">
        <f>IMAGE("https://images.pokemontcg.io/fut20/symbol.png", 1)</f>
        <v/>
      </c>
      <c r="E48" s="6" t="s">
        <v>78</v>
      </c>
      <c r="F48" s="8">
        <v>44085.0</v>
      </c>
      <c r="G48" s="7">
        <v>5.0</v>
      </c>
      <c r="H48" s="6" t="s">
        <v>123</v>
      </c>
      <c r="I48" s="6" t="b">
        <v>0</v>
      </c>
      <c r="J48" s="6" t="b">
        <v>0</v>
      </c>
    </row>
    <row r="49">
      <c r="A49" s="6" t="s">
        <v>124</v>
      </c>
      <c r="B49" s="6" t="s">
        <v>125</v>
      </c>
      <c r="C49" s="11" t="str">
        <f>IMAGE("https://images.pokemontcg.io/swsh3/logo.png", 1)</f>
        <v/>
      </c>
      <c r="D49" s="11" t="str">
        <f>IMAGE("https://images.pokemontcg.io/swsh3/symbol.png", 1)</f>
        <v/>
      </c>
      <c r="E49" s="6" t="s">
        <v>60</v>
      </c>
      <c r="F49" s="10">
        <v>44057.0</v>
      </c>
      <c r="G49" s="7">
        <v>189.0</v>
      </c>
      <c r="H49" s="6" t="s">
        <v>126</v>
      </c>
      <c r="I49" s="6" t="b">
        <v>0</v>
      </c>
      <c r="J49" s="6" t="b">
        <v>0</v>
      </c>
    </row>
    <row r="50">
      <c r="A50" s="6" t="s">
        <v>127</v>
      </c>
      <c r="B50" s="6" t="s">
        <v>128</v>
      </c>
      <c r="C50" s="6" t="str">
        <f>IMAGE("https://images.pokemontcg.io/swsh2/logo.png", 1)</f>
        <v/>
      </c>
      <c r="D50" s="6" t="str">
        <f>IMAGE("https://images.pokemontcg.io/swsh2/symbol.png", 1)</f>
        <v/>
      </c>
      <c r="E50" s="6" t="s">
        <v>60</v>
      </c>
      <c r="F50" s="8">
        <v>43952.0</v>
      </c>
      <c r="G50" s="7">
        <v>192.0</v>
      </c>
      <c r="H50" s="6" t="s">
        <v>129</v>
      </c>
      <c r="I50" s="6" t="b">
        <v>0</v>
      </c>
      <c r="J50" s="6" t="b">
        <v>0</v>
      </c>
    </row>
    <row r="51">
      <c r="A51" s="6" t="s">
        <v>130</v>
      </c>
      <c r="B51" s="6" t="s">
        <v>131</v>
      </c>
      <c r="C51" s="11" t="str">
        <f>IMAGE("https://images.pokemontcg.io/swsh1/logo.png", 1)</f>
        <v/>
      </c>
      <c r="D51" s="11" t="str">
        <f>IMAGE("https://images.pokemontcg.io/swsh1/symbol.png", 1)</f>
        <v/>
      </c>
      <c r="E51" s="6" t="s">
        <v>60</v>
      </c>
      <c r="F51" s="8">
        <v>43868.0</v>
      </c>
      <c r="G51" s="7">
        <v>202.0</v>
      </c>
      <c r="H51" s="6" t="s">
        <v>132</v>
      </c>
      <c r="I51" s="6" t="b">
        <v>0</v>
      </c>
      <c r="J51" s="6" t="b">
        <v>0</v>
      </c>
    </row>
    <row r="52">
      <c r="A52" s="6" t="s">
        <v>133</v>
      </c>
      <c r="B52" s="6" t="s">
        <v>134</v>
      </c>
      <c r="C52" s="11" t="str">
        <f>IMAGE("https://images.pokemontcg.io/swshp/logo.png", 1)</f>
        <v/>
      </c>
      <c r="D52" s="11" t="str">
        <f>IMAGE("https://images.pokemontcg.io/swshp/symbol.png", 1)</f>
        <v/>
      </c>
      <c r="E52" s="6" t="s">
        <v>60</v>
      </c>
      <c r="F52" s="8">
        <v>43784.0</v>
      </c>
      <c r="G52" s="7">
        <v>107.0</v>
      </c>
      <c r="H52" s="6" t="s">
        <v>135</v>
      </c>
      <c r="I52" s="6" t="b">
        <v>0</v>
      </c>
      <c r="J52" s="6" t="b">
        <v>0</v>
      </c>
    </row>
    <row r="53">
      <c r="A53" s="6" t="s">
        <v>136</v>
      </c>
      <c r="B53" s="6" t="s">
        <v>137</v>
      </c>
      <c r="C53" s="11" t="str">
        <f>IMAGE("https://images.pokemontcg.io/sm12/logo.png", 1)</f>
        <v/>
      </c>
      <c r="D53" s="11" t="str">
        <f>IMAGE("https://images.pokemontcg.io/sm12/symbol.png", 1)</f>
        <v/>
      </c>
      <c r="E53" s="6" t="s">
        <v>138</v>
      </c>
      <c r="F53" s="8">
        <v>43770.0</v>
      </c>
      <c r="G53" s="7">
        <v>236.0</v>
      </c>
      <c r="H53" s="6" t="s">
        <v>139</v>
      </c>
      <c r="I53" s="6" t="b">
        <v>0</v>
      </c>
      <c r="J53" s="6" t="b">
        <v>0</v>
      </c>
    </row>
    <row r="54">
      <c r="A54" s="6" t="s">
        <v>140</v>
      </c>
      <c r="B54" s="6" t="s">
        <v>141</v>
      </c>
      <c r="C54" s="11" t="str">
        <f>IMAGE("https://images.pokemontcg.io/mcd19/logo.png", 1)</f>
        <v/>
      </c>
      <c r="D54" s="11" t="str">
        <f>IMAGE("https://images.pokemontcg.io/mcd19/symbol.png", 1)</f>
        <v/>
      </c>
      <c r="E54" s="6" t="s">
        <v>78</v>
      </c>
      <c r="F54" s="8">
        <v>43753.0</v>
      </c>
      <c r="G54" s="7">
        <v>12.0</v>
      </c>
      <c r="H54" s="6"/>
      <c r="I54" s="6" t="b">
        <v>0</v>
      </c>
      <c r="J54" s="6" t="b">
        <v>0</v>
      </c>
    </row>
    <row r="55">
      <c r="A55" s="6" t="s">
        <v>142</v>
      </c>
      <c r="B55" s="6" t="s">
        <v>143</v>
      </c>
      <c r="C55" s="11" t="str">
        <f>IMAGE("https://images.pokemontcg.io/sm115/logo.png", 1)</f>
        <v/>
      </c>
      <c r="D55" s="11" t="str">
        <f>IMAGE("https://images.pokemontcg.io/sm115/symbol.png", 1)</f>
        <v/>
      </c>
      <c r="E55" s="6" t="s">
        <v>138</v>
      </c>
      <c r="F55" s="8">
        <v>43700.0</v>
      </c>
      <c r="G55" s="7">
        <v>68.0</v>
      </c>
      <c r="H55" s="6" t="s">
        <v>144</v>
      </c>
      <c r="I55" s="6" t="b">
        <v>0</v>
      </c>
      <c r="J55" s="6" t="b">
        <v>0</v>
      </c>
    </row>
    <row r="56">
      <c r="A56" s="6" t="s">
        <v>145</v>
      </c>
      <c r="B56" s="6" t="s">
        <v>146</v>
      </c>
      <c r="C56" s="11" t="str">
        <f>IMAGE("https://images.pokemontcg.io/sma/logo.png", 1)</f>
        <v/>
      </c>
      <c r="D56" s="11" t="str">
        <f>IMAGE("https://images.pokemontcg.io/sma/symbol.png", 1)</f>
        <v/>
      </c>
      <c r="E56" s="6" t="s">
        <v>138</v>
      </c>
      <c r="F56" s="8">
        <v>43700.0</v>
      </c>
      <c r="G56" s="7">
        <v>94.0</v>
      </c>
      <c r="H56" s="6" t="s">
        <v>144</v>
      </c>
      <c r="I56" s="6" t="b">
        <v>0</v>
      </c>
      <c r="J56" s="6" t="b">
        <v>0</v>
      </c>
    </row>
    <row r="57">
      <c r="A57" s="6" t="s">
        <v>147</v>
      </c>
      <c r="B57" s="6" t="s">
        <v>148</v>
      </c>
      <c r="C57" s="11" t="str">
        <f>IMAGE("https://images.pokemontcg.io/sm11/logo.png", 1)</f>
        <v/>
      </c>
      <c r="D57" s="11" t="str">
        <f>IMAGE("https://images.pokemontcg.io/sm11/symbol.png", 1)</f>
        <v/>
      </c>
      <c r="E57" s="6" t="s">
        <v>138</v>
      </c>
      <c r="F57" s="10">
        <v>43679.0</v>
      </c>
      <c r="G57" s="7">
        <v>236.0</v>
      </c>
      <c r="H57" s="6" t="s">
        <v>149</v>
      </c>
      <c r="I57" s="6" t="b">
        <v>0</v>
      </c>
      <c r="J57" s="6" t="b">
        <v>0</v>
      </c>
    </row>
    <row r="58">
      <c r="A58" s="6" t="s">
        <v>150</v>
      </c>
      <c r="B58" s="6" t="s">
        <v>151</v>
      </c>
      <c r="C58" s="11" t="str">
        <f>IMAGE("https://images.pokemontcg.io/sm10/logo.png", 1)</f>
        <v/>
      </c>
      <c r="D58" s="11" t="str">
        <f>IMAGE("https://images.pokemontcg.io/sm10/symbol.png", 1)</f>
        <v/>
      </c>
      <c r="E58" s="6" t="s">
        <v>138</v>
      </c>
      <c r="F58" s="8">
        <v>43588.0</v>
      </c>
      <c r="G58" s="7">
        <v>214.0</v>
      </c>
      <c r="H58" s="6" t="s">
        <v>152</v>
      </c>
      <c r="I58" s="6" t="b">
        <v>0</v>
      </c>
      <c r="J58" s="6" t="b">
        <v>0</v>
      </c>
    </row>
    <row r="59">
      <c r="A59" s="6" t="s">
        <v>153</v>
      </c>
      <c r="B59" s="6" t="s">
        <v>154</v>
      </c>
      <c r="C59" s="11" t="str">
        <f>IMAGE("https://images.pokemontcg.io/det1/logo.png", 1)</f>
        <v/>
      </c>
      <c r="D59" s="11" t="str">
        <f>IMAGE("https://images.pokemontcg.io/det1/symbol.png", 1)</f>
        <v/>
      </c>
      <c r="E59" s="6" t="s">
        <v>138</v>
      </c>
      <c r="F59" s="8">
        <v>43560.0</v>
      </c>
      <c r="G59" s="7">
        <v>18.0</v>
      </c>
      <c r="H59" s="6" t="s">
        <v>155</v>
      </c>
      <c r="I59" s="6" t="b">
        <v>0</v>
      </c>
      <c r="J59" s="6" t="b">
        <v>0</v>
      </c>
    </row>
    <row r="60">
      <c r="A60" s="6" t="s">
        <v>156</v>
      </c>
      <c r="B60" s="6" t="s">
        <v>157</v>
      </c>
      <c r="C60" s="11" t="str">
        <f>IMAGE("https://images.pokemontcg.io/sm9/logo.png", 1)</f>
        <v/>
      </c>
      <c r="D60" s="11" t="str">
        <f>IMAGE("https://images.pokemontcg.io/sm9/symbol.png", 1)</f>
        <v/>
      </c>
      <c r="E60" s="6" t="s">
        <v>138</v>
      </c>
      <c r="F60" s="8">
        <v>43497.0</v>
      </c>
      <c r="G60" s="7">
        <v>181.0</v>
      </c>
      <c r="H60" s="6" t="s">
        <v>158</v>
      </c>
      <c r="I60" s="6" t="b">
        <v>0</v>
      </c>
      <c r="J60" s="6" t="b">
        <v>0</v>
      </c>
    </row>
    <row r="61">
      <c r="A61" s="6" t="s">
        <v>159</v>
      </c>
      <c r="B61" s="6" t="s">
        <v>160</v>
      </c>
      <c r="C61" s="11" t="str">
        <f>IMAGE("https://images.pokemontcg.io/sm8/logo.png", 1)</f>
        <v/>
      </c>
      <c r="D61" s="11" t="str">
        <f>IMAGE("https://images.pokemontcg.io/sm8/symbol.png", 1)</f>
        <v/>
      </c>
      <c r="E61" s="6" t="s">
        <v>138</v>
      </c>
      <c r="F61" s="8">
        <v>43406.0</v>
      </c>
      <c r="G61" s="7">
        <v>214.0</v>
      </c>
      <c r="H61" s="6" t="s">
        <v>161</v>
      </c>
      <c r="I61" s="6" t="b">
        <v>0</v>
      </c>
      <c r="J61" s="6" t="b">
        <v>0</v>
      </c>
    </row>
    <row r="62">
      <c r="A62" s="6" t="s">
        <v>162</v>
      </c>
      <c r="B62" s="6" t="s">
        <v>163</v>
      </c>
      <c r="C62" s="11" t="str">
        <f>IMAGE("https://images.pokemontcg.io/mcd18/logo.png", 1)</f>
        <v/>
      </c>
      <c r="D62" s="11" t="str">
        <f>IMAGE("https://images.pokemontcg.io/mcd18/symbol.png", 1)</f>
        <v/>
      </c>
      <c r="E62" s="6" t="s">
        <v>78</v>
      </c>
      <c r="F62" s="8">
        <v>43389.0</v>
      </c>
      <c r="G62" s="7">
        <v>12.0</v>
      </c>
      <c r="H62" s="6"/>
      <c r="I62" s="6" t="b">
        <v>0</v>
      </c>
      <c r="J62" s="6" t="b">
        <v>0</v>
      </c>
    </row>
    <row r="63">
      <c r="A63" s="6" t="s">
        <v>164</v>
      </c>
      <c r="B63" s="6" t="s">
        <v>165</v>
      </c>
      <c r="C63" s="11" t="str">
        <f>IMAGE("https://images.pokemontcg.io/sm75/logo.png", 1)</f>
        <v/>
      </c>
      <c r="D63" s="11" t="str">
        <f>IMAGE("https://images.pokemontcg.io/sm75/symbol.png", 1)</f>
        <v/>
      </c>
      <c r="E63" s="6" t="s">
        <v>138</v>
      </c>
      <c r="F63" s="8">
        <v>43350.0</v>
      </c>
      <c r="G63" s="7">
        <v>70.0</v>
      </c>
      <c r="H63" s="6" t="s">
        <v>166</v>
      </c>
      <c r="I63" s="6" t="b">
        <v>0</v>
      </c>
      <c r="J63" s="6" t="b">
        <v>0</v>
      </c>
    </row>
    <row r="64">
      <c r="A64" s="6" t="s">
        <v>167</v>
      </c>
      <c r="B64" s="6" t="s">
        <v>168</v>
      </c>
      <c r="C64" s="11" t="str">
        <f>IMAGE("https://images.pokemontcg.io/sm7/logo.png", 1)</f>
        <v/>
      </c>
      <c r="D64" s="11" t="str">
        <f>IMAGE("https://images.pokemontcg.io/sm7/symbol.png", 1)</f>
        <v/>
      </c>
      <c r="E64" s="6" t="s">
        <v>138</v>
      </c>
      <c r="F64" s="8">
        <v>43315.0</v>
      </c>
      <c r="G64" s="7">
        <v>168.0</v>
      </c>
      <c r="H64" s="6" t="s">
        <v>169</v>
      </c>
      <c r="I64" s="6" t="b">
        <v>0</v>
      </c>
      <c r="J64" s="6" t="b">
        <v>0</v>
      </c>
    </row>
    <row r="65">
      <c r="A65" s="6" t="s">
        <v>170</v>
      </c>
      <c r="B65" s="6" t="s">
        <v>171</v>
      </c>
      <c r="C65" s="11" t="str">
        <f>IMAGE("https://images.pokemontcg.io/sm6/logo.png", 1)</f>
        <v/>
      </c>
      <c r="D65" s="11" t="str">
        <f>IMAGE("https://images.pokemontcg.io/sm6/symbol.png", 1)</f>
        <v/>
      </c>
      <c r="E65" s="6" t="s">
        <v>138</v>
      </c>
      <c r="F65" s="8">
        <v>43224.0</v>
      </c>
      <c r="G65" s="7">
        <v>131.0</v>
      </c>
      <c r="H65" s="6" t="s">
        <v>172</v>
      </c>
      <c r="I65" s="6" t="b">
        <v>0</v>
      </c>
      <c r="J65" s="6" t="b">
        <v>0</v>
      </c>
    </row>
    <row r="66">
      <c r="A66" s="6" t="s">
        <v>173</v>
      </c>
      <c r="B66" s="6" t="s">
        <v>174</v>
      </c>
      <c r="C66" s="11" t="str">
        <f>IMAGE("https://images.pokemontcg.io/sm5/logo.png", 1)</f>
        <v/>
      </c>
      <c r="D66" s="11" t="str">
        <f>IMAGE("https://images.pokemontcg.io/sm5/symbol.png", 1)</f>
        <v/>
      </c>
      <c r="E66" s="6" t="s">
        <v>138</v>
      </c>
      <c r="F66" s="8">
        <v>43133.0</v>
      </c>
      <c r="G66" s="7">
        <v>156.0</v>
      </c>
      <c r="H66" s="6" t="s">
        <v>175</v>
      </c>
      <c r="I66" s="6" t="b">
        <v>0</v>
      </c>
      <c r="J66" s="6" t="b">
        <v>0</v>
      </c>
    </row>
    <row r="67">
      <c r="A67" s="6" t="s">
        <v>176</v>
      </c>
      <c r="B67" s="6" t="s">
        <v>177</v>
      </c>
      <c r="C67" s="11" t="str">
        <f>IMAGE("https://images.pokemontcg.io/mcd17/logo.png", 1)</f>
        <v/>
      </c>
      <c r="D67" s="11" t="str">
        <f>IMAGE("https://images.pokemontcg.io/mcd17/symbol.png", 1)</f>
        <v/>
      </c>
      <c r="E67" s="6" t="s">
        <v>78</v>
      </c>
      <c r="F67" s="8">
        <v>43046.0</v>
      </c>
      <c r="G67" s="7">
        <v>12.0</v>
      </c>
      <c r="H67" s="6"/>
      <c r="I67" s="6" t="b">
        <v>0</v>
      </c>
      <c r="J67" s="6" t="b">
        <v>0</v>
      </c>
    </row>
    <row r="68">
      <c r="A68" s="6" t="s">
        <v>178</v>
      </c>
      <c r="B68" s="6" t="s">
        <v>179</v>
      </c>
      <c r="C68" s="11" t="str">
        <f>IMAGE("https://images.pokemontcg.io/sm4/logo.png", 1)</f>
        <v/>
      </c>
      <c r="D68" s="11" t="str">
        <f>IMAGE("https://images.pokemontcg.io/sm4/symbol.png", 1)</f>
        <v/>
      </c>
      <c r="E68" s="6" t="s">
        <v>138</v>
      </c>
      <c r="F68" s="8">
        <v>43042.0</v>
      </c>
      <c r="G68" s="7">
        <v>111.0</v>
      </c>
      <c r="H68" s="6" t="s">
        <v>180</v>
      </c>
      <c r="I68" s="6" t="b">
        <v>0</v>
      </c>
      <c r="J68" s="6" t="b">
        <v>0</v>
      </c>
    </row>
    <row r="69">
      <c r="A69" s="6" t="s">
        <v>181</v>
      </c>
      <c r="B69" s="6" t="s">
        <v>182</v>
      </c>
      <c r="C69" s="11" t="str">
        <f>IMAGE("https://images.pokemontcg.io/sm35/logo.png", 1)</f>
        <v/>
      </c>
      <c r="D69" s="11" t="str">
        <f>IMAGE("https://images.pokemontcg.io/sm35/symbol.png", 1)</f>
        <v/>
      </c>
      <c r="E69" s="6" t="s">
        <v>138</v>
      </c>
      <c r="F69" s="8">
        <v>43014.0</v>
      </c>
      <c r="G69" s="7">
        <v>73.0</v>
      </c>
      <c r="H69" s="6" t="s">
        <v>183</v>
      </c>
      <c r="I69" s="6" t="b">
        <v>0</v>
      </c>
      <c r="J69" s="6" t="b">
        <v>0</v>
      </c>
    </row>
    <row r="70">
      <c r="A70" s="6" t="s">
        <v>184</v>
      </c>
      <c r="B70" s="6" t="s">
        <v>185</v>
      </c>
      <c r="C70" s="11" t="str">
        <f>IMAGE("https://images.pokemontcg.io/sm3/logo.png", 1)</f>
        <v/>
      </c>
      <c r="D70" s="11" t="str">
        <f>IMAGE("https://images.pokemontcg.io/sm3/symbol.png", 1)</f>
        <v/>
      </c>
      <c r="E70" s="6" t="s">
        <v>138</v>
      </c>
      <c r="F70" s="8">
        <v>42952.0</v>
      </c>
      <c r="G70" s="7">
        <v>147.0</v>
      </c>
      <c r="H70" s="6" t="s">
        <v>186</v>
      </c>
      <c r="I70" s="6" t="b">
        <v>0</v>
      </c>
      <c r="J70" s="6" t="b">
        <v>0</v>
      </c>
    </row>
    <row r="71">
      <c r="A71" s="6" t="s">
        <v>187</v>
      </c>
      <c r="B71" s="6" t="s">
        <v>188</v>
      </c>
      <c r="C71" s="11" t="str">
        <f>IMAGE("https://images.pokemontcg.io/sm2/logo.png", 1)</f>
        <v/>
      </c>
      <c r="D71" s="11" t="str">
        <f>IMAGE("https://images.pokemontcg.io/sm2/symbol.png", 1)</f>
        <v/>
      </c>
      <c r="E71" s="6" t="s">
        <v>138</v>
      </c>
      <c r="F71" s="8">
        <v>42860.0</v>
      </c>
      <c r="G71" s="7">
        <v>145.0</v>
      </c>
      <c r="H71" s="6" t="s">
        <v>189</v>
      </c>
      <c r="I71" s="6" t="b">
        <v>0</v>
      </c>
      <c r="J71" s="6" t="b">
        <v>0</v>
      </c>
    </row>
    <row r="72">
      <c r="A72" s="6" t="s">
        <v>190</v>
      </c>
      <c r="B72" s="6" t="s">
        <v>191</v>
      </c>
      <c r="C72" s="11" t="str">
        <f>IMAGE("https://images.pokemontcg.io/sm1/logo.png", 1)</f>
        <v/>
      </c>
      <c r="D72" s="11" t="str">
        <f>IMAGE("https://images.pokemontcg.io/sm1/symbol.png", 1)</f>
        <v/>
      </c>
      <c r="E72" s="6" t="s">
        <v>138</v>
      </c>
      <c r="F72" s="8">
        <v>42769.0</v>
      </c>
      <c r="G72" s="7">
        <v>149.0</v>
      </c>
      <c r="H72" s="6" t="s">
        <v>192</v>
      </c>
      <c r="I72" s="6" t="b">
        <v>0</v>
      </c>
      <c r="J72" s="6" t="b">
        <v>0</v>
      </c>
    </row>
    <row r="73">
      <c r="A73" s="6" t="s">
        <v>193</v>
      </c>
      <c r="B73" s="6" t="s">
        <v>194</v>
      </c>
      <c r="C73" s="11" t="str">
        <f>IMAGE("https://images.pokemontcg.io/smp/logo.png", 1)</f>
        <v/>
      </c>
      <c r="D73" s="11" t="str">
        <f>IMAGE("https://images.pokemontcg.io/smp/symbol.png", 1)</f>
        <v/>
      </c>
      <c r="E73" s="6" t="s">
        <v>138</v>
      </c>
      <c r="F73" s="8">
        <v>42769.0</v>
      </c>
      <c r="G73" s="7">
        <v>236.0</v>
      </c>
      <c r="H73" s="6" t="s">
        <v>195</v>
      </c>
      <c r="I73" s="6" t="b">
        <v>0</v>
      </c>
      <c r="J73" s="6" t="b">
        <v>0</v>
      </c>
    </row>
    <row r="74">
      <c r="A74" s="6" t="s">
        <v>196</v>
      </c>
      <c r="B74" s="6" t="s">
        <v>197</v>
      </c>
      <c r="C74" s="11" t="str">
        <f>IMAGE("https://images.pokemontcg.io/xy12/logo.png", 1)</f>
        <v/>
      </c>
      <c r="D74" s="11" t="str">
        <f>IMAGE("https://images.pokemontcg.io/xy12/symbol.png", 1)</f>
        <v/>
      </c>
      <c r="E74" s="6" t="s">
        <v>198</v>
      </c>
      <c r="F74" s="8">
        <v>42676.0</v>
      </c>
      <c r="G74" s="7">
        <v>108.0</v>
      </c>
      <c r="H74" s="6" t="s">
        <v>199</v>
      </c>
      <c r="I74" s="6" t="b">
        <v>0</v>
      </c>
      <c r="J74" s="6" t="b">
        <v>0</v>
      </c>
    </row>
    <row r="75">
      <c r="A75" s="6" t="s">
        <v>200</v>
      </c>
      <c r="B75" s="6" t="s">
        <v>201</v>
      </c>
      <c r="C75" s="11" t="str">
        <f>IMAGE("https://images.pokemontcg.io/mcd16/logo.png", 1)</f>
        <v/>
      </c>
      <c r="D75" s="11" t="str">
        <f>IMAGE("https://images.pokemontcg.io/mcd16/symbol.png", 1)</f>
        <v/>
      </c>
      <c r="E75" s="6" t="s">
        <v>78</v>
      </c>
      <c r="F75" s="10">
        <v>42601.0</v>
      </c>
      <c r="G75" s="7">
        <v>12.0</v>
      </c>
      <c r="H75" s="6"/>
      <c r="I75" s="6" t="b">
        <v>0</v>
      </c>
      <c r="J75" s="6" t="b">
        <v>0</v>
      </c>
    </row>
    <row r="76">
      <c r="A76" s="6" t="s">
        <v>202</v>
      </c>
      <c r="B76" s="6" t="s">
        <v>203</v>
      </c>
      <c r="C76" s="11" t="str">
        <f>IMAGE("https://images.pokemontcg.io/xy11/logo.png", 1)</f>
        <v/>
      </c>
      <c r="D76" s="11" t="str">
        <f>IMAGE("https://images.pokemontcg.io/xy11/symbol.png", 1)</f>
        <v/>
      </c>
      <c r="E76" s="6" t="s">
        <v>198</v>
      </c>
      <c r="F76" s="8">
        <v>42585.0</v>
      </c>
      <c r="G76" s="7">
        <v>114.0</v>
      </c>
      <c r="H76" s="6" t="s">
        <v>204</v>
      </c>
      <c r="I76" s="6" t="b">
        <v>0</v>
      </c>
      <c r="J76" s="6" t="b">
        <v>0</v>
      </c>
    </row>
    <row r="77">
      <c r="A77" s="6" t="s">
        <v>205</v>
      </c>
      <c r="B77" s="6" t="s">
        <v>206</v>
      </c>
      <c r="C77" s="11" t="str">
        <f>IMAGE("https://images.pokemontcg.io/xy10/logo.png", 1)</f>
        <v/>
      </c>
      <c r="D77" s="11" t="str">
        <f>IMAGE("https://images.pokemontcg.io/xy10/symbol.png", 1)</f>
        <v/>
      </c>
      <c r="E77" s="6" t="s">
        <v>198</v>
      </c>
      <c r="F77" s="8">
        <v>42492.0</v>
      </c>
      <c r="G77" s="7">
        <v>124.0</v>
      </c>
      <c r="H77" s="6" t="s">
        <v>207</v>
      </c>
      <c r="I77" s="6" t="b">
        <v>0</v>
      </c>
      <c r="J77" s="6" t="b">
        <v>0</v>
      </c>
    </row>
    <row r="78">
      <c r="A78" s="6" t="s">
        <v>208</v>
      </c>
      <c r="B78" s="6" t="s">
        <v>209</v>
      </c>
      <c r="C78" s="11" t="str">
        <f>IMAGE("https://images.pokemontcg.io/g1/logo.png", 1)</f>
        <v/>
      </c>
      <c r="D78" s="11" t="str">
        <f>IMAGE("https://images.pokemontcg.io/g1/symbol.png", 1)</f>
        <v/>
      </c>
      <c r="E78" s="6" t="s">
        <v>198</v>
      </c>
      <c r="F78" s="8">
        <v>42422.0</v>
      </c>
      <c r="G78" s="7">
        <v>83.0</v>
      </c>
      <c r="H78" s="6" t="s">
        <v>210</v>
      </c>
      <c r="I78" s="6" t="b">
        <v>0</v>
      </c>
      <c r="J78" s="6" t="b">
        <v>0</v>
      </c>
    </row>
    <row r="79">
      <c r="A79" s="6" t="s">
        <v>211</v>
      </c>
      <c r="B79" s="6" t="s">
        <v>212</v>
      </c>
      <c r="C79" s="11" t="str">
        <f>IMAGE("https://images.pokemontcg.io/xy9/logo.png", 1)</f>
        <v/>
      </c>
      <c r="D79" s="11" t="str">
        <f>IMAGE("https://images.pokemontcg.io/xy9/symbol.png", 1)</f>
        <v/>
      </c>
      <c r="E79" s="6" t="s">
        <v>198</v>
      </c>
      <c r="F79" s="8">
        <v>42403.0</v>
      </c>
      <c r="G79" s="7">
        <v>122.0</v>
      </c>
      <c r="H79" s="6" t="s">
        <v>213</v>
      </c>
      <c r="I79" s="6" t="b">
        <v>0</v>
      </c>
      <c r="J79" s="6" t="b">
        <v>0</v>
      </c>
    </row>
    <row r="80">
      <c r="A80" s="6" t="s">
        <v>214</v>
      </c>
      <c r="B80" s="6" t="s">
        <v>215</v>
      </c>
      <c r="C80" s="11" t="str">
        <f>IMAGE("https://images.pokemontcg.io/mcd15/logo.png", 1)</f>
        <v/>
      </c>
      <c r="D80" s="11" t="str">
        <f>IMAGE("https://images.pokemontcg.io/mcd15/symbol.png", 1)</f>
        <v/>
      </c>
      <c r="E80" s="6" t="s">
        <v>78</v>
      </c>
      <c r="F80" s="8">
        <v>42335.0</v>
      </c>
      <c r="G80" s="7">
        <v>12.0</v>
      </c>
      <c r="H80" s="6"/>
      <c r="I80" s="6" t="b">
        <v>0</v>
      </c>
      <c r="J80" s="6" t="b">
        <v>0</v>
      </c>
    </row>
    <row r="81">
      <c r="A81" s="6" t="s">
        <v>216</v>
      </c>
      <c r="B81" s="6" t="s">
        <v>217</v>
      </c>
      <c r="C81" s="11" t="str">
        <f>IMAGE("https://images.pokemontcg.io/xy8/logo.png", 1)</f>
        <v/>
      </c>
      <c r="D81" s="11" t="str">
        <f>IMAGE("https://images.pokemontcg.io/xy8/symbol.png", 1)</f>
        <v/>
      </c>
      <c r="E81" s="6" t="s">
        <v>198</v>
      </c>
      <c r="F81" s="8">
        <v>42312.0</v>
      </c>
      <c r="G81" s="7">
        <v>162.0</v>
      </c>
      <c r="H81" s="6" t="s">
        <v>218</v>
      </c>
      <c r="I81" s="6" t="b">
        <v>0</v>
      </c>
      <c r="J81" s="6" t="b">
        <v>0</v>
      </c>
    </row>
    <row r="82">
      <c r="A82" s="6" t="s">
        <v>219</v>
      </c>
      <c r="B82" s="6" t="s">
        <v>220</v>
      </c>
      <c r="C82" s="11" t="str">
        <f>IMAGE("https://images.pokemontcg.io/xy7/logo.png", 1)</f>
        <v/>
      </c>
      <c r="D82" s="11" t="str">
        <f>IMAGE("https://images.pokemontcg.io/xy7/symbol.png", 1)</f>
        <v/>
      </c>
      <c r="E82" s="6" t="s">
        <v>198</v>
      </c>
      <c r="F82" s="8">
        <v>42228.0</v>
      </c>
      <c r="G82" s="7">
        <v>98.0</v>
      </c>
      <c r="H82" s="6" t="s">
        <v>221</v>
      </c>
      <c r="I82" s="6" t="b">
        <v>0</v>
      </c>
      <c r="J82" s="6" t="b">
        <v>0</v>
      </c>
    </row>
    <row r="83">
      <c r="A83" s="6" t="s">
        <v>222</v>
      </c>
      <c r="B83" s="6" t="s">
        <v>223</v>
      </c>
      <c r="C83" s="11" t="str">
        <f>IMAGE("https://images.pokemontcg.io/xy6/logo.png", 1)</f>
        <v/>
      </c>
      <c r="D83" s="11" t="str">
        <f>IMAGE("https://images.pokemontcg.io/xy6/symbol.png", 1)</f>
        <v/>
      </c>
      <c r="E83" s="6" t="s">
        <v>198</v>
      </c>
      <c r="F83" s="8">
        <v>42130.0</v>
      </c>
      <c r="G83" s="7">
        <v>108.0</v>
      </c>
      <c r="H83" s="6" t="s">
        <v>224</v>
      </c>
      <c r="I83" s="6" t="b">
        <v>0</v>
      </c>
      <c r="J83" s="6" t="b">
        <v>0</v>
      </c>
    </row>
    <row r="84">
      <c r="A84" s="6" t="s">
        <v>225</v>
      </c>
      <c r="B84" s="6" t="s">
        <v>226</v>
      </c>
      <c r="C84" s="11" t="str">
        <f>IMAGE("https://images.pokemontcg.io/dc1/logo.png", 1)</f>
        <v/>
      </c>
      <c r="D84" s="11" t="str">
        <f>IMAGE("https://images.pokemontcg.io/dc1/symbol.png", 1)</f>
        <v/>
      </c>
      <c r="E84" s="6" t="s">
        <v>198</v>
      </c>
      <c r="F84" s="8">
        <v>42088.0</v>
      </c>
      <c r="G84" s="7">
        <v>34.0</v>
      </c>
      <c r="H84" s="6" t="s">
        <v>227</v>
      </c>
      <c r="I84" s="6" t="b">
        <v>0</v>
      </c>
      <c r="J84" s="6" t="b">
        <v>0</v>
      </c>
    </row>
    <row r="85">
      <c r="A85" s="6" t="s">
        <v>228</v>
      </c>
      <c r="B85" s="6" t="s">
        <v>229</v>
      </c>
      <c r="C85" s="11" t="str">
        <f>IMAGE("https://images.pokemontcg.io/xy5/logo.png", 1)</f>
        <v/>
      </c>
      <c r="D85" s="11" t="str">
        <f>IMAGE("https://images.pokemontcg.io/xy5/symbol.png", 1)</f>
        <v/>
      </c>
      <c r="E85" s="6" t="s">
        <v>198</v>
      </c>
      <c r="F85" s="8">
        <v>42039.0</v>
      </c>
      <c r="G85" s="7">
        <v>160.0</v>
      </c>
      <c r="H85" s="6" t="s">
        <v>230</v>
      </c>
      <c r="I85" s="6" t="b">
        <v>0</v>
      </c>
      <c r="J85" s="6" t="b">
        <v>0</v>
      </c>
    </row>
    <row r="86">
      <c r="A86" s="6" t="s">
        <v>231</v>
      </c>
      <c r="B86" s="6" t="s">
        <v>232</v>
      </c>
      <c r="C86" s="11" t="str">
        <f>IMAGE("https://images.pokemontcg.io/xy4/logo.png", 1)</f>
        <v/>
      </c>
      <c r="D86" s="11" t="str">
        <f>IMAGE("https://images.pokemontcg.io/xy4/symbol.png", 1)</f>
        <v/>
      </c>
      <c r="E86" s="6" t="s">
        <v>198</v>
      </c>
      <c r="F86" s="8">
        <v>41948.0</v>
      </c>
      <c r="G86" s="7">
        <v>119.0</v>
      </c>
      <c r="H86" s="6" t="s">
        <v>233</v>
      </c>
      <c r="I86" s="6" t="b">
        <v>0</v>
      </c>
      <c r="J86" s="6" t="b">
        <v>0</v>
      </c>
    </row>
    <row r="87">
      <c r="A87" s="6" t="s">
        <v>234</v>
      </c>
      <c r="B87" s="6" t="s">
        <v>235</v>
      </c>
      <c r="C87" s="11" t="str">
        <f>IMAGE("https://images.pokemontcg.io/xy3/logo.png", 1)</f>
        <v/>
      </c>
      <c r="D87" s="11" t="str">
        <f>IMAGE("https://images.pokemontcg.io/xy3/symbol.png", 1)</f>
        <v/>
      </c>
      <c r="E87" s="6" t="s">
        <v>198</v>
      </c>
      <c r="F87" s="8">
        <v>41864.0</v>
      </c>
      <c r="G87" s="7">
        <v>111.0</v>
      </c>
      <c r="H87" s="6" t="s">
        <v>236</v>
      </c>
      <c r="I87" s="6" t="b">
        <v>0</v>
      </c>
      <c r="J87" s="6" t="b">
        <v>0</v>
      </c>
    </row>
    <row r="88">
      <c r="A88" s="6" t="s">
        <v>237</v>
      </c>
      <c r="B88" s="6" t="s">
        <v>238</v>
      </c>
      <c r="C88" s="11" t="str">
        <f>IMAGE("https://images.pokemontcg.io/mcd14/logo.png", 1)</f>
        <v/>
      </c>
      <c r="D88" s="11" t="str">
        <f>IMAGE("https://images.pokemontcg.io/mcd14/symbol.png", 1)</f>
        <v/>
      </c>
      <c r="E88" s="6" t="s">
        <v>78</v>
      </c>
      <c r="F88" s="10">
        <v>41782.0</v>
      </c>
      <c r="G88" s="7">
        <v>12.0</v>
      </c>
      <c r="H88" s="6"/>
      <c r="I88" s="6" t="b">
        <v>0</v>
      </c>
      <c r="J88" s="6" t="b">
        <v>0</v>
      </c>
    </row>
    <row r="89">
      <c r="A89" s="6" t="s">
        <v>239</v>
      </c>
      <c r="B89" s="6" t="s">
        <v>240</v>
      </c>
      <c r="C89" s="11" t="str">
        <f>IMAGE("https://images.pokemontcg.io/xy2/logo.png", 1)</f>
        <v/>
      </c>
      <c r="D89" s="11" t="str">
        <f>IMAGE("https://images.pokemontcg.io/xy2/symbol.png", 1)</f>
        <v/>
      </c>
      <c r="E89" s="6" t="s">
        <v>198</v>
      </c>
      <c r="F89" s="8">
        <v>41766.0</v>
      </c>
      <c r="G89" s="7">
        <v>106.0</v>
      </c>
      <c r="H89" s="6" t="s">
        <v>241</v>
      </c>
      <c r="I89" s="6" t="b">
        <v>0</v>
      </c>
      <c r="J89" s="6" t="b">
        <v>0</v>
      </c>
    </row>
    <row r="90">
      <c r="A90" s="6" t="s">
        <v>242</v>
      </c>
      <c r="B90" s="6" t="s">
        <v>198</v>
      </c>
      <c r="C90" s="11" t="str">
        <f>IMAGE("https://images.pokemontcg.io/xy1/logo.png", 1)</f>
        <v/>
      </c>
      <c r="D90" s="11" t="str">
        <f>IMAGE("https://images.pokemontcg.io/xy1/symbol.png", 1)</f>
        <v/>
      </c>
      <c r="E90" s="6" t="s">
        <v>198</v>
      </c>
      <c r="F90" s="8">
        <v>41675.0</v>
      </c>
      <c r="G90" s="7">
        <v>146.0</v>
      </c>
      <c r="H90" s="6" t="s">
        <v>198</v>
      </c>
      <c r="I90" s="6" t="b">
        <v>0</v>
      </c>
      <c r="J90" s="6" t="b">
        <v>0</v>
      </c>
    </row>
    <row r="91">
      <c r="A91" s="6" t="s">
        <v>243</v>
      </c>
      <c r="B91" s="6" t="s">
        <v>244</v>
      </c>
      <c r="C91" s="11" t="str">
        <f>IMAGE("https://images.pokemontcg.io/xy0/logo.png", 1)</f>
        <v/>
      </c>
      <c r="D91" s="11" t="str">
        <f>IMAGE("https://images.pokemontcg.io/xy0/symbol.png", 1)</f>
        <v/>
      </c>
      <c r="E91" s="6" t="s">
        <v>198</v>
      </c>
      <c r="F91" s="8">
        <v>41586.0</v>
      </c>
      <c r="G91" s="7">
        <v>39.0</v>
      </c>
      <c r="H91" s="6" t="s">
        <v>245</v>
      </c>
      <c r="I91" s="6" t="b">
        <v>0</v>
      </c>
      <c r="J91" s="6" t="b">
        <v>0</v>
      </c>
    </row>
    <row r="92">
      <c r="A92" s="6" t="s">
        <v>246</v>
      </c>
      <c r="B92" s="6" t="s">
        <v>247</v>
      </c>
      <c r="C92" s="11" t="str">
        <f>IMAGE("https://images.pokemontcg.io/bw11/logo.png", 1)</f>
        <v/>
      </c>
      <c r="D92" s="11" t="str">
        <f>IMAGE("https://images.pokemontcg.io/bw11/symbol.png", 1)</f>
        <v/>
      </c>
      <c r="E92" s="6" t="s">
        <v>248</v>
      </c>
      <c r="F92" s="8">
        <v>41584.0</v>
      </c>
      <c r="G92" s="7">
        <v>140.0</v>
      </c>
      <c r="H92" s="6" t="s">
        <v>249</v>
      </c>
      <c r="I92" s="6" t="b">
        <v>0</v>
      </c>
      <c r="J92" s="6" t="b">
        <v>0</v>
      </c>
    </row>
    <row r="93">
      <c r="A93" s="6" t="s">
        <v>250</v>
      </c>
      <c r="B93" s="6" t="s">
        <v>251</v>
      </c>
      <c r="C93" s="11" t="str">
        <f>IMAGE("https://images.pokemontcg.io/xyp/logo.png", 1)</f>
        <v/>
      </c>
      <c r="D93" s="11" t="str">
        <f>IMAGE("https://images.pokemontcg.io/xyp/symbol.png", 1)</f>
        <v/>
      </c>
      <c r="E93" s="6" t="s">
        <v>198</v>
      </c>
      <c r="F93" s="8">
        <v>41559.0</v>
      </c>
      <c r="G93" s="7">
        <v>211.0</v>
      </c>
      <c r="H93" s="6" t="s">
        <v>252</v>
      </c>
      <c r="I93" s="6" t="b">
        <v>0</v>
      </c>
      <c r="J93" s="6" t="b">
        <v>0</v>
      </c>
    </row>
    <row r="94">
      <c r="A94" s="6" t="s">
        <v>253</v>
      </c>
      <c r="B94" s="6" t="s">
        <v>254</v>
      </c>
      <c r="C94" s="11" t="str">
        <f>IMAGE("https://images.pokemontcg.io/bw10/logo.png", 1)</f>
        <v/>
      </c>
      <c r="D94" s="11" t="str">
        <f>IMAGE("https://images.pokemontcg.io/bw10/symbol.png", 1)</f>
        <v/>
      </c>
      <c r="E94" s="6" t="s">
        <v>248</v>
      </c>
      <c r="F94" s="8">
        <v>41500.0</v>
      </c>
      <c r="G94" s="7">
        <v>101.0</v>
      </c>
      <c r="H94" s="6" t="s">
        <v>255</v>
      </c>
      <c r="I94" s="6" t="b">
        <v>0</v>
      </c>
      <c r="J94" s="6" t="b">
        <v>0</v>
      </c>
    </row>
    <row r="95">
      <c r="A95" s="6" t="s">
        <v>256</v>
      </c>
      <c r="B95" s="6" t="s">
        <v>257</v>
      </c>
      <c r="C95" s="11" t="str">
        <f>IMAGE("https://images.pokemontcg.io/bw9/logo.png", 1)</f>
        <v/>
      </c>
      <c r="D95" s="11" t="str">
        <f>IMAGE("https://images.pokemontcg.io/bw9/symbol.png", 1)</f>
        <v/>
      </c>
      <c r="E95" s="6" t="s">
        <v>248</v>
      </c>
      <c r="F95" s="8">
        <v>41402.0</v>
      </c>
      <c r="G95" s="7">
        <v>116.0</v>
      </c>
      <c r="H95" s="6" t="s">
        <v>258</v>
      </c>
      <c r="I95" s="6" t="b">
        <v>0</v>
      </c>
      <c r="J95" s="6" t="b">
        <v>0</v>
      </c>
    </row>
    <row r="96">
      <c r="A96" s="6" t="s">
        <v>259</v>
      </c>
      <c r="B96" s="6" t="s">
        <v>260</v>
      </c>
      <c r="C96" s="11" t="str">
        <f>IMAGE("https://images.pokemontcg.io/bw8/logo.png", 1)</f>
        <v/>
      </c>
      <c r="D96" s="11" t="str">
        <f>IMAGE("https://images.pokemontcg.io/bw8/symbol.png", 1)</f>
        <v/>
      </c>
      <c r="E96" s="6" t="s">
        <v>248</v>
      </c>
      <c r="F96" s="8">
        <v>41311.0</v>
      </c>
      <c r="G96" s="7">
        <v>135.0</v>
      </c>
      <c r="H96" s="6" t="s">
        <v>261</v>
      </c>
      <c r="I96" s="6" t="b">
        <v>0</v>
      </c>
      <c r="J96" s="6" t="b">
        <v>0</v>
      </c>
    </row>
    <row r="97">
      <c r="A97" s="6" t="s">
        <v>262</v>
      </c>
      <c r="B97" s="6" t="s">
        <v>263</v>
      </c>
      <c r="C97" s="11" t="str">
        <f>IMAGE("https://images.pokemontcg.io/bw7/logo.png", 1)</f>
        <v/>
      </c>
      <c r="D97" s="11" t="str">
        <f>IMAGE("https://images.pokemontcg.io/bw7/symbol.png", 1)</f>
        <v/>
      </c>
      <c r="E97" s="6" t="s">
        <v>248</v>
      </c>
      <c r="F97" s="8">
        <v>41220.0</v>
      </c>
      <c r="G97" s="7">
        <v>149.0</v>
      </c>
      <c r="H97" s="6" t="s">
        <v>264</v>
      </c>
      <c r="I97" s="6" t="b">
        <v>0</v>
      </c>
      <c r="J97" s="6" t="b">
        <v>0</v>
      </c>
    </row>
    <row r="98">
      <c r="A98" s="6" t="s">
        <v>265</v>
      </c>
      <c r="B98" s="6" t="s">
        <v>266</v>
      </c>
      <c r="C98" s="11" t="str">
        <f>IMAGE("https://images.pokemontcg.io/dv1/logo.png", 1)</f>
        <v/>
      </c>
      <c r="D98" s="11" t="str">
        <f>IMAGE("https://images.pokemontcg.io/dv1/symbol.png", 1)</f>
        <v/>
      </c>
      <c r="E98" s="6" t="s">
        <v>248</v>
      </c>
      <c r="F98" s="10">
        <v>41187.0</v>
      </c>
      <c r="G98" s="7">
        <v>20.0</v>
      </c>
      <c r="H98" s="6" t="s">
        <v>267</v>
      </c>
      <c r="I98" s="6" t="b">
        <v>0</v>
      </c>
      <c r="J98" s="6" t="b">
        <v>0</v>
      </c>
    </row>
    <row r="99">
      <c r="A99" s="6" t="s">
        <v>268</v>
      </c>
      <c r="B99" s="6" t="s">
        <v>269</v>
      </c>
      <c r="C99" s="11" t="str">
        <f>IMAGE("https://images.pokemontcg.io/bw6/logo.png", 1)</f>
        <v/>
      </c>
      <c r="D99" s="11" t="str">
        <f>IMAGE("https://images.pokemontcg.io/bw6/symbol.png", 1)</f>
        <v/>
      </c>
      <c r="E99" s="6" t="s">
        <v>248</v>
      </c>
      <c r="F99" s="8">
        <v>41136.0</v>
      </c>
      <c r="G99" s="7">
        <v>124.0</v>
      </c>
      <c r="H99" s="6" t="s">
        <v>270</v>
      </c>
      <c r="I99" s="6" t="b">
        <v>0</v>
      </c>
      <c r="J99" s="6" t="b">
        <v>0</v>
      </c>
    </row>
    <row r="100">
      <c r="A100" s="6" t="s">
        <v>271</v>
      </c>
      <c r="B100" s="6" t="s">
        <v>272</v>
      </c>
      <c r="C100" s="11" t="str">
        <f>IMAGE("https://images.pokemontcg.io/mcd12/logo.png", 1)</f>
        <v/>
      </c>
      <c r="D100" s="11" t="str">
        <f>IMAGE("https://images.pokemontcg.io/mcd12/symbol.png", 1)</f>
        <v/>
      </c>
      <c r="E100" s="6" t="s">
        <v>78</v>
      </c>
      <c r="F100" s="8">
        <v>41075.0</v>
      </c>
      <c r="G100" s="7">
        <v>12.0</v>
      </c>
      <c r="H100" s="6"/>
      <c r="I100" s="6" t="b">
        <v>0</v>
      </c>
      <c r="J100" s="6" t="b">
        <v>0</v>
      </c>
    </row>
    <row r="101">
      <c r="A101" s="6" t="s">
        <v>273</v>
      </c>
      <c r="B101" s="6" t="s">
        <v>274</v>
      </c>
      <c r="C101" s="11" t="str">
        <f>IMAGE("https://images.pokemontcg.io/bw5/logo.png", 1)</f>
        <v/>
      </c>
      <c r="D101" s="11" t="str">
        <f>IMAGE("https://images.pokemontcg.io/bw5/symbol.png", 1)</f>
        <v/>
      </c>
      <c r="E101" s="6" t="s">
        <v>248</v>
      </c>
      <c r="F101" s="8">
        <v>41038.0</v>
      </c>
      <c r="G101" s="7">
        <v>108.0</v>
      </c>
      <c r="H101" s="6" t="s">
        <v>275</v>
      </c>
      <c r="I101" s="6" t="b">
        <v>0</v>
      </c>
      <c r="J101" s="6" t="b">
        <v>0</v>
      </c>
    </row>
    <row r="102">
      <c r="A102" s="6" t="s">
        <v>276</v>
      </c>
      <c r="B102" s="6" t="s">
        <v>277</v>
      </c>
      <c r="C102" s="11" t="str">
        <f>IMAGE("https://images.pokemontcg.io/bw4/logo.png", 1)</f>
        <v/>
      </c>
      <c r="D102" s="11" t="str">
        <f>IMAGE("https://images.pokemontcg.io/bw4/symbol.png", 1)</f>
        <v/>
      </c>
      <c r="E102" s="6" t="s">
        <v>248</v>
      </c>
      <c r="F102" s="8">
        <v>40947.0</v>
      </c>
      <c r="G102" s="7">
        <v>99.0</v>
      </c>
      <c r="H102" s="6" t="s">
        <v>278</v>
      </c>
      <c r="I102" s="6" t="b">
        <v>0</v>
      </c>
      <c r="J102" s="6" t="b">
        <v>0</v>
      </c>
    </row>
    <row r="103">
      <c r="A103" s="6" t="s">
        <v>279</v>
      </c>
      <c r="B103" s="6" t="s">
        <v>280</v>
      </c>
      <c r="C103" s="11" t="str">
        <f>IMAGE("https://images.pokemontcg.io/bw3/logo.png", 1)</f>
        <v/>
      </c>
      <c r="D103" s="11" t="str">
        <f>IMAGE("https://images.pokemontcg.io/bw3/symbol.png", 1)</f>
        <v/>
      </c>
      <c r="E103" s="6" t="s">
        <v>248</v>
      </c>
      <c r="F103" s="8">
        <v>40863.0</v>
      </c>
      <c r="G103" s="7">
        <v>101.0</v>
      </c>
      <c r="H103" s="6" t="s">
        <v>281</v>
      </c>
      <c r="I103" s="6" t="b">
        <v>0</v>
      </c>
      <c r="J103" s="6" t="b">
        <v>0</v>
      </c>
    </row>
    <row r="104">
      <c r="A104" s="6" t="s">
        <v>282</v>
      </c>
      <c r="B104" s="6" t="s">
        <v>283</v>
      </c>
      <c r="C104" s="11" t="str">
        <f>IMAGE("https://images.pokemontcg.io/bw2/logo.png", 1)</f>
        <v/>
      </c>
      <c r="D104" s="11" t="str">
        <f>IMAGE("https://images.pokemontcg.io/bw2/symbol.png", 1)</f>
        <v/>
      </c>
      <c r="E104" s="6" t="s">
        <v>248</v>
      </c>
      <c r="F104" s="8">
        <v>40786.0</v>
      </c>
      <c r="G104" s="7">
        <v>98.0</v>
      </c>
      <c r="H104" s="6" t="s">
        <v>284</v>
      </c>
      <c r="I104" s="6" t="b">
        <v>0</v>
      </c>
      <c r="J104" s="6" t="b">
        <v>0</v>
      </c>
    </row>
    <row r="105">
      <c r="A105" s="6" t="s">
        <v>285</v>
      </c>
      <c r="B105" s="6" t="s">
        <v>286</v>
      </c>
      <c r="C105" s="11" t="str">
        <f>IMAGE("https://images.pokemontcg.io/mcd11/logo.png", 1)</f>
        <v/>
      </c>
      <c r="D105" s="11" t="str">
        <f>IMAGE("https://images.pokemontcg.io/mcd11/symbol.png", 1)</f>
        <v/>
      </c>
      <c r="E105" s="6" t="s">
        <v>78</v>
      </c>
      <c r="F105" s="8">
        <v>40711.0</v>
      </c>
      <c r="G105" s="7">
        <v>12.0</v>
      </c>
      <c r="H105" s="6"/>
      <c r="I105" s="6" t="b">
        <v>0</v>
      </c>
      <c r="J105" s="6" t="b">
        <v>0</v>
      </c>
    </row>
    <row r="106">
      <c r="A106" s="6" t="s">
        <v>287</v>
      </c>
      <c r="B106" s="6" t="s">
        <v>288</v>
      </c>
      <c r="C106" s="11" t="str">
        <f>IMAGE("https://images.pokemontcg.io/bw1/logo.png", 1)</f>
        <v/>
      </c>
      <c r="D106" s="11" t="str">
        <f>IMAGE("https://images.pokemontcg.io/bw1/symbol.png", 1)</f>
        <v/>
      </c>
      <c r="E106" s="6" t="s">
        <v>248</v>
      </c>
      <c r="F106" s="8">
        <v>40658.0</v>
      </c>
      <c r="G106" s="7">
        <v>114.0</v>
      </c>
      <c r="H106" s="6" t="s">
        <v>289</v>
      </c>
      <c r="I106" s="6" t="b">
        <v>0</v>
      </c>
      <c r="J106" s="6" t="b">
        <v>0</v>
      </c>
    </row>
    <row r="107">
      <c r="A107" s="6" t="s">
        <v>290</v>
      </c>
      <c r="B107" s="6" t="s">
        <v>291</v>
      </c>
      <c r="C107" s="11" t="str">
        <f>IMAGE("https://images.pokemontcg.io/bwp/logo.png", 1)</f>
        <v/>
      </c>
      <c r="D107" s="11" t="str">
        <f>IMAGE("https://images.pokemontcg.io/bwp/symbol.png", 1)</f>
        <v/>
      </c>
      <c r="E107" s="6" t="s">
        <v>248</v>
      </c>
      <c r="F107" s="8">
        <v>40603.0</v>
      </c>
      <c r="G107" s="7">
        <v>101.0</v>
      </c>
      <c r="H107" s="6" t="s">
        <v>292</v>
      </c>
      <c r="I107" s="6" t="b">
        <v>0</v>
      </c>
      <c r="J107" s="6" t="b">
        <v>0</v>
      </c>
    </row>
    <row r="108">
      <c r="A108" s="6" t="s">
        <v>293</v>
      </c>
      <c r="B108" s="6" t="s">
        <v>294</v>
      </c>
      <c r="C108" s="11" t="str">
        <f>IMAGE("https://images.pokemontcg.io/col1/logo.png", 1)</f>
        <v/>
      </c>
      <c r="D108" s="11" t="str">
        <f>IMAGE("https://images.pokemontcg.io/col1/symbol.png", 1)</f>
        <v/>
      </c>
      <c r="E108" s="6" t="s">
        <v>295</v>
      </c>
      <c r="F108" s="8">
        <v>40583.0</v>
      </c>
      <c r="G108" s="7">
        <v>95.0</v>
      </c>
      <c r="H108" s="6" t="s">
        <v>296</v>
      </c>
      <c r="I108" s="6" t="b">
        <v>0</v>
      </c>
      <c r="J108" s="6" t="b">
        <v>0</v>
      </c>
    </row>
    <row r="109">
      <c r="A109" s="6" t="s">
        <v>297</v>
      </c>
      <c r="B109" s="6" t="s">
        <v>298</v>
      </c>
      <c r="C109" s="11" t="str">
        <f>IMAGE("https://images.pokemontcg.io/hgss4/logo.png", 1)</f>
        <v/>
      </c>
      <c r="D109" s="11" t="str">
        <f>IMAGE("https://images.pokemontcg.io/hgss4/symbol.png", 1)</f>
        <v/>
      </c>
      <c r="E109" s="6" t="s">
        <v>295</v>
      </c>
      <c r="F109" s="8">
        <v>40485.0</v>
      </c>
      <c r="G109" s="7">
        <v>102.0</v>
      </c>
      <c r="H109" s="6" t="s">
        <v>299</v>
      </c>
      <c r="I109" s="6" t="b">
        <v>0</v>
      </c>
      <c r="J109" s="6" t="b">
        <v>0</v>
      </c>
    </row>
    <row r="110">
      <c r="A110" s="6" t="s">
        <v>300</v>
      </c>
      <c r="B110" s="6" t="s">
        <v>301</v>
      </c>
      <c r="C110" s="11" t="str">
        <f>IMAGE("https://images.pokemontcg.io/hgss3/logo.png", 1)</f>
        <v/>
      </c>
      <c r="D110" s="11" t="str">
        <f>IMAGE("https://images.pokemontcg.io/hgss3/symbol.png", 1)</f>
        <v/>
      </c>
      <c r="E110" s="6" t="s">
        <v>295</v>
      </c>
      <c r="F110" s="8">
        <v>40408.0</v>
      </c>
      <c r="G110" s="7">
        <v>90.0</v>
      </c>
      <c r="H110" s="6" t="s">
        <v>302</v>
      </c>
      <c r="I110" s="6" t="b">
        <v>0</v>
      </c>
      <c r="J110" s="6" t="b">
        <v>0</v>
      </c>
    </row>
    <row r="111">
      <c r="A111" s="6" t="s">
        <v>303</v>
      </c>
      <c r="B111" s="6" t="s">
        <v>304</v>
      </c>
      <c r="C111" s="11" t="str">
        <f>IMAGE("https://images.pokemontcg.io/hgss2/logo.png", 1)</f>
        <v/>
      </c>
      <c r="D111" s="11" t="str">
        <f>IMAGE("https://images.pokemontcg.io/hgss2/symbol.png", 1)</f>
        <v/>
      </c>
      <c r="E111" s="6" t="s">
        <v>295</v>
      </c>
      <c r="F111" s="8">
        <v>40310.0</v>
      </c>
      <c r="G111" s="7">
        <v>95.0</v>
      </c>
      <c r="H111" s="6" t="s">
        <v>305</v>
      </c>
      <c r="I111" s="6" t="b">
        <v>0</v>
      </c>
      <c r="J111" s="6" t="b">
        <v>0</v>
      </c>
    </row>
    <row r="112">
      <c r="A112" s="6" t="s">
        <v>306</v>
      </c>
      <c r="B112" s="6" t="s">
        <v>307</v>
      </c>
      <c r="C112" s="11" t="str">
        <f>IMAGE("https://images.pokemontcg.io/hgss1/logo.png", 1)</f>
        <v/>
      </c>
      <c r="D112" s="11" t="str">
        <f>IMAGE("https://images.pokemontcg.io/hgss1/symbol.png", 1)</f>
        <v/>
      </c>
      <c r="E112" s="6" t="s">
        <v>295</v>
      </c>
      <c r="F112" s="8">
        <v>40219.0</v>
      </c>
      <c r="G112" s="7">
        <v>123.0</v>
      </c>
      <c r="H112" s="6" t="s">
        <v>308</v>
      </c>
      <c r="I112" s="6" t="b">
        <v>0</v>
      </c>
      <c r="J112" s="6" t="b">
        <v>0</v>
      </c>
    </row>
    <row r="113">
      <c r="A113" s="6" t="s">
        <v>309</v>
      </c>
      <c r="B113" s="6" t="s">
        <v>310</v>
      </c>
      <c r="C113" s="11" t="str">
        <f>IMAGE("https://images.pokemontcg.io/hsp/logo.png", 1)</f>
        <v/>
      </c>
      <c r="D113" s="11" t="str">
        <f>IMAGE("https://images.pokemontcg.io/hsp/symbol.png", 1)</f>
        <v/>
      </c>
      <c r="E113" s="6" t="s">
        <v>295</v>
      </c>
      <c r="F113" s="8">
        <v>40219.0</v>
      </c>
      <c r="G113" s="7">
        <v>25.0</v>
      </c>
      <c r="H113" s="6" t="s">
        <v>311</v>
      </c>
      <c r="I113" s="6" t="b">
        <v>0</v>
      </c>
      <c r="J113" s="6" t="b">
        <v>0</v>
      </c>
    </row>
    <row r="114">
      <c r="A114" s="6" t="s">
        <v>312</v>
      </c>
      <c r="B114" s="6" t="s">
        <v>313</v>
      </c>
      <c r="C114" s="11" t="str">
        <f>IMAGE("https://images.pokemontcg.io/ru1/logo.png", 1)</f>
        <v/>
      </c>
      <c r="D114" s="11" t="str">
        <f>IMAGE("https://images.pokemontcg.io/ru1/symbol.png", 1)</f>
        <v/>
      </c>
      <c r="E114" s="6" t="s">
        <v>78</v>
      </c>
      <c r="F114" s="8">
        <v>40149.0</v>
      </c>
      <c r="G114" s="7">
        <v>16.0</v>
      </c>
      <c r="H114" s="6"/>
      <c r="I114" s="6" t="b">
        <v>0</v>
      </c>
      <c r="J114" s="6" t="b">
        <v>0</v>
      </c>
    </row>
    <row r="115">
      <c r="A115" s="6" t="s">
        <v>314</v>
      </c>
      <c r="B115" s="6" t="s">
        <v>315</v>
      </c>
      <c r="C115" s="11" t="str">
        <f>IMAGE("https://images.pokemontcg.io/pl4/logo.png", 1)</f>
        <v/>
      </c>
      <c r="D115" s="11" t="str">
        <f>IMAGE("https://images.pokemontcg.io/pl4/symbol.png", 1)</f>
        <v/>
      </c>
      <c r="E115" s="6" t="s">
        <v>316</v>
      </c>
      <c r="F115" s="8">
        <v>40121.0</v>
      </c>
      <c r="G115" s="7">
        <v>99.0</v>
      </c>
      <c r="H115" s="6" t="s">
        <v>317</v>
      </c>
      <c r="I115" s="6" t="b">
        <v>0</v>
      </c>
      <c r="J115" s="6" t="b">
        <v>0</v>
      </c>
    </row>
    <row r="116">
      <c r="A116" s="6" t="s">
        <v>318</v>
      </c>
      <c r="B116" s="6" t="s">
        <v>319</v>
      </c>
      <c r="C116" s="11" t="str">
        <f>IMAGE("https://images.pokemontcg.io/pl3/logo.png", 1)</f>
        <v/>
      </c>
      <c r="D116" s="11" t="str">
        <f>IMAGE("https://images.pokemontcg.io/pl3/symbol.png", 1)</f>
        <v/>
      </c>
      <c r="E116" s="6" t="s">
        <v>316</v>
      </c>
      <c r="F116" s="8">
        <v>40044.0</v>
      </c>
      <c r="G116" s="7">
        <v>147.0</v>
      </c>
      <c r="H116" s="6" t="s">
        <v>320</v>
      </c>
      <c r="I116" s="6" t="b">
        <v>0</v>
      </c>
      <c r="J116" s="6" t="b">
        <v>0</v>
      </c>
    </row>
    <row r="117">
      <c r="A117" s="6" t="s">
        <v>321</v>
      </c>
      <c r="B117" s="6" t="s">
        <v>322</v>
      </c>
      <c r="C117" s="11" t="str">
        <f>IMAGE("https://images.pokemontcg.io/pl2/logo.png", 1)</f>
        <v/>
      </c>
      <c r="D117" s="11" t="str">
        <f>IMAGE("https://images.pokemontcg.io/pl2/symbol.png", 1)</f>
        <v/>
      </c>
      <c r="E117" s="6" t="s">
        <v>316</v>
      </c>
      <c r="F117" s="8">
        <v>39949.0</v>
      </c>
      <c r="G117" s="7">
        <v>111.0</v>
      </c>
      <c r="H117" s="6" t="s">
        <v>323</v>
      </c>
      <c r="I117" s="6" t="b">
        <v>0</v>
      </c>
      <c r="J117" s="6" t="b">
        <v>0</v>
      </c>
    </row>
    <row r="118">
      <c r="A118" s="6" t="s">
        <v>324</v>
      </c>
      <c r="B118" s="6" t="s">
        <v>325</v>
      </c>
      <c r="C118" s="11" t="str">
        <f>IMAGE("https://images.pokemontcg.io/pop9/logo.png", 1)</f>
        <v/>
      </c>
      <c r="D118" s="11" t="str">
        <f>IMAGE("https://images.pokemontcg.io/pop9/symbol.png", 1)</f>
        <v/>
      </c>
      <c r="E118" s="6" t="s">
        <v>326</v>
      </c>
      <c r="F118" s="8">
        <v>39873.0</v>
      </c>
      <c r="G118" s="7">
        <v>17.0</v>
      </c>
      <c r="H118" s="6"/>
      <c r="I118" s="6" t="b">
        <v>0</v>
      </c>
      <c r="J118" s="6" t="b">
        <v>0</v>
      </c>
    </row>
    <row r="119">
      <c r="A119" s="6" t="s">
        <v>327</v>
      </c>
      <c r="B119" s="6" t="s">
        <v>328</v>
      </c>
      <c r="C119" s="11" t="str">
        <f>IMAGE("https://images.pokemontcg.io/pl1/logo.png", 1)</f>
        <v/>
      </c>
      <c r="D119" s="11" t="str">
        <f>IMAGE("https://images.pokemontcg.io/pl1/symbol.png", 1)</f>
        <v/>
      </c>
      <c r="E119" s="6" t="s">
        <v>316</v>
      </c>
      <c r="F119" s="8">
        <v>39855.0</v>
      </c>
      <c r="G119" s="7">
        <v>127.0</v>
      </c>
      <c r="H119" s="6" t="s">
        <v>329</v>
      </c>
      <c r="I119" s="6" t="b">
        <v>0</v>
      </c>
      <c r="J119" s="6" t="b">
        <v>0</v>
      </c>
    </row>
    <row r="120">
      <c r="A120" s="6" t="s">
        <v>330</v>
      </c>
      <c r="B120" s="6" t="s">
        <v>331</v>
      </c>
      <c r="C120" s="11" t="str">
        <f>IMAGE("https://images.pokemontcg.io/dp7/logo.png", 1)</f>
        <v/>
      </c>
      <c r="D120" s="11" t="str">
        <f>IMAGE("https://images.pokemontcg.io/dp7/symbol.png", 1)</f>
        <v/>
      </c>
      <c r="E120" s="6" t="s">
        <v>332</v>
      </c>
      <c r="F120" s="8">
        <v>39753.0</v>
      </c>
      <c r="G120" s="7">
        <v>100.0</v>
      </c>
      <c r="H120" s="6" t="s">
        <v>333</v>
      </c>
      <c r="I120" s="6" t="b">
        <v>0</v>
      </c>
      <c r="J120" s="6" t="b">
        <v>0</v>
      </c>
    </row>
    <row r="121">
      <c r="A121" s="6" t="s">
        <v>334</v>
      </c>
      <c r="B121" s="6" t="s">
        <v>335</v>
      </c>
      <c r="C121" s="11" t="str">
        <f>IMAGE("https://images.pokemontcg.io/pop8/logo.png", 1)</f>
        <v/>
      </c>
      <c r="D121" s="11" t="str">
        <f>IMAGE("https://images.pokemontcg.io/pop8/symbol.png", 1)</f>
        <v/>
      </c>
      <c r="E121" s="6" t="s">
        <v>326</v>
      </c>
      <c r="F121" s="8">
        <v>39692.0</v>
      </c>
      <c r="G121" s="7">
        <v>17.0</v>
      </c>
      <c r="H121" s="6"/>
      <c r="I121" s="6" t="b">
        <v>0</v>
      </c>
      <c r="J121" s="6" t="b">
        <v>0</v>
      </c>
    </row>
    <row r="122">
      <c r="A122" s="6" t="s">
        <v>336</v>
      </c>
      <c r="B122" s="6" t="s">
        <v>337</v>
      </c>
      <c r="C122" s="11" t="str">
        <f>IMAGE("https://images.pokemontcg.io/dp6/logo.png", 1)</f>
        <v/>
      </c>
      <c r="D122" s="11" t="str">
        <f>IMAGE("https://images.pokemontcg.io/dp6/symbol.png", 1)</f>
        <v/>
      </c>
      <c r="E122" s="6" t="s">
        <v>332</v>
      </c>
      <c r="F122" s="8">
        <v>39661.0</v>
      </c>
      <c r="G122" s="7">
        <v>146.0</v>
      </c>
      <c r="H122" s="6" t="s">
        <v>338</v>
      </c>
      <c r="I122" s="6" t="b">
        <v>0</v>
      </c>
      <c r="J122" s="6" t="b">
        <v>0</v>
      </c>
    </row>
    <row r="123">
      <c r="A123" s="6" t="s">
        <v>339</v>
      </c>
      <c r="B123" s="6" t="s">
        <v>340</v>
      </c>
      <c r="C123" s="11" t="str">
        <f>IMAGE("https://images.pokemontcg.io/dp5/logo.png", 1)</f>
        <v/>
      </c>
      <c r="D123" s="11" t="str">
        <f>IMAGE("https://images.pokemontcg.io/dp5/symbol.png", 1)</f>
        <v/>
      </c>
      <c r="E123" s="6" t="s">
        <v>332</v>
      </c>
      <c r="F123" s="8">
        <v>39569.0</v>
      </c>
      <c r="G123" s="7">
        <v>100.0</v>
      </c>
      <c r="H123" s="6" t="s">
        <v>341</v>
      </c>
      <c r="I123" s="6" t="b">
        <v>0</v>
      </c>
      <c r="J123" s="6" t="b">
        <v>0</v>
      </c>
    </row>
    <row r="124">
      <c r="A124" s="6" t="s">
        <v>342</v>
      </c>
      <c r="B124" s="6" t="s">
        <v>343</v>
      </c>
      <c r="C124" s="11" t="str">
        <f>IMAGE("https://images.pokemontcg.io/pop7/logo.png", 1)</f>
        <v/>
      </c>
      <c r="D124" s="11" t="str">
        <f>IMAGE("https://images.pokemontcg.io/pop7/symbol.png", 1)</f>
        <v/>
      </c>
      <c r="E124" s="6" t="s">
        <v>326</v>
      </c>
      <c r="F124" s="8">
        <v>39508.0</v>
      </c>
      <c r="G124" s="7">
        <v>17.0</v>
      </c>
      <c r="H124" s="6"/>
      <c r="I124" s="6" t="b">
        <v>0</v>
      </c>
      <c r="J124" s="6" t="b">
        <v>0</v>
      </c>
    </row>
    <row r="125">
      <c r="A125" s="6" t="s">
        <v>344</v>
      </c>
      <c r="B125" s="6" t="s">
        <v>345</v>
      </c>
      <c r="C125" s="11" t="str">
        <f>IMAGE("https://images.pokemontcg.io/dp4/logo.png", 1)</f>
        <v/>
      </c>
      <c r="D125" s="11" t="str">
        <f>IMAGE("https://images.pokemontcg.io/dp4/symbol.png", 1)</f>
        <v/>
      </c>
      <c r="E125" s="6" t="s">
        <v>332</v>
      </c>
      <c r="F125" s="8">
        <v>39479.0</v>
      </c>
      <c r="G125" s="7">
        <v>106.0</v>
      </c>
      <c r="H125" s="6" t="s">
        <v>346</v>
      </c>
      <c r="I125" s="6" t="b">
        <v>0</v>
      </c>
      <c r="J125" s="6" t="b">
        <v>0</v>
      </c>
    </row>
    <row r="126">
      <c r="A126" s="6" t="s">
        <v>347</v>
      </c>
      <c r="B126" s="6" t="s">
        <v>348</v>
      </c>
      <c r="C126" s="11" t="str">
        <f>IMAGE("https://images.pokemontcg.io/dp3/logo.png", 1)</f>
        <v/>
      </c>
      <c r="D126" s="11" t="str">
        <f>IMAGE("https://images.pokemontcg.io/dp3/symbol.png", 1)</f>
        <v/>
      </c>
      <c r="E126" s="6" t="s">
        <v>332</v>
      </c>
      <c r="F126" s="8">
        <v>39387.0</v>
      </c>
      <c r="G126" s="7">
        <v>132.0</v>
      </c>
      <c r="H126" s="6" t="s">
        <v>349</v>
      </c>
      <c r="I126" s="6" t="b">
        <v>0</v>
      </c>
      <c r="J126" s="6" t="b">
        <v>0</v>
      </c>
    </row>
    <row r="127">
      <c r="A127" s="6" t="s">
        <v>350</v>
      </c>
      <c r="B127" s="6" t="s">
        <v>351</v>
      </c>
      <c r="C127" s="11" t="str">
        <f>IMAGE("https://images.pokemontcg.io/pop6/logo.png", 1)</f>
        <v/>
      </c>
      <c r="D127" s="11" t="str">
        <f>IMAGE("https://images.pokemontcg.io/pop6/symbol.png", 1)</f>
        <v/>
      </c>
      <c r="E127" s="6" t="s">
        <v>326</v>
      </c>
      <c r="F127" s="8">
        <v>39326.0</v>
      </c>
      <c r="G127" s="7">
        <v>17.0</v>
      </c>
      <c r="H127" s="6"/>
      <c r="I127" s="6" t="b">
        <v>0</v>
      </c>
      <c r="J127" s="6" t="b">
        <v>0</v>
      </c>
    </row>
    <row r="128">
      <c r="A128" s="6" t="s">
        <v>352</v>
      </c>
      <c r="B128" s="6" t="s">
        <v>353</v>
      </c>
      <c r="C128" s="11" t="str">
        <f>IMAGE("https://images.pokemontcg.io/dp2/logo.png", 1)</f>
        <v/>
      </c>
      <c r="D128" s="11" t="str">
        <f>IMAGE("https://images.pokemontcg.io/dp2/symbol.png", 1)</f>
        <v/>
      </c>
      <c r="E128" s="6" t="s">
        <v>332</v>
      </c>
      <c r="F128" s="8">
        <v>39295.0</v>
      </c>
      <c r="G128" s="7">
        <v>122.0</v>
      </c>
      <c r="H128" s="6" t="s">
        <v>354</v>
      </c>
      <c r="I128" s="6" t="b">
        <v>0</v>
      </c>
      <c r="J128" s="6" t="b">
        <v>0</v>
      </c>
    </row>
    <row r="129">
      <c r="A129" s="6" t="s">
        <v>355</v>
      </c>
      <c r="B129" s="6" t="s">
        <v>356</v>
      </c>
      <c r="C129" s="11" t="str">
        <f>IMAGE("https://images.pokemontcg.io/dp1/logo.png", 1)</f>
        <v/>
      </c>
      <c r="D129" s="11" t="str">
        <f>IMAGE("https://images.pokemontcg.io/dp1/symbol.png", 1)</f>
        <v/>
      </c>
      <c r="E129" s="6" t="s">
        <v>332</v>
      </c>
      <c r="F129" s="8">
        <v>39203.0</v>
      </c>
      <c r="G129" s="7">
        <v>130.0</v>
      </c>
      <c r="H129" s="6" t="s">
        <v>357</v>
      </c>
      <c r="I129" s="6" t="b">
        <v>0</v>
      </c>
      <c r="J129" s="6" t="b">
        <v>0</v>
      </c>
    </row>
    <row r="130">
      <c r="A130" s="6" t="s">
        <v>358</v>
      </c>
      <c r="B130" s="6" t="s">
        <v>359</v>
      </c>
      <c r="C130" s="11" t="str">
        <f>IMAGE("https://images.pokemontcg.io/dpp/logo.png", 1)</f>
        <v/>
      </c>
      <c r="D130" s="11" t="str">
        <f>IMAGE("https://images.pokemontcg.io/dpp/symbol.png", 1)</f>
        <v/>
      </c>
      <c r="E130" s="6" t="s">
        <v>332</v>
      </c>
      <c r="F130" s="8">
        <v>39203.0</v>
      </c>
      <c r="G130" s="7">
        <v>56.0</v>
      </c>
      <c r="H130" s="6" t="s">
        <v>360</v>
      </c>
      <c r="I130" s="6" t="b">
        <v>0</v>
      </c>
      <c r="J130" s="6" t="b">
        <v>0</v>
      </c>
    </row>
    <row r="131">
      <c r="A131" s="6" t="s">
        <v>361</v>
      </c>
      <c r="B131" s="6" t="s">
        <v>362</v>
      </c>
      <c r="C131" s="11" t="str">
        <f>IMAGE("https://images.pokemontcg.io/pop5/logo.png", 1)</f>
        <v/>
      </c>
      <c r="D131" s="11" t="str">
        <f>IMAGE("https://images.pokemontcg.io/pop5/symbol.png", 1)</f>
        <v/>
      </c>
      <c r="E131" s="6" t="s">
        <v>326</v>
      </c>
      <c r="F131" s="8">
        <v>39142.0</v>
      </c>
      <c r="G131" s="7">
        <v>17.0</v>
      </c>
      <c r="H131" s="6"/>
      <c r="I131" s="6" t="b">
        <v>0</v>
      </c>
      <c r="J131" s="6" t="b">
        <v>0</v>
      </c>
    </row>
    <row r="132">
      <c r="A132" s="6" t="s">
        <v>363</v>
      </c>
      <c r="B132" s="6" t="s">
        <v>364</v>
      </c>
      <c r="C132" s="11" t="str">
        <f>IMAGE("https://images.pokemontcg.io/ex16/logo.png", 1)</f>
        <v/>
      </c>
      <c r="D132" s="11" t="str">
        <f>IMAGE("https://images.pokemontcg.io/ex16/symbol.png", 1)</f>
        <v/>
      </c>
      <c r="E132" s="6" t="s">
        <v>365</v>
      </c>
      <c r="F132" s="8">
        <v>39115.0</v>
      </c>
      <c r="G132" s="7">
        <v>108.0</v>
      </c>
      <c r="H132" s="6" t="s">
        <v>366</v>
      </c>
      <c r="I132" s="6" t="b">
        <v>0</v>
      </c>
      <c r="J132" s="6" t="b">
        <v>0</v>
      </c>
    </row>
    <row r="133">
      <c r="A133" s="6" t="s">
        <v>367</v>
      </c>
      <c r="B133" s="6" t="s">
        <v>368</v>
      </c>
      <c r="C133" s="11" t="str">
        <f>IMAGE("https://images.pokemontcg.io/ex15/logo.png", 1)</f>
        <v/>
      </c>
      <c r="D133" s="11" t="str">
        <f>IMAGE("https://images.pokemontcg.io/ex15/symbol.png", 1)</f>
        <v/>
      </c>
      <c r="E133" s="6" t="s">
        <v>365</v>
      </c>
      <c r="F133" s="8">
        <v>39022.0</v>
      </c>
      <c r="G133" s="7">
        <v>101.0</v>
      </c>
      <c r="H133" s="6" t="s">
        <v>369</v>
      </c>
      <c r="I133" s="6" t="b">
        <v>0</v>
      </c>
      <c r="J133" s="6" t="b">
        <v>0</v>
      </c>
    </row>
    <row r="134">
      <c r="A134" s="6" t="s">
        <v>370</v>
      </c>
      <c r="B134" s="6" t="s">
        <v>371</v>
      </c>
      <c r="C134" s="11" t="str">
        <f>IMAGE("https://images.pokemontcg.io/ex14/logo.png", 1)</f>
        <v/>
      </c>
      <c r="D134" s="11" t="str">
        <f>IMAGE("https://images.pokemontcg.io/ex14/symbol.png", 1)</f>
        <v/>
      </c>
      <c r="E134" s="6" t="s">
        <v>365</v>
      </c>
      <c r="F134" s="8">
        <v>38930.0</v>
      </c>
      <c r="G134" s="7">
        <v>100.0</v>
      </c>
      <c r="H134" s="6" t="s">
        <v>372</v>
      </c>
      <c r="I134" s="6" t="b">
        <v>0</v>
      </c>
      <c r="J134" s="6" t="b">
        <v>0</v>
      </c>
    </row>
    <row r="135">
      <c r="A135" s="6" t="s">
        <v>373</v>
      </c>
      <c r="B135" s="6" t="s">
        <v>374</v>
      </c>
      <c r="C135" s="11" t="str">
        <f>IMAGE("https://images.pokemontcg.io/pop4/logo.png", 1)</f>
        <v/>
      </c>
      <c r="D135" s="11" t="str">
        <f>IMAGE("https://images.pokemontcg.io/pop4/symbol.png", 1)</f>
        <v/>
      </c>
      <c r="E135" s="6" t="s">
        <v>326</v>
      </c>
      <c r="F135" s="8">
        <v>38930.0</v>
      </c>
      <c r="G135" s="7">
        <v>17.0</v>
      </c>
      <c r="H135" s="6"/>
      <c r="I135" s="6" t="b">
        <v>0</v>
      </c>
      <c r="J135" s="6" t="b">
        <v>0</v>
      </c>
    </row>
    <row r="136">
      <c r="A136" s="6" t="s">
        <v>375</v>
      </c>
      <c r="B136" s="6" t="s">
        <v>376</v>
      </c>
      <c r="C136" s="11" t="str">
        <f>IMAGE("https://images.pokemontcg.io/ex13/logo.png", 1)</f>
        <v/>
      </c>
      <c r="D136" s="11" t="str">
        <f>IMAGE("https://images.pokemontcg.io/ex13/symbol.png", 1)</f>
        <v/>
      </c>
      <c r="E136" s="6" t="s">
        <v>365</v>
      </c>
      <c r="F136" s="10">
        <v>38838.0</v>
      </c>
      <c r="G136" s="7">
        <v>110.0</v>
      </c>
      <c r="H136" s="6" t="s">
        <v>377</v>
      </c>
      <c r="I136" s="6" t="b">
        <v>0</v>
      </c>
      <c r="J136" s="6" t="b">
        <v>0</v>
      </c>
    </row>
    <row r="137">
      <c r="A137" s="6" t="s">
        <v>378</v>
      </c>
      <c r="B137" s="6" t="s">
        <v>379</v>
      </c>
      <c r="C137" s="11" t="str">
        <f>IMAGE("https://images.pokemontcg.io/pop3/logo.png", 1)</f>
        <v/>
      </c>
      <c r="D137" s="11" t="str">
        <f>IMAGE("https://images.pokemontcg.io/pop3/symbol.png", 1)</f>
        <v/>
      </c>
      <c r="E137" s="6" t="s">
        <v>326</v>
      </c>
      <c r="F137" s="8">
        <v>38808.0</v>
      </c>
      <c r="G137" s="7">
        <v>17.0</v>
      </c>
      <c r="H137" s="6"/>
      <c r="I137" s="6" t="b">
        <v>0</v>
      </c>
      <c r="J137" s="6" t="b">
        <v>0</v>
      </c>
    </row>
    <row r="138">
      <c r="A138" s="6" t="s">
        <v>380</v>
      </c>
      <c r="B138" s="6" t="s">
        <v>381</v>
      </c>
      <c r="C138" s="6" t="str">
        <f>IMAGE("https://images.pokemontcg.io/tk2a/logo.png", 1)</f>
        <v/>
      </c>
      <c r="D138" s="6" t="str">
        <f>IMAGE("https://images.pokemontcg.io/tk2a/symbol.png", 1)</f>
        <v/>
      </c>
      <c r="E138" s="6" t="s">
        <v>365</v>
      </c>
      <c r="F138" s="8">
        <v>38777.0</v>
      </c>
      <c r="G138" s="7">
        <v>12.0</v>
      </c>
      <c r="H138" s="6"/>
      <c r="I138" s="6" t="b">
        <v>0</v>
      </c>
      <c r="J138" s="6" t="b">
        <v>0</v>
      </c>
    </row>
    <row r="139">
      <c r="A139" s="6" t="s">
        <v>382</v>
      </c>
      <c r="B139" s="6" t="s">
        <v>383</v>
      </c>
      <c r="C139" s="11" t="str">
        <f>IMAGE("https://images.pokemontcg.io/tk2b/logo.png", 1)</f>
        <v/>
      </c>
      <c r="D139" s="11" t="str">
        <f>IMAGE("https://images.pokemontcg.io/tk2b/symbol.png", 1)</f>
        <v/>
      </c>
      <c r="E139" s="6" t="s">
        <v>365</v>
      </c>
      <c r="F139" s="8">
        <v>38777.0</v>
      </c>
      <c r="G139" s="7">
        <v>12.0</v>
      </c>
      <c r="H139" s="6"/>
      <c r="I139" s="6" t="b">
        <v>0</v>
      </c>
      <c r="J139" s="6" t="b">
        <v>0</v>
      </c>
    </row>
    <row r="140">
      <c r="A140" s="6" t="s">
        <v>384</v>
      </c>
      <c r="B140" s="6" t="s">
        <v>385</v>
      </c>
      <c r="C140" s="6" t="str">
        <f>IMAGE("https://images.pokemontcg.io/ex12/logo.png", 1)</f>
        <v/>
      </c>
      <c r="D140" s="11" t="str">
        <f>IMAGE("https://images.pokemontcg.io/ex12/symbol.png", 1)</f>
        <v/>
      </c>
      <c r="E140" s="6" t="s">
        <v>365</v>
      </c>
      <c r="F140" s="8">
        <v>38749.0</v>
      </c>
      <c r="G140" s="7">
        <v>92.0</v>
      </c>
      <c r="H140" s="6" t="s">
        <v>386</v>
      </c>
      <c r="I140" s="6" t="b">
        <v>0</v>
      </c>
      <c r="J140" s="6" t="b">
        <v>0</v>
      </c>
    </row>
    <row r="141">
      <c r="A141" s="6" t="s">
        <v>387</v>
      </c>
      <c r="B141" s="6" t="s">
        <v>388</v>
      </c>
      <c r="C141" s="11" t="str">
        <f>IMAGE("https://images.pokemontcg.io/ex11/logo.png", 1)</f>
        <v/>
      </c>
      <c r="D141" s="11" t="str">
        <f>IMAGE("https://images.pokemontcg.io/ex11/symbol.png", 1)</f>
        <v/>
      </c>
      <c r="E141" s="6" t="s">
        <v>365</v>
      </c>
      <c r="F141" s="8">
        <v>38656.0</v>
      </c>
      <c r="G141" s="7">
        <v>113.0</v>
      </c>
      <c r="H141" s="6" t="s">
        <v>389</v>
      </c>
      <c r="I141" s="6" t="b">
        <v>0</v>
      </c>
      <c r="J141" s="6" t="b">
        <v>0</v>
      </c>
    </row>
    <row r="142">
      <c r="A142" s="6" t="s">
        <v>390</v>
      </c>
      <c r="B142" s="6" t="s">
        <v>391</v>
      </c>
      <c r="C142" s="11" t="str">
        <f>IMAGE("https://images.pokemontcg.io/ex10/logo.png", 1)</f>
        <v/>
      </c>
      <c r="D142" s="6" t="str">
        <f>IMAGE("https://images.pokemontcg.io/ex10/symbol.png", 1)</f>
        <v/>
      </c>
      <c r="E142" s="6" t="s">
        <v>365</v>
      </c>
      <c r="F142" s="8">
        <v>38565.0</v>
      </c>
      <c r="G142" s="7">
        <v>115.0</v>
      </c>
      <c r="H142" s="6" t="s">
        <v>392</v>
      </c>
      <c r="I142" s="6" t="b">
        <v>0</v>
      </c>
      <c r="J142" s="6" t="b">
        <v>0</v>
      </c>
    </row>
    <row r="143">
      <c r="A143" s="6" t="s">
        <v>393</v>
      </c>
      <c r="B143" s="6" t="s">
        <v>394</v>
      </c>
      <c r="C143" s="11" t="str">
        <f>IMAGE("https://images.pokemontcg.io/pop2/logo.png", 1)</f>
        <v/>
      </c>
      <c r="D143" s="11" t="str">
        <f>IMAGE("https://images.pokemontcg.io/pop2/symbol.png", 1)</f>
        <v/>
      </c>
      <c r="E143" s="6" t="s">
        <v>326</v>
      </c>
      <c r="F143" s="8">
        <v>38565.0</v>
      </c>
      <c r="G143" s="7">
        <v>17.0</v>
      </c>
      <c r="H143" s="6"/>
      <c r="I143" s="6" t="b">
        <v>0</v>
      </c>
      <c r="J143" s="6" t="b">
        <v>0</v>
      </c>
    </row>
    <row r="144">
      <c r="A144" s="6" t="s">
        <v>395</v>
      </c>
      <c r="B144" s="6" t="s">
        <v>396</v>
      </c>
      <c r="C144" s="11" t="str">
        <f>IMAGE("https://images.pokemontcg.io/ex9/logo.png", 1)</f>
        <v/>
      </c>
      <c r="D144" s="11" t="str">
        <f>IMAGE("https://images.pokemontcg.io/ex9/symbol.png", 1)</f>
        <v/>
      </c>
      <c r="E144" s="6" t="s">
        <v>365</v>
      </c>
      <c r="F144" s="8">
        <v>38473.0</v>
      </c>
      <c r="G144" s="7">
        <v>106.0</v>
      </c>
      <c r="H144" s="6" t="s">
        <v>397</v>
      </c>
      <c r="I144" s="6" t="b">
        <v>0</v>
      </c>
      <c r="J144" s="6" t="b">
        <v>0</v>
      </c>
    </row>
    <row r="145">
      <c r="A145" s="6" t="s">
        <v>398</v>
      </c>
      <c r="B145" s="6" t="s">
        <v>399</v>
      </c>
      <c r="C145" s="11" t="str">
        <f>IMAGE("https://images.pokemontcg.io/ex8/logo.png", 1)</f>
        <v/>
      </c>
      <c r="D145" s="11" t="str">
        <f>IMAGE("https://images.pokemontcg.io/ex8/symbol.png", 1)</f>
        <v/>
      </c>
      <c r="E145" s="6" t="s">
        <v>365</v>
      </c>
      <c r="F145" s="8">
        <v>38384.0</v>
      </c>
      <c r="G145" s="7">
        <v>107.0</v>
      </c>
      <c r="H145" s="6" t="s">
        <v>400</v>
      </c>
      <c r="I145" s="6" t="b">
        <v>0</v>
      </c>
      <c r="J145" s="6" t="b">
        <v>0</v>
      </c>
    </row>
    <row r="146">
      <c r="A146" s="6" t="s">
        <v>401</v>
      </c>
      <c r="B146" s="6" t="s">
        <v>402</v>
      </c>
      <c r="C146" s="11" t="str">
        <f>IMAGE("https://images.pokemontcg.io/ex7/logo.png", 1)</f>
        <v/>
      </c>
      <c r="D146" s="11" t="str">
        <f>IMAGE("https://images.pokemontcg.io/ex7/symbol.png", 1)</f>
        <v/>
      </c>
      <c r="E146" s="6" t="s">
        <v>365</v>
      </c>
      <c r="F146" s="8">
        <v>38292.0</v>
      </c>
      <c r="G146" s="7">
        <v>82.0</v>
      </c>
      <c r="H146" s="6" t="s">
        <v>403</v>
      </c>
      <c r="I146" s="6" t="b">
        <v>0</v>
      </c>
      <c r="J146" s="6" t="b">
        <v>0</v>
      </c>
    </row>
    <row r="147">
      <c r="A147" s="6" t="s">
        <v>404</v>
      </c>
      <c r="B147" s="6" t="s">
        <v>405</v>
      </c>
      <c r="C147" s="11" t="str">
        <f>IMAGE("https://images.pokemontcg.io/ex6/logo.png", 1)</f>
        <v/>
      </c>
      <c r="D147" s="11" t="str">
        <f>IMAGE("https://images.pokemontcg.io/ex6/symbol.png", 1)</f>
        <v/>
      </c>
      <c r="E147" s="6" t="s">
        <v>365</v>
      </c>
      <c r="F147" s="8">
        <v>38231.0</v>
      </c>
      <c r="G147" s="7">
        <v>112.0</v>
      </c>
      <c r="H147" s="6" t="s">
        <v>406</v>
      </c>
      <c r="I147" s="6" t="b">
        <v>0</v>
      </c>
      <c r="J147" s="6" t="b">
        <v>0</v>
      </c>
    </row>
    <row r="148">
      <c r="A148" s="6" t="s">
        <v>407</v>
      </c>
      <c r="B148" s="6" t="s">
        <v>408</v>
      </c>
      <c r="C148" s="11" t="str">
        <f>IMAGE("https://images.pokemontcg.io/pop1/logo.png", 1)</f>
        <v/>
      </c>
      <c r="D148" s="11" t="str">
        <f>IMAGE("https://images.pokemontcg.io/pop1/symbol.png", 1)</f>
        <v/>
      </c>
      <c r="E148" s="6" t="s">
        <v>326</v>
      </c>
      <c r="F148" s="10">
        <v>38231.0</v>
      </c>
      <c r="G148" s="7">
        <v>17.0</v>
      </c>
      <c r="H148" s="6"/>
      <c r="I148" s="6" t="b">
        <v>0</v>
      </c>
      <c r="J148" s="6" t="b">
        <v>0</v>
      </c>
    </row>
    <row r="149">
      <c r="A149" s="6" t="s">
        <v>409</v>
      </c>
      <c r="B149" s="6" t="s">
        <v>410</v>
      </c>
      <c r="C149" s="11" t="str">
        <f>IMAGE("https://images.pokemontcg.io/tk1a/logo.png", 1)</f>
        <v/>
      </c>
      <c r="D149" s="11" t="str">
        <f>IMAGE("https://images.pokemontcg.io/tk1a/symbol.png", 1)</f>
        <v/>
      </c>
      <c r="E149" s="6" t="s">
        <v>365</v>
      </c>
      <c r="F149" s="8">
        <v>38139.0</v>
      </c>
      <c r="G149" s="7">
        <v>10.0</v>
      </c>
      <c r="H149" s="6"/>
      <c r="I149" s="6" t="b">
        <v>0</v>
      </c>
      <c r="J149" s="6" t="b">
        <v>0</v>
      </c>
    </row>
    <row r="150">
      <c r="A150" s="6" t="s">
        <v>411</v>
      </c>
      <c r="B150" s="6" t="s">
        <v>412</v>
      </c>
      <c r="C150" s="11" t="str">
        <f>IMAGE("https://images.pokemontcg.io/tk1b/logo.png", 1)</f>
        <v/>
      </c>
      <c r="D150" s="11" t="str">
        <f>IMAGE("https://images.pokemontcg.io/tk1b/symbol.png", 1)</f>
        <v/>
      </c>
      <c r="E150" s="6" t="s">
        <v>365</v>
      </c>
      <c r="F150" s="8">
        <v>38139.0</v>
      </c>
      <c r="G150" s="7">
        <v>10.0</v>
      </c>
      <c r="H150" s="6"/>
      <c r="I150" s="6" t="b">
        <v>0</v>
      </c>
      <c r="J150" s="6" t="b">
        <v>0</v>
      </c>
    </row>
    <row r="151">
      <c r="A151" s="6" t="s">
        <v>413</v>
      </c>
      <c r="B151" s="6" t="s">
        <v>414</v>
      </c>
      <c r="C151" s="11" t="str">
        <f>IMAGE("https://images.pokemontcg.io/ex5/logo.png", 1)</f>
        <v/>
      </c>
      <c r="D151" s="11" t="str">
        <f>IMAGE("https://images.pokemontcg.io/ex5/symbol.png", 1)</f>
        <v/>
      </c>
      <c r="E151" s="6" t="s">
        <v>365</v>
      </c>
      <c r="F151" s="8">
        <v>38139.0</v>
      </c>
      <c r="G151" s="7">
        <v>102.0</v>
      </c>
      <c r="H151" s="6" t="s">
        <v>415</v>
      </c>
      <c r="I151" s="6" t="b">
        <v>0</v>
      </c>
      <c r="J151" s="6" t="b">
        <v>0</v>
      </c>
    </row>
    <row r="152">
      <c r="A152" s="6" t="s">
        <v>416</v>
      </c>
      <c r="B152" s="6" t="s">
        <v>417</v>
      </c>
      <c r="C152" s="6" t="str">
        <f>IMAGE("https://images.pokemontcg.io/ex4/logo.png", 1)</f>
        <v/>
      </c>
      <c r="D152" s="6" t="str">
        <f>IMAGE("https://images.pokemontcg.io/ex4/symbol.png", 1)</f>
        <v/>
      </c>
      <c r="E152" s="6" t="s">
        <v>365</v>
      </c>
      <c r="F152" s="8">
        <v>38047.0</v>
      </c>
      <c r="G152" s="7">
        <v>95.0</v>
      </c>
      <c r="H152" s="6" t="s">
        <v>418</v>
      </c>
      <c r="I152" s="6" t="b">
        <v>0</v>
      </c>
      <c r="J152" s="6" t="b">
        <v>0</v>
      </c>
    </row>
    <row r="153">
      <c r="A153" s="6" t="s">
        <v>419</v>
      </c>
      <c r="B153" s="6" t="s">
        <v>420</v>
      </c>
      <c r="C153" s="6" t="str">
        <f>IMAGE("https://images.pokemontcg.io/ex3/logo.png", 1)</f>
        <v/>
      </c>
      <c r="D153" s="6" t="str">
        <f>IMAGE("https://images.pokemontcg.io/ex3/symbol.png", 1)</f>
        <v/>
      </c>
      <c r="E153" s="6" t="s">
        <v>365</v>
      </c>
      <c r="F153" s="8">
        <v>37949.0</v>
      </c>
      <c r="G153" s="7">
        <v>97.0</v>
      </c>
      <c r="H153" s="6" t="s">
        <v>421</v>
      </c>
      <c r="I153" s="6" t="b">
        <v>0</v>
      </c>
      <c r="J153" s="6" t="b">
        <v>0</v>
      </c>
    </row>
    <row r="154">
      <c r="A154" s="6" t="s">
        <v>422</v>
      </c>
      <c r="B154" s="6" t="s">
        <v>423</v>
      </c>
      <c r="C154" s="11" t="str">
        <f>IMAGE("https://images.pokemontcg.io/np/logo.png", 1)</f>
        <v/>
      </c>
      <c r="D154" s="11" t="str">
        <f>IMAGE("https://images.pokemontcg.io/np/symbol.png", 1)</f>
        <v/>
      </c>
      <c r="E154" s="6" t="s">
        <v>424</v>
      </c>
      <c r="F154" s="8">
        <v>37895.0</v>
      </c>
      <c r="G154" s="7">
        <v>40.0</v>
      </c>
      <c r="H154" s="6" t="s">
        <v>425</v>
      </c>
      <c r="I154" s="6" t="b">
        <v>0</v>
      </c>
      <c r="J154" s="6" t="b">
        <v>0</v>
      </c>
    </row>
    <row r="155">
      <c r="A155" s="6" t="s">
        <v>426</v>
      </c>
      <c r="B155" s="6" t="s">
        <v>427</v>
      </c>
      <c r="C155" s="6" t="str">
        <f>IMAGE("https://images.pokemontcg.io/ex2/logo.png", 1)</f>
        <v/>
      </c>
      <c r="D155" s="6" t="str">
        <f>IMAGE("https://images.pokemontcg.io/ex2/symbol.png", 1)</f>
        <v/>
      </c>
      <c r="E155" s="6" t="s">
        <v>365</v>
      </c>
      <c r="F155" s="8">
        <v>37882.0</v>
      </c>
      <c r="G155" s="7">
        <v>100.0</v>
      </c>
      <c r="H155" s="6" t="s">
        <v>428</v>
      </c>
      <c r="I155" s="6" t="b">
        <v>0</v>
      </c>
      <c r="J155" s="6" t="b">
        <v>0</v>
      </c>
    </row>
    <row r="156">
      <c r="A156" s="6" t="s">
        <v>429</v>
      </c>
      <c r="B156" s="6" t="s">
        <v>430</v>
      </c>
      <c r="C156" s="11" t="str">
        <f>IMAGE("https://images.pokemontcg.io/ex1/logo.png", 1)</f>
        <v/>
      </c>
      <c r="D156" s="11" t="str">
        <f>IMAGE("https://images.pokemontcg.io/ex1/symbol.png", 1)</f>
        <v/>
      </c>
      <c r="E156" s="6" t="s">
        <v>365</v>
      </c>
      <c r="F156" s="8">
        <v>37803.0</v>
      </c>
      <c r="G156" s="7">
        <v>109.0</v>
      </c>
      <c r="H156" s="6" t="s">
        <v>431</v>
      </c>
      <c r="I156" s="6" t="b">
        <v>0</v>
      </c>
      <c r="J156" s="6" t="b">
        <v>0</v>
      </c>
    </row>
    <row r="157">
      <c r="A157" s="6" t="s">
        <v>432</v>
      </c>
      <c r="B157" s="6" t="s">
        <v>433</v>
      </c>
      <c r="C157" s="6" t="str">
        <f>IMAGE("https://images.pokemontcg.io/ecard3/logo.png", 1)</f>
        <v/>
      </c>
      <c r="D157" s="6" t="str">
        <f>IMAGE("https://images.pokemontcg.io/ecard3/symbol.png", 1)</f>
        <v/>
      </c>
      <c r="E157" s="6" t="s">
        <v>434</v>
      </c>
      <c r="F157" s="8">
        <v>37753.0</v>
      </c>
      <c r="G157" s="7">
        <v>144.0</v>
      </c>
      <c r="H157" s="6" t="s">
        <v>435</v>
      </c>
      <c r="I157" s="6" t="b">
        <v>0</v>
      </c>
      <c r="J157" s="6" t="b">
        <v>0</v>
      </c>
    </row>
    <row r="158">
      <c r="A158" s="6" t="s">
        <v>436</v>
      </c>
      <c r="B158" s="6" t="s">
        <v>437</v>
      </c>
      <c r="C158" s="6" t="str">
        <f>IMAGE("https://images.pokemontcg.io/ecard2/logo.png", 1)</f>
        <v/>
      </c>
      <c r="D158" s="6" t="str">
        <f>IMAGE("https://images.pokemontcg.io/ecard2/symbol.png", 1)</f>
        <v/>
      </c>
      <c r="E158" s="6" t="s">
        <v>434</v>
      </c>
      <c r="F158" s="8">
        <v>37636.0</v>
      </c>
      <c r="G158" s="7">
        <v>147.0</v>
      </c>
      <c r="H158" s="6" t="s">
        <v>438</v>
      </c>
      <c r="I158" s="6" t="b">
        <v>0</v>
      </c>
      <c r="J158" s="6" t="b">
        <v>0</v>
      </c>
    </row>
    <row r="159">
      <c r="A159" s="6" t="s">
        <v>439</v>
      </c>
      <c r="B159" s="6" t="s">
        <v>440</v>
      </c>
      <c r="C159" s="11" t="str">
        <f>IMAGE("https://images.pokemontcg.io/bp/logo.png", 1)</f>
        <v/>
      </c>
      <c r="D159" s="11" t="str">
        <f>IMAGE("https://images.pokemontcg.io/bp/symbol.png", 1)</f>
        <v/>
      </c>
      <c r="E159" s="6" t="s">
        <v>78</v>
      </c>
      <c r="F159" s="8">
        <v>37591.0</v>
      </c>
      <c r="G159" s="7">
        <v>9.0</v>
      </c>
      <c r="H159" s="6" t="s">
        <v>441</v>
      </c>
      <c r="I159" s="6" t="b">
        <v>0</v>
      </c>
      <c r="J159" s="6" t="b">
        <v>0</v>
      </c>
    </row>
    <row r="160">
      <c r="A160" s="6" t="s">
        <v>442</v>
      </c>
      <c r="B160" s="6" t="s">
        <v>443</v>
      </c>
      <c r="C160" s="6" t="str">
        <f>IMAGE("https://images.pokemontcg.io/ecard1/logo.png", 1)</f>
        <v/>
      </c>
      <c r="D160" s="6" t="str">
        <f>IMAGE("https://images.pokemontcg.io/ecard1/symbol.png", 1)</f>
        <v/>
      </c>
      <c r="E160" s="6" t="s">
        <v>434</v>
      </c>
      <c r="F160" s="8">
        <v>37514.0</v>
      </c>
      <c r="G160" s="7">
        <v>165.0</v>
      </c>
      <c r="H160" s="6" t="s">
        <v>365</v>
      </c>
      <c r="I160" s="6" t="b">
        <v>0</v>
      </c>
      <c r="J160" s="6" t="b">
        <v>0</v>
      </c>
    </row>
    <row r="161">
      <c r="A161" s="6" t="s">
        <v>444</v>
      </c>
      <c r="B161" s="6" t="s">
        <v>445</v>
      </c>
      <c r="C161" s="6" t="str">
        <f>IMAGE("https://images.pokemontcg.io/base6/logo.png", 1)</f>
        <v/>
      </c>
      <c r="D161" s="6" t="str">
        <f>IMAGE("https://images.pokemontcg.io/base6/symbol.png", 1)</f>
        <v/>
      </c>
      <c r="E161" s="6" t="s">
        <v>78</v>
      </c>
      <c r="F161" s="10">
        <v>37400.0</v>
      </c>
      <c r="G161" s="7">
        <v>110.0</v>
      </c>
      <c r="H161" s="6" t="s">
        <v>446</v>
      </c>
      <c r="I161" s="6" t="b">
        <v>0</v>
      </c>
      <c r="J161" s="6" t="b">
        <v>0</v>
      </c>
    </row>
    <row r="162">
      <c r="A162" s="6" t="s">
        <v>447</v>
      </c>
      <c r="B162" s="6" t="s">
        <v>448</v>
      </c>
      <c r="C162" s="11" t="str">
        <f>IMAGE("https://images.pokemontcg.io/neo4/logo.png", 1)</f>
        <v/>
      </c>
      <c r="D162" s="11" t="str">
        <f>IMAGE("https://images.pokemontcg.io/neo4/symbol.png", 1)</f>
        <v/>
      </c>
      <c r="E162" s="6" t="s">
        <v>449</v>
      </c>
      <c r="F162" s="10">
        <v>37315.0</v>
      </c>
      <c r="G162" s="7">
        <v>105.0</v>
      </c>
      <c r="H162" s="6" t="s">
        <v>450</v>
      </c>
      <c r="I162" s="6" t="b">
        <v>0</v>
      </c>
      <c r="J162" s="6" t="b">
        <v>0</v>
      </c>
    </row>
    <row r="163">
      <c r="A163" s="6" t="s">
        <v>451</v>
      </c>
      <c r="B163" s="6" t="s">
        <v>452</v>
      </c>
      <c r="C163" s="11" t="str">
        <f>IMAGE("https://images.pokemontcg.io/neo3/logo.png", 1)</f>
        <v/>
      </c>
      <c r="D163" s="11" t="str">
        <f>IMAGE("https://images.pokemontcg.io/neo3/symbol.png", 1)</f>
        <v/>
      </c>
      <c r="E163" s="6" t="s">
        <v>449</v>
      </c>
      <c r="F163" s="8">
        <v>37155.0</v>
      </c>
      <c r="G163" s="7">
        <v>64.0</v>
      </c>
      <c r="H163" s="6" t="s">
        <v>453</v>
      </c>
      <c r="I163" s="6" t="b">
        <v>0</v>
      </c>
      <c r="J163" s="6" t="b">
        <v>0</v>
      </c>
    </row>
    <row r="164">
      <c r="A164" s="6" t="s">
        <v>454</v>
      </c>
      <c r="B164" s="6" t="s">
        <v>455</v>
      </c>
      <c r="C164" s="11" t="str">
        <f>IMAGE("https://images.pokemontcg.io/si1/logo.png", 1)</f>
        <v/>
      </c>
      <c r="D164" s="11" t="str">
        <f>IMAGE("https://images.pokemontcg.io/si1/symbol.png", 1)</f>
        <v/>
      </c>
      <c r="E164" s="6" t="s">
        <v>78</v>
      </c>
      <c r="F164" s="8">
        <v>37103.0</v>
      </c>
      <c r="G164" s="7">
        <v>18.0</v>
      </c>
      <c r="H164" s="6"/>
      <c r="I164" s="6" t="b">
        <v>0</v>
      </c>
      <c r="J164" s="6" t="b">
        <v>0</v>
      </c>
    </row>
    <row r="165">
      <c r="A165" s="6" t="s">
        <v>456</v>
      </c>
      <c r="B165" s="6" t="s">
        <v>457</v>
      </c>
      <c r="C165" s="11" t="str">
        <f>IMAGE("https://images.pokemontcg.io/neo2/logo.png", 1)</f>
        <v/>
      </c>
      <c r="D165" s="11" t="str">
        <f>IMAGE("https://images.pokemontcg.io/neo2/symbol.png", 1)</f>
        <v/>
      </c>
      <c r="E165" s="6" t="s">
        <v>449</v>
      </c>
      <c r="F165" s="8">
        <v>37043.0</v>
      </c>
      <c r="G165" s="7">
        <v>75.0</v>
      </c>
      <c r="H165" s="6" t="s">
        <v>458</v>
      </c>
      <c r="I165" s="6" t="b">
        <v>0</v>
      </c>
      <c r="J165" s="6" t="b">
        <v>0</v>
      </c>
    </row>
    <row r="166">
      <c r="A166" s="6" t="s">
        <v>459</v>
      </c>
      <c r="B166" s="6" t="s">
        <v>460</v>
      </c>
      <c r="C166" s="11" t="str">
        <f>IMAGE("https://images.pokemontcg.io/neo1/logo.png", 1)</f>
        <v/>
      </c>
      <c r="D166" s="11" t="str">
        <f>IMAGE("https://images.pokemontcg.io/neo1/symbol.png", 1)</f>
        <v/>
      </c>
      <c r="E166" s="6" t="s">
        <v>449</v>
      </c>
      <c r="F166" s="10">
        <v>36876.0</v>
      </c>
      <c r="G166" s="7">
        <v>111.0</v>
      </c>
      <c r="H166" s="6" t="s">
        <v>461</v>
      </c>
      <c r="I166" s="6" t="b">
        <v>0</v>
      </c>
      <c r="J166" s="6" t="b">
        <v>0</v>
      </c>
    </row>
    <row r="167">
      <c r="A167" s="6" t="s">
        <v>462</v>
      </c>
      <c r="B167" s="6" t="s">
        <v>463</v>
      </c>
      <c r="C167" s="6" t="str">
        <f>IMAGE("https://images.pokemontcg.io/gym2/logo.png", 1)</f>
        <v/>
      </c>
      <c r="D167" s="6" t="str">
        <f>IMAGE("https://images.pokemontcg.io/gym2/symbol.png", 1)</f>
        <v/>
      </c>
      <c r="E167" s="6" t="s">
        <v>464</v>
      </c>
      <c r="F167" s="8">
        <v>36815.0</v>
      </c>
      <c r="G167" s="7">
        <v>132.0</v>
      </c>
      <c r="H167" s="6" t="s">
        <v>465</v>
      </c>
      <c r="I167" s="6" t="b">
        <v>0</v>
      </c>
      <c r="J167" s="6" t="b">
        <v>0</v>
      </c>
    </row>
    <row r="168">
      <c r="A168" s="6" t="s">
        <v>466</v>
      </c>
      <c r="B168" s="6" t="s">
        <v>467</v>
      </c>
      <c r="C168" s="11" t="str">
        <f>IMAGE("https://images.pokemontcg.io/gym1/logo.png", 1)</f>
        <v/>
      </c>
      <c r="D168" s="11" t="str">
        <f>IMAGE("https://images.pokemontcg.io/gym1/symbol.png", 1)</f>
        <v/>
      </c>
      <c r="E168" s="6" t="s">
        <v>464</v>
      </c>
      <c r="F168" s="8">
        <v>36752.0</v>
      </c>
      <c r="G168" s="7">
        <v>132.0</v>
      </c>
      <c r="H168" s="6" t="s">
        <v>468</v>
      </c>
      <c r="I168" s="6" t="b">
        <v>0</v>
      </c>
      <c r="J168" s="6" t="b">
        <v>0</v>
      </c>
    </row>
    <row r="169">
      <c r="A169" s="6" t="s">
        <v>469</v>
      </c>
      <c r="B169" s="6" t="s">
        <v>402</v>
      </c>
      <c r="C169" s="6" t="str">
        <f>IMAGE("https://images.pokemontcg.io/base5/logo.png", 1)</f>
        <v/>
      </c>
      <c r="D169" s="6" t="str">
        <f>IMAGE("https://images.pokemontcg.io/base5/symbol.png", 1)</f>
        <v/>
      </c>
      <c r="E169" s="6" t="s">
        <v>470</v>
      </c>
      <c r="F169" s="8">
        <v>36640.0</v>
      </c>
      <c r="G169" s="7">
        <v>82.0</v>
      </c>
      <c r="H169" s="6" t="s">
        <v>471</v>
      </c>
      <c r="I169" s="6" t="b">
        <v>0</v>
      </c>
      <c r="J169" s="6" t="b">
        <v>0</v>
      </c>
    </row>
    <row r="170">
      <c r="A170" s="6" t="s">
        <v>472</v>
      </c>
      <c r="B170" s="6" t="s">
        <v>473</v>
      </c>
      <c r="C170" s="11" t="str">
        <f>IMAGE("https://images.pokemontcg.io/base4/logo.png", 1)</f>
        <v/>
      </c>
      <c r="D170" s="11" t="str">
        <f>IMAGE("https://images.pokemontcg.io/base4/symbol.png", 1)</f>
        <v/>
      </c>
      <c r="E170" s="6" t="s">
        <v>470</v>
      </c>
      <c r="F170" s="12">
        <v>36580.0</v>
      </c>
      <c r="G170" s="7">
        <v>130.0</v>
      </c>
      <c r="H170" s="6" t="s">
        <v>474</v>
      </c>
      <c r="I170" s="6" t="b">
        <v>0</v>
      </c>
      <c r="J170" s="6" t="b">
        <v>0</v>
      </c>
    </row>
    <row r="171">
      <c r="A171" s="6" t="s">
        <v>475</v>
      </c>
      <c r="B171" s="6" t="s">
        <v>476</v>
      </c>
      <c r="C171" s="11" t="str">
        <f>IMAGE("https://images.pokemontcg.io/base3/logo.png", 1)</f>
        <v/>
      </c>
      <c r="D171" s="11" t="str">
        <f>IMAGE("https://images.pokemontcg.io/base3/symbol.png", 1)</f>
        <v/>
      </c>
      <c r="E171" s="6" t="s">
        <v>470</v>
      </c>
      <c r="F171" s="12">
        <v>36443.0</v>
      </c>
      <c r="G171" s="7">
        <v>62.0</v>
      </c>
      <c r="H171" s="6" t="s">
        <v>477</v>
      </c>
      <c r="I171" s="6" t="b">
        <v>0</v>
      </c>
      <c r="J171" s="6" t="b">
        <v>0</v>
      </c>
    </row>
    <row r="172">
      <c r="A172" s="6" t="s">
        <v>478</v>
      </c>
      <c r="B172" s="6" t="s">
        <v>479</v>
      </c>
      <c r="C172" s="11" t="str">
        <f>IMAGE("https://images.pokemontcg.io/basep/logo.png", 1)</f>
        <v/>
      </c>
      <c r="D172" s="11" t="str">
        <f>IMAGE("https://images.pokemontcg.io/basep/symbol.png", 1)</f>
        <v/>
      </c>
      <c r="E172" s="6" t="s">
        <v>470</v>
      </c>
      <c r="F172" s="8">
        <v>36342.0</v>
      </c>
      <c r="G172" s="7">
        <v>53.0</v>
      </c>
      <c r="H172" s="6" t="s">
        <v>480</v>
      </c>
      <c r="I172" s="6" t="b">
        <v>0</v>
      </c>
      <c r="J172" s="6" t="b">
        <v>0</v>
      </c>
    </row>
    <row r="173">
      <c r="A173" s="6" t="s">
        <v>481</v>
      </c>
      <c r="B173" s="6" t="s">
        <v>482</v>
      </c>
      <c r="C173" s="11" t="str">
        <f>IMAGE("https://images.pokemontcg.io/base2/logo.png", 1)</f>
        <v/>
      </c>
      <c r="D173" s="11" t="str">
        <f>IMAGE("https://images.pokemontcg.io/base2/symbol.png", 1)</f>
        <v/>
      </c>
      <c r="E173" s="6" t="s">
        <v>470</v>
      </c>
      <c r="F173" s="8">
        <v>36327.0</v>
      </c>
      <c r="G173" s="7">
        <v>64.0</v>
      </c>
      <c r="H173" s="6" t="s">
        <v>483</v>
      </c>
      <c r="I173" s="6" t="b">
        <v>0</v>
      </c>
      <c r="J173" s="6" t="b">
        <v>0</v>
      </c>
    </row>
    <row r="174">
      <c r="A174" s="6" t="s">
        <v>484</v>
      </c>
      <c r="B174" s="6" t="s">
        <v>485</v>
      </c>
      <c r="C174" s="11" t="str">
        <f>IMAGE("https://images.pokemontcg.io/base1/logo.png", 1)</f>
        <v/>
      </c>
      <c r="D174" s="11" t="str">
        <f>IMAGE("https://images.pokemontcg.io/base1/symbol.png", 1)</f>
        <v/>
      </c>
      <c r="E174" s="6" t="s">
        <v>470</v>
      </c>
      <c r="F174" s="8">
        <v>36169.0</v>
      </c>
      <c r="G174" s="7">
        <v>102.0</v>
      </c>
      <c r="H174" s="6" t="s">
        <v>486</v>
      </c>
      <c r="I174" s="6" t="b">
        <v>0</v>
      </c>
      <c r="J174" s="6" t="b">
        <v>0</v>
      </c>
    </row>
    <row r="175">
      <c r="A175" s="6" t="s">
        <v>487</v>
      </c>
      <c r="B175" s="6" t="s">
        <v>488</v>
      </c>
      <c r="C175" s="11" t="str">
        <f>IMAGE("https://images.pokedata.ovh/en/mebsp/promo.png", 1)</f>
        <v/>
      </c>
      <c r="D175" s="11" t="str">
        <f>IMAGE("https://images.pokedata.ovh/en/mebsp/symbol.png", 1)</f>
        <v/>
      </c>
      <c r="E175" s="6" t="s">
        <v>14</v>
      </c>
      <c r="F175" s="6" t="s">
        <v>489</v>
      </c>
      <c r="G175" s="7">
        <v>13.0</v>
      </c>
      <c r="H175" s="6" t="s">
        <v>490</v>
      </c>
      <c r="I175" s="6" t="b">
        <v>0</v>
      </c>
      <c r="J175" s="6" t="b">
        <v>0</v>
      </c>
    </row>
    <row r="176">
      <c r="A176" s="6" t="s">
        <v>491</v>
      </c>
      <c r="B176" s="6" t="s">
        <v>492</v>
      </c>
      <c r="G176" s="7">
        <v>28.0</v>
      </c>
      <c r="I176" s="6" t="b">
        <v>0</v>
      </c>
      <c r="J176" s="6" t="b">
        <v>0</v>
      </c>
    </row>
    <row r="177">
      <c r="A177" s="6" t="s">
        <v>493</v>
      </c>
      <c r="B177" s="6" t="s">
        <v>494</v>
      </c>
      <c r="D177" s="11" t="str">
        <f>IMAGE("https://assets.tcgdex.net/univ/hgss/hgssp/symbol", 1)</f>
        <v/>
      </c>
      <c r="G177" s="7">
        <v>25.0</v>
      </c>
      <c r="I177" s="6" t="b">
        <v>0</v>
      </c>
      <c r="J177" s="6" t="b">
        <v>0</v>
      </c>
    </row>
    <row r="178">
      <c r="A178" s="6" t="s">
        <v>495</v>
      </c>
      <c r="B178" s="6" t="s">
        <v>496</v>
      </c>
      <c r="G178" s="7">
        <v>6.0</v>
      </c>
      <c r="I178" s="6" t="b">
        <v>0</v>
      </c>
      <c r="J178" s="6" t="b">
        <v>0</v>
      </c>
    </row>
    <row r="179">
      <c r="A179" s="6" t="s">
        <v>497</v>
      </c>
      <c r="B179" s="6" t="s">
        <v>498</v>
      </c>
      <c r="D179" s="11" t="str">
        <f>IMAGE("https://assets.tcgdex.net/univ/tcgp/A1/symbol", 1)</f>
        <v/>
      </c>
      <c r="G179" s="7">
        <v>226.0</v>
      </c>
      <c r="I179" s="6" t="b">
        <v>0</v>
      </c>
      <c r="J179" s="6" t="b">
        <v>0</v>
      </c>
    </row>
    <row r="180">
      <c r="A180" s="6" t="s">
        <v>499</v>
      </c>
      <c r="B180" s="6" t="s">
        <v>500</v>
      </c>
      <c r="G180" s="7">
        <v>73.0</v>
      </c>
      <c r="I180" s="6" t="b">
        <v>0</v>
      </c>
      <c r="J180" s="6" t="b">
        <v>0</v>
      </c>
    </row>
    <row r="181">
      <c r="A181" s="6" t="s">
        <v>501</v>
      </c>
      <c r="B181" s="6" t="s">
        <v>502</v>
      </c>
      <c r="G181" s="7">
        <v>68.0</v>
      </c>
      <c r="I181" s="6" t="b">
        <v>0</v>
      </c>
      <c r="J181" s="6" t="b">
        <v>0</v>
      </c>
    </row>
    <row r="182">
      <c r="A182" s="6" t="s">
        <v>503</v>
      </c>
      <c r="B182" s="6" t="s">
        <v>504</v>
      </c>
      <c r="G182" s="7">
        <v>140.0</v>
      </c>
      <c r="I182" s="6" t="b">
        <v>0</v>
      </c>
      <c r="J182" s="6" t="b">
        <v>0</v>
      </c>
    </row>
    <row r="183">
      <c r="A183" s="6" t="s">
        <v>505</v>
      </c>
      <c r="B183" s="6" t="s">
        <v>506</v>
      </c>
      <c r="D183" s="11" t="str">
        <f>IMAGE("https://assets.tcgdex.net/univ/tcgp/A2a/symbol", 1)</f>
        <v/>
      </c>
      <c r="E183" s="6"/>
      <c r="F183" s="12"/>
      <c r="G183" s="7">
        <v>75.0</v>
      </c>
      <c r="H183" s="6"/>
      <c r="I183" s="6" t="b">
        <v>0</v>
      </c>
      <c r="J183" s="6" t="b">
        <v>0</v>
      </c>
    </row>
    <row r="184">
      <c r="A184" s="6" t="s">
        <v>507</v>
      </c>
      <c r="B184" s="6" t="s">
        <v>508</v>
      </c>
      <c r="D184" s="11" t="str">
        <f>IMAGE("https://assets.tcgdex.net/univ/tcgp/A2b/symbol", 1)</f>
        <v/>
      </c>
      <c r="E184" s="6"/>
      <c r="F184" s="12"/>
      <c r="G184" s="7">
        <v>72.0</v>
      </c>
      <c r="H184" s="6"/>
      <c r="I184" s="6" t="b">
        <v>0</v>
      </c>
      <c r="J184" s="6" t="b">
        <v>0</v>
      </c>
    </row>
    <row r="185">
      <c r="A185" s="6" t="s">
        <v>509</v>
      </c>
      <c r="B185" s="6" t="s">
        <v>510</v>
      </c>
      <c r="G185" s="7">
        <v>155.0</v>
      </c>
      <c r="I185" s="6" t="b">
        <v>0</v>
      </c>
      <c r="J185" s="6" t="b">
        <v>0</v>
      </c>
    </row>
    <row r="186">
      <c r="A186" s="13" t="str">
        <f>HYPERLINK("https://docs.google.com/spreadsheets/d/1RepZ5n-45tou-9vu20l8ffErT4TfBaLDdyY8BwxQDsI/edit#gid=1097271655", "TCGDEX-sv10.5b")</f>
        <v>TCGDEX-sv10.5b</v>
      </c>
      <c r="B186" s="6" t="s">
        <v>511</v>
      </c>
      <c r="D186" s="11" t="str">
        <f>IMAGE("https://assets.tcgdex.net/univ/sv/sv10.5b/symbol", 1)</f>
        <v/>
      </c>
      <c r="E186" s="6" t="s">
        <v>57</v>
      </c>
      <c r="F186" s="12">
        <v>45855.0</v>
      </c>
      <c r="G186" s="7">
        <v>86.0</v>
      </c>
      <c r="H186" s="6" t="s">
        <v>25</v>
      </c>
      <c r="I186" s="6" t="b">
        <v>1</v>
      </c>
      <c r="J186" s="6" t="b">
        <v>0</v>
      </c>
    </row>
    <row r="187">
      <c r="A187" s="6" t="s">
        <v>512</v>
      </c>
      <c r="B187" s="6" t="s">
        <v>513</v>
      </c>
      <c r="D187" s="11" t="str">
        <f>IMAGE("https://assets.tcgdex.net/univ/sv/sv10.5w/symbol", 1)</f>
        <v/>
      </c>
      <c r="E187" s="6" t="s">
        <v>57</v>
      </c>
      <c r="F187" s="12">
        <v>45855.0</v>
      </c>
      <c r="G187" s="7">
        <v>86.0</v>
      </c>
      <c r="H187" s="6" t="s">
        <v>28</v>
      </c>
      <c r="I187" s="6" t="b">
        <v>0</v>
      </c>
      <c r="J187" s="6" t="b">
        <v>0</v>
      </c>
    </row>
    <row r="188">
      <c r="A188" s="6" t="s">
        <v>514</v>
      </c>
      <c r="B188" s="6" t="s">
        <v>515</v>
      </c>
      <c r="D188" s="11" t="str">
        <f>IMAGE("https://assets.tcgdex.net/univ/tcgp/A4a/symbol", 1)</f>
        <v/>
      </c>
      <c r="G188" s="7">
        <v>71.0</v>
      </c>
      <c r="I188" s="6" t="b">
        <v>0</v>
      </c>
      <c r="J188" s="6" t="b">
        <v>0</v>
      </c>
    </row>
    <row r="189">
      <c r="A189" s="6" t="s">
        <v>516</v>
      </c>
      <c r="B189" s="6" t="s">
        <v>517</v>
      </c>
      <c r="G189" s="7">
        <v>69.0</v>
      </c>
      <c r="I189" s="6" t="b">
        <v>0</v>
      </c>
      <c r="J189" s="6" t="b">
        <v>0</v>
      </c>
    </row>
    <row r="190">
      <c r="A190" s="6" t="s">
        <v>518</v>
      </c>
      <c r="B190" s="6" t="s">
        <v>519</v>
      </c>
      <c r="D190" s="11" t="str">
        <f>IMAGE("https://assets.tcgdex.net/univ/tcgp/B2/symbol", 1)</f>
        <v/>
      </c>
      <c r="E190" s="6" t="s">
        <v>520</v>
      </c>
      <c r="F190" s="12">
        <v>46051.0</v>
      </c>
      <c r="G190" s="7">
        <v>155.0</v>
      </c>
      <c r="I190" s="6" t="b">
        <v>0</v>
      </c>
      <c r="J190" s="6" t="b">
        <v>0</v>
      </c>
    </row>
  </sheetData>
  <mergeCells count="2">
    <mergeCell ref="A1:I1"/>
    <mergeCell ref="A2:J2"/>
  </mergeCell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7" max="7" width="8.88"/>
  </cols>
  <sheetData>
    <row r="1">
      <c r="A1" s="1" t="s">
        <v>521</v>
      </c>
      <c r="G1" s="2" t="b">
        <v>0</v>
      </c>
    </row>
    <row r="2">
      <c r="A2" s="3" t="s">
        <v>522</v>
      </c>
    </row>
    <row r="3">
      <c r="A3" s="4" t="s">
        <v>3</v>
      </c>
      <c r="B3" s="4" t="s">
        <v>8</v>
      </c>
      <c r="C3" s="4" t="s">
        <v>523</v>
      </c>
      <c r="D3" s="4" t="s">
        <v>524</v>
      </c>
      <c r="E3" s="4" t="s">
        <v>525</v>
      </c>
      <c r="F3" s="4" t="s">
        <v>9</v>
      </c>
      <c r="G3" s="14"/>
    </row>
    <row r="4">
      <c r="A4" s="6" t="s">
        <v>64</v>
      </c>
      <c r="B4" s="7">
        <v>200.0</v>
      </c>
      <c r="C4" s="7">
        <v>93.0</v>
      </c>
      <c r="D4" s="7">
        <v>1.0</v>
      </c>
      <c r="E4" s="15">
        <v>0.47</v>
      </c>
      <c r="F4" s="6" t="s">
        <v>65</v>
      </c>
    </row>
    <row r="5">
      <c r="A5" s="6" t="s">
        <v>59</v>
      </c>
      <c r="B5" s="7">
        <v>160.0</v>
      </c>
      <c r="C5" s="7">
        <v>155.0</v>
      </c>
      <c r="D5" s="7">
        <v>96.0</v>
      </c>
      <c r="E5" s="15">
        <v>0.97</v>
      </c>
      <c r="F5" s="6" t="s">
        <v>61</v>
      </c>
    </row>
    <row r="6">
      <c r="A6" s="6" t="s">
        <v>526</v>
      </c>
      <c r="B6" s="7">
        <v>70.0</v>
      </c>
      <c r="C6" s="7">
        <v>62.0</v>
      </c>
      <c r="D6" s="7">
        <v>62.0</v>
      </c>
      <c r="E6" s="15">
        <v>0.89</v>
      </c>
      <c r="F6" s="6" t="s">
        <v>61</v>
      </c>
    </row>
    <row r="7">
      <c r="A7" s="6" t="s">
        <v>57</v>
      </c>
      <c r="B7" s="7">
        <v>258.0</v>
      </c>
      <c r="C7" s="7">
        <v>239.0</v>
      </c>
      <c r="D7" s="7">
        <v>173.0</v>
      </c>
      <c r="E7" s="15">
        <v>0.93</v>
      </c>
      <c r="F7" s="6" t="s">
        <v>58</v>
      </c>
    </row>
    <row r="8">
      <c r="A8" s="6" t="s">
        <v>52</v>
      </c>
      <c r="B8" s="7">
        <v>279.0</v>
      </c>
      <c r="C8" s="7">
        <v>233.0</v>
      </c>
      <c r="D8" s="7">
        <v>200.0</v>
      </c>
      <c r="E8" s="15">
        <v>0.84</v>
      </c>
      <c r="F8" s="6" t="s">
        <v>53</v>
      </c>
    </row>
    <row r="9">
      <c r="A9" s="6" t="s">
        <v>50</v>
      </c>
      <c r="B9" s="7">
        <v>230.0</v>
      </c>
      <c r="C9" s="7">
        <v>230.0</v>
      </c>
      <c r="D9" s="7">
        <v>198.0</v>
      </c>
      <c r="E9" s="15">
        <v>1.0</v>
      </c>
      <c r="F9" s="6" t="s">
        <v>51</v>
      </c>
    </row>
    <row r="10">
      <c r="A10" s="9">
        <v>151.0</v>
      </c>
      <c r="B10" s="7">
        <v>207.0</v>
      </c>
      <c r="C10" s="7">
        <v>193.0</v>
      </c>
      <c r="D10" s="7">
        <v>141.0</v>
      </c>
      <c r="E10" s="15">
        <v>0.93</v>
      </c>
      <c r="F10" s="6" t="s">
        <v>49</v>
      </c>
    </row>
    <row r="11">
      <c r="A11" s="6" t="s">
        <v>47</v>
      </c>
      <c r="B11" s="7">
        <v>266.0</v>
      </c>
      <c r="C11" s="7">
        <v>219.0</v>
      </c>
      <c r="D11" s="7">
        <v>190.0</v>
      </c>
      <c r="E11" s="15">
        <v>0.82</v>
      </c>
      <c r="F11" s="6" t="s">
        <v>48</v>
      </c>
    </row>
    <row r="12">
      <c r="A12" s="6" t="s">
        <v>45</v>
      </c>
      <c r="B12" s="7">
        <v>245.0</v>
      </c>
      <c r="C12" s="7">
        <v>141.0</v>
      </c>
      <c r="D12" s="7">
        <v>132.0</v>
      </c>
      <c r="E12" s="15">
        <v>0.58</v>
      </c>
      <c r="F12" s="6" t="s">
        <v>46</v>
      </c>
    </row>
    <row r="13">
      <c r="A13" s="6" t="s">
        <v>43</v>
      </c>
      <c r="B13" s="7">
        <v>218.0</v>
      </c>
      <c r="C13" s="7">
        <v>1.0</v>
      </c>
      <c r="D13" s="7">
        <v>0.0</v>
      </c>
      <c r="E13" s="15">
        <v>0.0</v>
      </c>
      <c r="F13" s="6" t="s">
        <v>44</v>
      </c>
    </row>
    <row r="14">
      <c r="A14" s="6" t="s">
        <v>41</v>
      </c>
      <c r="B14" s="7">
        <v>226.0</v>
      </c>
      <c r="C14" s="7">
        <v>196.0</v>
      </c>
      <c r="D14" s="7">
        <v>183.0</v>
      </c>
      <c r="E14" s="15">
        <v>0.87</v>
      </c>
      <c r="F14" s="6" t="s">
        <v>42</v>
      </c>
    </row>
    <row r="15">
      <c r="A15" s="6" t="s">
        <v>39</v>
      </c>
      <c r="B15" s="7">
        <v>99.0</v>
      </c>
      <c r="C15" s="7">
        <v>77.0</v>
      </c>
      <c r="D15" s="7">
        <v>77.0</v>
      </c>
      <c r="E15" s="15">
        <v>0.78</v>
      </c>
      <c r="F15" s="6" t="s">
        <v>40</v>
      </c>
    </row>
    <row r="16">
      <c r="A16" s="6" t="s">
        <v>37</v>
      </c>
      <c r="B16" s="7">
        <v>175.0</v>
      </c>
      <c r="C16" s="7">
        <v>163.0</v>
      </c>
      <c r="D16" s="7">
        <v>130.0</v>
      </c>
      <c r="E16" s="15">
        <v>0.93</v>
      </c>
      <c r="F16" s="6" t="s">
        <v>38</v>
      </c>
    </row>
    <row r="17">
      <c r="A17" s="6" t="s">
        <v>35</v>
      </c>
      <c r="B17" s="7">
        <v>252.0</v>
      </c>
      <c r="C17" s="7">
        <v>221.0</v>
      </c>
      <c r="D17" s="7">
        <v>198.0</v>
      </c>
      <c r="E17" s="15">
        <v>0.88</v>
      </c>
      <c r="F17" s="6" t="s">
        <v>36</v>
      </c>
    </row>
    <row r="18">
      <c r="A18" s="6" t="s">
        <v>33</v>
      </c>
      <c r="B18" s="7">
        <v>180.0</v>
      </c>
      <c r="C18" s="7">
        <v>126.0</v>
      </c>
      <c r="D18" s="7">
        <v>98.0</v>
      </c>
      <c r="E18" s="15">
        <v>0.7</v>
      </c>
      <c r="F18" s="6" t="s">
        <v>34</v>
      </c>
    </row>
    <row r="19">
      <c r="A19" s="6" t="s">
        <v>31</v>
      </c>
      <c r="B19" s="7">
        <v>190.0</v>
      </c>
      <c r="C19" s="7">
        <v>178.0</v>
      </c>
      <c r="D19" s="7">
        <v>163.0</v>
      </c>
      <c r="E19" s="15">
        <v>0.94</v>
      </c>
      <c r="F19" s="6" t="s">
        <v>32</v>
      </c>
    </row>
    <row r="20">
      <c r="A20" s="6" t="s">
        <v>29</v>
      </c>
      <c r="B20" s="7">
        <v>244.0</v>
      </c>
      <c r="C20" s="7">
        <v>210.0</v>
      </c>
      <c r="D20" s="7">
        <v>147.0</v>
      </c>
      <c r="E20" s="15">
        <v>0.86</v>
      </c>
      <c r="F20" s="6" t="s">
        <v>30</v>
      </c>
    </row>
    <row r="21">
      <c r="A21" s="6" t="s">
        <v>511</v>
      </c>
      <c r="B21" s="7">
        <v>172.0</v>
      </c>
      <c r="C21" s="7">
        <v>0.0</v>
      </c>
      <c r="D21" s="7">
        <v>0.0</v>
      </c>
      <c r="E21" s="15">
        <v>0.0</v>
      </c>
      <c r="F21" s="6" t="s">
        <v>25</v>
      </c>
    </row>
    <row r="22">
      <c r="A22" s="6" t="s">
        <v>17</v>
      </c>
      <c r="B22" s="7">
        <v>130.0</v>
      </c>
      <c r="C22" s="7">
        <v>0.0</v>
      </c>
      <c r="D22" s="7">
        <v>0.0</v>
      </c>
      <c r="E22" s="15">
        <v>0.0</v>
      </c>
      <c r="F22" s="6" t="s">
        <v>19</v>
      </c>
    </row>
    <row r="23">
      <c r="A23" s="6" t="s">
        <v>12</v>
      </c>
      <c r="B23" s="7">
        <v>295.0</v>
      </c>
      <c r="C23" s="7">
        <v>0.0</v>
      </c>
      <c r="D23" s="7">
        <v>0.0</v>
      </c>
      <c r="E23" s="15">
        <v>0.0</v>
      </c>
      <c r="F23" s="6" t="s">
        <v>16</v>
      </c>
    </row>
    <row r="24">
      <c r="A24" s="6"/>
      <c r="B24" s="7"/>
      <c r="C24" s="7"/>
      <c r="D24" s="7"/>
      <c r="E24" s="15"/>
      <c r="F24" s="6"/>
    </row>
    <row r="25">
      <c r="A25" s="6"/>
      <c r="B25" s="7"/>
      <c r="C25" s="7"/>
      <c r="D25" s="7"/>
      <c r="E25" s="15"/>
      <c r="F25" s="6"/>
    </row>
    <row r="26">
      <c r="A26" s="6"/>
      <c r="B26" s="7"/>
      <c r="C26" s="7"/>
      <c r="D26" s="7"/>
      <c r="E26" s="15"/>
      <c r="F26" s="6"/>
    </row>
    <row r="27">
      <c r="A27" s="6"/>
      <c r="B27" s="7"/>
      <c r="C27" s="7"/>
      <c r="D27" s="7"/>
      <c r="E27" s="15"/>
      <c r="F27" s="6"/>
    </row>
    <row r="28">
      <c r="A28" s="6"/>
      <c r="B28" s="7"/>
      <c r="C28" s="7"/>
      <c r="D28" s="7"/>
      <c r="E28" s="15"/>
    </row>
    <row r="29">
      <c r="A29" s="6"/>
      <c r="B29" s="7"/>
      <c r="C29" s="7"/>
      <c r="D29" s="7"/>
      <c r="E29" s="15"/>
      <c r="F29" s="6"/>
    </row>
    <row r="30">
      <c r="A30" s="6"/>
      <c r="B30" s="7"/>
      <c r="C30" s="7"/>
      <c r="D30" s="7"/>
      <c r="E30" s="15"/>
      <c r="F30" s="6"/>
    </row>
    <row r="31">
      <c r="A31" s="6"/>
      <c r="B31" s="7"/>
      <c r="C31" s="7"/>
      <c r="D31" s="7"/>
      <c r="E31" s="15"/>
      <c r="F31" s="6"/>
    </row>
    <row r="32">
      <c r="A32" s="6"/>
      <c r="B32" s="7"/>
      <c r="C32" s="7"/>
      <c r="D32" s="7"/>
      <c r="E32" s="15"/>
      <c r="F32" s="6"/>
    </row>
    <row r="33">
      <c r="A33" s="6"/>
      <c r="B33" s="7"/>
      <c r="C33" s="7"/>
      <c r="D33" s="7"/>
      <c r="E33" s="15"/>
      <c r="F33" s="6"/>
    </row>
    <row r="34">
      <c r="A34" s="6"/>
      <c r="B34" s="7"/>
      <c r="C34" s="7"/>
      <c r="D34" s="7"/>
      <c r="E34" s="15"/>
      <c r="F34" s="6"/>
    </row>
    <row r="35">
      <c r="A35" s="6"/>
      <c r="B35" s="7"/>
      <c r="C35" s="7"/>
      <c r="D35" s="7"/>
      <c r="E35" s="15"/>
      <c r="F35" s="6"/>
    </row>
    <row r="36">
      <c r="A36" s="6"/>
      <c r="B36" s="7"/>
      <c r="C36" s="7"/>
      <c r="D36" s="7"/>
      <c r="E36" s="15"/>
      <c r="F36" s="6"/>
    </row>
    <row r="37">
      <c r="A37" s="6"/>
      <c r="B37" s="7"/>
      <c r="C37" s="7"/>
      <c r="D37" s="7"/>
      <c r="E37" s="15"/>
      <c r="F37" s="6"/>
    </row>
    <row r="38">
      <c r="A38" s="6"/>
      <c r="B38" s="7"/>
      <c r="C38" s="7"/>
      <c r="D38" s="7"/>
      <c r="E38" s="15"/>
      <c r="F38" s="6"/>
    </row>
    <row r="39">
      <c r="A39" s="6"/>
      <c r="B39" s="7"/>
      <c r="C39" s="7"/>
      <c r="D39" s="7"/>
      <c r="E39" s="15"/>
    </row>
    <row r="40">
      <c r="A40" s="6"/>
      <c r="B40" s="7"/>
      <c r="C40" s="7"/>
      <c r="D40" s="7"/>
      <c r="E40" s="15"/>
      <c r="F40" s="6"/>
    </row>
    <row r="41">
      <c r="A41" s="6"/>
      <c r="B41" s="7"/>
      <c r="C41" s="7"/>
      <c r="D41" s="7"/>
      <c r="E41" s="15"/>
      <c r="F41" s="6"/>
    </row>
    <row r="42">
      <c r="A42" s="6"/>
      <c r="B42" s="7"/>
      <c r="C42" s="7"/>
      <c r="D42" s="7"/>
      <c r="E42" s="15"/>
      <c r="F42" s="6"/>
    </row>
    <row r="43">
      <c r="A43" s="6"/>
      <c r="B43" s="7"/>
      <c r="C43" s="7"/>
      <c r="D43" s="7"/>
      <c r="E43" s="15"/>
      <c r="F43" s="6"/>
    </row>
    <row r="44">
      <c r="A44" s="6"/>
      <c r="B44" s="7"/>
      <c r="C44" s="7"/>
      <c r="D44" s="7"/>
      <c r="E44" s="15"/>
      <c r="F44" s="6"/>
    </row>
    <row r="45">
      <c r="A45" s="6"/>
      <c r="B45" s="7"/>
      <c r="C45" s="7"/>
      <c r="D45" s="7"/>
      <c r="E45" s="15"/>
      <c r="F45" s="6"/>
    </row>
    <row r="46">
      <c r="A46" s="6"/>
      <c r="B46" s="7"/>
      <c r="C46" s="7"/>
      <c r="D46" s="7"/>
      <c r="E46" s="15"/>
      <c r="F46" s="6"/>
    </row>
  </sheetData>
  <mergeCells count="1">
    <mergeCell ref="A1:F1"/>
  </mergeCell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.13"/>
    <col customWidth="1" min="3" max="3" width="12.63"/>
    <col customWidth="1" min="4" max="5" width="5.13"/>
    <col customWidth="1" min="6" max="6" width="12.63"/>
    <col customWidth="1" min="7" max="8" width="5.13"/>
    <col customWidth="1" min="9" max="9" width="12.63"/>
    <col customWidth="1" min="10" max="11" width="5.13"/>
    <col customWidth="1" min="12" max="12" width="12.63"/>
    <col customWidth="1" min="13" max="14" width="5.13"/>
    <col customWidth="1" min="15" max="15" width="12.63"/>
  </cols>
  <sheetData>
    <row r="1" ht="18.75" customHeight="1">
      <c r="A1" s="16" t="s">
        <v>527</v>
      </c>
      <c r="O1" s="17" t="b">
        <v>0</v>
      </c>
    </row>
    <row r="2" ht="18.75" customHeight="1">
      <c r="A2" s="3" t="s">
        <v>528</v>
      </c>
    </row>
    <row r="3" ht="18.75" customHeight="1">
      <c r="A3" s="18" t="s">
        <v>529</v>
      </c>
      <c r="B3" s="19" t="s">
        <v>530</v>
      </c>
      <c r="C3" s="20"/>
      <c r="D3" s="18" t="s">
        <v>531</v>
      </c>
      <c r="E3" s="19" t="s">
        <v>532</v>
      </c>
      <c r="F3" s="20"/>
      <c r="G3" s="18" t="s">
        <v>533</v>
      </c>
      <c r="H3" s="19" t="s">
        <v>534</v>
      </c>
      <c r="I3" s="20"/>
      <c r="J3" s="18" t="s">
        <v>535</v>
      </c>
      <c r="K3" s="19" t="s">
        <v>536</v>
      </c>
      <c r="L3" s="20"/>
      <c r="M3" s="18" t="s">
        <v>537</v>
      </c>
      <c r="N3" s="19" t="s">
        <v>538</v>
      </c>
      <c r="O3" s="20"/>
    </row>
    <row r="4" ht="180.0" customHeight="1">
      <c r="A4" s="21" t="str">
        <f>IMAGE("https://assets.tcgdex.net/de/sv/svp/006/low.jpg", 1)</f>
        <v/>
      </c>
      <c r="B4" s="22"/>
      <c r="C4" s="20"/>
      <c r="D4" s="21" t="str">
        <f>IMAGE("https://assets.tcgdex.net/de/sv/svp/008/low.jpg", 1)</f>
        <v/>
      </c>
      <c r="E4" s="22"/>
      <c r="F4" s="20"/>
      <c r="G4" s="21" t="str">
        <f>IMAGE("https://assets.tcgdex.net/de/sv/svp/015/low.jpg", 1)</f>
        <v/>
      </c>
      <c r="H4" s="22"/>
      <c r="I4" s="20"/>
      <c r="J4" s="21" t="str">
        <f>IMAGE("https://assets.tcgdex.net/de/sv/svp/016/low.jpg", 1)</f>
        <v/>
      </c>
      <c r="K4" s="22"/>
      <c r="L4" s="20"/>
      <c r="M4" s="21" t="str">
        <f>IMAGE("https://assets.tcgdex.net/de/sv/svp/017/low.jpg", 1)</f>
        <v/>
      </c>
      <c r="N4" s="22"/>
      <c r="O4" s="20"/>
    </row>
    <row r="5" ht="22.5" customHeight="1">
      <c r="A5" s="23" t="b">
        <v>0</v>
      </c>
      <c r="B5" s="24" t="b">
        <v>0</v>
      </c>
      <c r="C5" s="25" t="str">
        <f>HYPERLINK("https://prices.pokemontcg.io/cardmarket/svp-6", "CM")</f>
        <v>CM</v>
      </c>
      <c r="D5" s="23" t="b">
        <v>0</v>
      </c>
      <c r="E5" s="24" t="b">
        <v>0</v>
      </c>
      <c r="F5" s="25" t="str">
        <f>HYPERLINK("https://prices.pokemontcg.io/cardmarket/svp-8", "CM")</f>
        <v>CM</v>
      </c>
      <c r="G5" s="23" t="b">
        <v>0</v>
      </c>
      <c r="H5" s="24" t="b">
        <v>0</v>
      </c>
      <c r="I5" s="25" t="str">
        <f>HYPERLINK("https://prices.pokemontcg.io/cardmarket/svp-15", "CM")</f>
        <v>CM</v>
      </c>
      <c r="J5" s="23" t="b">
        <v>0</v>
      </c>
      <c r="K5" s="24" t="b">
        <v>0</v>
      </c>
      <c r="L5" s="25" t="str">
        <f>HYPERLINK("https://prices.pokemontcg.io/cardmarket/svp-16", "CM")</f>
        <v>CM</v>
      </c>
      <c r="M5" s="23" t="b">
        <v>0</v>
      </c>
      <c r="N5" s="24" t="b">
        <v>0</v>
      </c>
      <c r="O5" s="25" t="str">
        <f>HYPERLINK("https://prices.pokemontcg.io/cardmarket/svp-17", "CM")</f>
        <v>CM</v>
      </c>
    </row>
    <row r="6" ht="7.5" customHeight="1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</row>
    <row r="7" ht="18.75" customHeight="1">
      <c r="A7" s="18" t="s">
        <v>539</v>
      </c>
      <c r="B7" s="19" t="s">
        <v>540</v>
      </c>
      <c r="C7" s="20"/>
      <c r="D7" s="18" t="s">
        <v>541</v>
      </c>
      <c r="E7" s="19" t="s">
        <v>542</v>
      </c>
      <c r="F7" s="20"/>
      <c r="G7" s="18" t="s">
        <v>543</v>
      </c>
      <c r="H7" s="19" t="s">
        <v>544</v>
      </c>
      <c r="I7" s="20"/>
      <c r="J7" s="18" t="s">
        <v>545</v>
      </c>
      <c r="K7" s="19" t="s">
        <v>546</v>
      </c>
      <c r="L7" s="20"/>
      <c r="M7" s="18" t="s">
        <v>547</v>
      </c>
      <c r="N7" s="19" t="s">
        <v>548</v>
      </c>
      <c r="O7" s="20"/>
    </row>
    <row r="8" ht="180.0" customHeight="1">
      <c r="A8" s="21" t="str">
        <f>IMAGE("https://assets.tcgdex.net/de/sv/svp/019/low.jpg", 1)</f>
        <v/>
      </c>
      <c r="B8" s="22"/>
      <c r="C8" s="20"/>
      <c r="D8" s="21" t="str">
        <f>IMAGE("https://assets.tcgdex.net/de/sv/svp/020/low.jpg", 1)</f>
        <v/>
      </c>
      <c r="E8" s="22"/>
      <c r="F8" s="20"/>
      <c r="G8" s="21" t="str">
        <f>IMAGE("https://assets.tcgdex.net/de/sv/svp/021/low.jpg", 1)</f>
        <v/>
      </c>
      <c r="H8" s="22"/>
      <c r="I8" s="20"/>
      <c r="J8" s="21" t="str">
        <f>IMAGE("https://assets.tcgdex.net/de/sv/svp/022/low.jpg", 1)</f>
        <v/>
      </c>
      <c r="K8" s="22"/>
      <c r="L8" s="20"/>
      <c r="M8" s="21" t="str">
        <f>IMAGE("https://assets.tcgdex.net/de/sv/svp/023/low.jpg", 1)</f>
        <v/>
      </c>
      <c r="N8" s="22"/>
      <c r="O8" s="20"/>
    </row>
    <row r="9" ht="22.5" customHeight="1">
      <c r="A9" s="23" t="b">
        <v>0</v>
      </c>
      <c r="B9" s="24" t="b">
        <v>0</v>
      </c>
      <c r="C9" s="25" t="str">
        <f>HYPERLINK("https://prices.pokemontcg.io/cardmarket/svp-19", "CM")</f>
        <v>CM</v>
      </c>
      <c r="D9" s="23" t="b">
        <v>0</v>
      </c>
      <c r="E9" s="24" t="b">
        <v>0</v>
      </c>
      <c r="F9" s="25" t="str">
        <f>HYPERLINK("https://prices.pokemontcg.io/cardmarket/svp-20", "CM")</f>
        <v>CM</v>
      </c>
      <c r="G9" s="23" t="b">
        <v>0</v>
      </c>
      <c r="H9" s="24" t="b">
        <v>0</v>
      </c>
      <c r="I9" s="25" t="str">
        <f>HYPERLINK("https://prices.pokemontcg.io/cardmarket/svp-21", "CM")</f>
        <v>CM</v>
      </c>
      <c r="J9" s="23" t="b">
        <v>0</v>
      </c>
      <c r="K9" s="24" t="b">
        <v>0</v>
      </c>
      <c r="L9" s="25" t="str">
        <f>HYPERLINK("https://prices.pokemontcg.io/cardmarket/svp-22", "CM")</f>
        <v>CM</v>
      </c>
      <c r="M9" s="23" t="b">
        <v>0</v>
      </c>
      <c r="N9" s="24" t="b">
        <v>0</v>
      </c>
      <c r="O9" s="25" t="str">
        <f>HYPERLINK("https://prices.pokemontcg.io/cardmarket/svp-23", "CM")</f>
        <v>CM</v>
      </c>
    </row>
    <row r="10" ht="7.5" customHeight="1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</row>
    <row r="11" ht="18.75" customHeight="1">
      <c r="A11" s="18" t="s">
        <v>549</v>
      </c>
      <c r="B11" s="19" t="s">
        <v>550</v>
      </c>
      <c r="C11" s="20"/>
      <c r="D11" s="18" t="s">
        <v>551</v>
      </c>
      <c r="E11" s="19" t="s">
        <v>552</v>
      </c>
      <c r="F11" s="20"/>
      <c r="G11" s="18" t="s">
        <v>553</v>
      </c>
      <c r="H11" s="19" t="s">
        <v>554</v>
      </c>
      <c r="I11" s="20"/>
      <c r="J11" s="18" t="s">
        <v>555</v>
      </c>
      <c r="K11" s="19" t="s">
        <v>556</v>
      </c>
      <c r="L11" s="20"/>
      <c r="M11" s="18" t="s">
        <v>557</v>
      </c>
      <c r="N11" s="19" t="s">
        <v>558</v>
      </c>
      <c r="O11" s="20"/>
    </row>
    <row r="12" ht="180.0" customHeight="1">
      <c r="A12" s="21" t="str">
        <f>IMAGE("https://assets.tcgdex.net/de/sv/svp/024/low.jpg", 1)</f>
        <v/>
      </c>
      <c r="B12" s="22"/>
      <c r="C12" s="20"/>
      <c r="D12" s="21" t="str">
        <f>IMAGE("https://assets.tcgdex.net/de/sv/svp/028/low.jpg", 1)</f>
        <v/>
      </c>
      <c r="E12" s="22"/>
      <c r="F12" s="20"/>
      <c r="G12" s="21" t="str">
        <f>IMAGE("https://assets.tcgdex.net/de/sv/svp/029/low.jpg", 1)</f>
        <v/>
      </c>
      <c r="H12" s="22"/>
      <c r="I12" s="20"/>
      <c r="J12" s="21" t="str">
        <f>IMAGE("https://assets.tcgdex.net/de/sv/svp/030/low.jpg", 1)</f>
        <v/>
      </c>
      <c r="K12" s="22"/>
      <c r="L12" s="20"/>
      <c r="M12" s="21" t="str">
        <f>IMAGE("https://assets.tcgdex.net/de/sv/svp/031/low.jpg", 1)</f>
        <v/>
      </c>
      <c r="N12" s="22"/>
      <c r="O12" s="20"/>
    </row>
    <row r="13" ht="22.5" customHeight="1">
      <c r="A13" s="23" t="b">
        <v>0</v>
      </c>
      <c r="B13" s="24" t="b">
        <v>0</v>
      </c>
      <c r="C13" s="25" t="str">
        <f>HYPERLINK("https://prices.pokemontcg.io/cardmarket/svp-24", "CM")</f>
        <v>CM</v>
      </c>
      <c r="D13" s="23" t="b">
        <v>0</v>
      </c>
      <c r="E13" s="24" t="b">
        <v>0</v>
      </c>
      <c r="F13" s="25" t="str">
        <f>HYPERLINK("https://prices.pokemontcg.io/cardmarket/svp-28", "CM")</f>
        <v>CM</v>
      </c>
      <c r="G13" s="23" t="b">
        <v>0</v>
      </c>
      <c r="H13" s="24" t="b">
        <v>0</v>
      </c>
      <c r="I13" s="25" t="str">
        <f>HYPERLINK("https://prices.pokemontcg.io/cardmarket/svp-29", "CM")</f>
        <v>CM</v>
      </c>
      <c r="J13" s="23" t="b">
        <v>0</v>
      </c>
      <c r="K13" s="24" t="b">
        <v>0</v>
      </c>
      <c r="L13" s="25" t="str">
        <f>HYPERLINK("https://prices.pokemontcg.io/cardmarket/svp-30", "CM")</f>
        <v>CM</v>
      </c>
      <c r="M13" s="23" t="b">
        <v>0</v>
      </c>
      <c r="N13" s="24" t="b">
        <v>0</v>
      </c>
      <c r="O13" s="25" t="str">
        <f>HYPERLINK("https://prices.pokemontcg.io/cardmarket/svp-31", "CM")</f>
        <v>CM</v>
      </c>
    </row>
    <row r="14" ht="7.5" customHeight="1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</row>
    <row r="15" ht="18.75" customHeight="1">
      <c r="A15" s="18" t="s">
        <v>559</v>
      </c>
      <c r="B15" s="19" t="s">
        <v>560</v>
      </c>
      <c r="C15" s="20"/>
      <c r="D15" s="18" t="s">
        <v>561</v>
      </c>
      <c r="E15" s="19" t="s">
        <v>562</v>
      </c>
      <c r="F15" s="20"/>
      <c r="G15" s="18" t="s">
        <v>563</v>
      </c>
      <c r="H15" s="19" t="s">
        <v>564</v>
      </c>
      <c r="I15" s="20"/>
      <c r="J15" s="18" t="s">
        <v>565</v>
      </c>
      <c r="K15" s="19" t="s">
        <v>566</v>
      </c>
      <c r="L15" s="20"/>
      <c r="M15" s="18" t="s">
        <v>567</v>
      </c>
      <c r="N15" s="19" t="s">
        <v>568</v>
      </c>
      <c r="O15" s="20"/>
    </row>
    <row r="16" ht="180.0" customHeight="1">
      <c r="A16" s="21" t="str">
        <f>IMAGE("https://assets.tcgdex.net/de/sv/svp/032/low.jpg", 1)</f>
        <v/>
      </c>
      <c r="B16" s="22"/>
      <c r="C16" s="20"/>
      <c r="D16" s="21" t="str">
        <f>IMAGE("https://assets.tcgdex.net/de/sv/svp/033/low.jpg", 1)</f>
        <v/>
      </c>
      <c r="E16" s="22"/>
      <c r="F16" s="20"/>
      <c r="G16" s="21" t="str">
        <f>IMAGE("https://assets.tcgdex.net/de/sv/svp/034/low.jpg", 1)</f>
        <v/>
      </c>
      <c r="H16" s="22"/>
      <c r="I16" s="20"/>
      <c r="J16" s="21" t="str">
        <f>IMAGE("https://assets.tcgdex.net/de/sv/svp/035/low.jpg", 1)</f>
        <v/>
      </c>
      <c r="K16" s="22"/>
      <c r="L16" s="20"/>
      <c r="M16" s="21" t="str">
        <f>IMAGE("https://assets.tcgdex.net/de/sv/svp/036/low.jpg", 1)</f>
        <v/>
      </c>
      <c r="N16" s="22"/>
      <c r="O16" s="20"/>
    </row>
    <row r="17" ht="22.5" customHeight="1">
      <c r="A17" s="23" t="b">
        <v>0</v>
      </c>
      <c r="B17" s="24" t="b">
        <v>0</v>
      </c>
      <c r="C17" s="25" t="str">
        <f>HYPERLINK("https://prices.pokemontcg.io/cardmarket/svp-32", "CM")</f>
        <v>CM</v>
      </c>
      <c r="D17" s="23" t="b">
        <v>0</v>
      </c>
      <c r="E17" s="24" t="b">
        <v>0</v>
      </c>
      <c r="F17" s="25" t="str">
        <f>HYPERLINK("https://prices.pokemontcg.io/cardmarket/svp-33", "CM")</f>
        <v>CM</v>
      </c>
      <c r="G17" s="23" t="b">
        <v>0</v>
      </c>
      <c r="H17" s="24" t="b">
        <v>0</v>
      </c>
      <c r="I17" s="25" t="str">
        <f>HYPERLINK("https://prices.pokemontcg.io/cardmarket/svp-34", "CM")</f>
        <v>CM</v>
      </c>
      <c r="J17" s="23" t="b">
        <v>0</v>
      </c>
      <c r="K17" s="24" t="b">
        <v>0</v>
      </c>
      <c r="L17" s="25" t="str">
        <f>HYPERLINK("https://prices.pokemontcg.io/cardmarket/svp-35", "CM")</f>
        <v>CM</v>
      </c>
      <c r="M17" s="23" t="b">
        <v>0</v>
      </c>
      <c r="N17" s="24" t="b">
        <v>0</v>
      </c>
      <c r="O17" s="25" t="str">
        <f>HYPERLINK("https://prices.pokemontcg.io/cardmarket/svp-36", "CM")</f>
        <v>CM</v>
      </c>
    </row>
    <row r="18" ht="7.5" customHeight="1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</row>
    <row r="19" ht="18.75" customHeight="1">
      <c r="A19" s="18" t="s">
        <v>569</v>
      </c>
      <c r="B19" s="19" t="s">
        <v>570</v>
      </c>
      <c r="C19" s="20"/>
      <c r="D19" s="18" t="s">
        <v>571</v>
      </c>
      <c r="E19" s="19" t="s">
        <v>572</v>
      </c>
      <c r="F19" s="20"/>
      <c r="G19" s="18" t="s">
        <v>573</v>
      </c>
      <c r="H19" s="19" t="s">
        <v>574</v>
      </c>
      <c r="I19" s="20"/>
      <c r="J19" s="18" t="s">
        <v>575</v>
      </c>
      <c r="K19" s="19" t="s">
        <v>576</v>
      </c>
      <c r="L19" s="20"/>
      <c r="M19" s="18" t="s">
        <v>577</v>
      </c>
      <c r="N19" s="19" t="s">
        <v>578</v>
      </c>
      <c r="O19" s="20"/>
    </row>
    <row r="20" ht="180.0" customHeight="1">
      <c r="A20" s="21" t="str">
        <f>IMAGE("https://assets.tcgdex.net/de/sv/svp/037/low.jpg", 1)</f>
        <v/>
      </c>
      <c r="B20" s="22"/>
      <c r="C20" s="20"/>
      <c r="D20" s="21" t="str">
        <f>IMAGE("https://assets.tcgdex.net/de/sv/svp/038/low.jpg", 1)</f>
        <v/>
      </c>
      <c r="E20" s="22"/>
      <c r="F20" s="20"/>
      <c r="G20" s="21" t="str">
        <f>IMAGE("https://assets.tcgdex.net/de/sv/svp/039/low.jpg", 1)</f>
        <v/>
      </c>
      <c r="H20" s="22"/>
      <c r="I20" s="20"/>
      <c r="J20" s="21" t="str">
        <f>IMAGE("https://assets.tcgdex.net/de/sv/svp/040/low.jpg", 1)</f>
        <v/>
      </c>
      <c r="K20" s="22"/>
      <c r="L20" s="20"/>
      <c r="M20" s="21" t="str">
        <f>IMAGE("https://assets.tcgdex.net/de/sv/svp/041/low.jpg", 1)</f>
        <v/>
      </c>
      <c r="N20" s="22"/>
      <c r="O20" s="20"/>
    </row>
    <row r="21" ht="22.5" customHeight="1">
      <c r="A21" s="23" t="b">
        <v>0</v>
      </c>
      <c r="B21" s="24" t="b">
        <v>0</v>
      </c>
      <c r="C21" s="25" t="str">
        <f>HYPERLINK("https://prices.pokemontcg.io/cardmarket/svp-37", "CM")</f>
        <v>CM</v>
      </c>
      <c r="D21" s="23" t="b">
        <v>0</v>
      </c>
      <c r="E21" s="24" t="b">
        <v>0</v>
      </c>
      <c r="F21" s="25" t="str">
        <f>HYPERLINK("https://prices.pokemontcg.io/cardmarket/svp-38", "CM")</f>
        <v>CM</v>
      </c>
      <c r="G21" s="23" t="b">
        <v>0</v>
      </c>
      <c r="H21" s="24" t="b">
        <v>0</v>
      </c>
      <c r="I21" s="25" t="str">
        <f>HYPERLINK("https://prices.pokemontcg.io/cardmarket/svp-39", "CM")</f>
        <v>CM</v>
      </c>
      <c r="J21" s="23" t="b">
        <v>0</v>
      </c>
      <c r="K21" s="24" t="b">
        <v>0</v>
      </c>
      <c r="L21" s="25" t="str">
        <f>HYPERLINK("https://prices.pokemontcg.io/cardmarket/svp-40", "CM")</f>
        <v>CM</v>
      </c>
      <c r="M21" s="23" t="b">
        <v>0</v>
      </c>
      <c r="N21" s="24" t="b">
        <v>0</v>
      </c>
      <c r="O21" s="25" t="str">
        <f>HYPERLINK("https://prices.pokemontcg.io/cardmarket/svp-41", "CM")</f>
        <v>CM</v>
      </c>
    </row>
    <row r="22" ht="7.5" customHeight="1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</row>
    <row r="23" ht="18.75" customHeight="1">
      <c r="A23" s="18" t="s">
        <v>579</v>
      </c>
      <c r="B23" s="19" t="s">
        <v>580</v>
      </c>
      <c r="C23" s="20"/>
      <c r="D23" s="18" t="s">
        <v>581</v>
      </c>
      <c r="E23" s="19" t="s">
        <v>582</v>
      </c>
      <c r="F23" s="20"/>
      <c r="G23" s="18" t="s">
        <v>583</v>
      </c>
      <c r="H23" s="19" t="s">
        <v>584</v>
      </c>
      <c r="I23" s="20"/>
      <c r="J23" s="18" t="s">
        <v>585</v>
      </c>
      <c r="K23" s="19" t="s">
        <v>586</v>
      </c>
      <c r="L23" s="20"/>
      <c r="M23" s="18" t="s">
        <v>587</v>
      </c>
      <c r="N23" s="19" t="s">
        <v>588</v>
      </c>
      <c r="O23" s="20"/>
    </row>
    <row r="24" ht="180.0" customHeight="1">
      <c r="A24" s="21" t="str">
        <f>IMAGE("https://assets.tcgdex.net/de/sv/svp/042/low.jpg", 1)</f>
        <v/>
      </c>
      <c r="B24" s="22"/>
      <c r="C24" s="20"/>
      <c r="D24" s="21" t="str">
        <f>IMAGE("https://assets.tcgdex.net/de/sv/svp/045/low.jpg", 1)</f>
        <v/>
      </c>
      <c r="E24" s="22"/>
      <c r="F24" s="20"/>
      <c r="G24" s="21" t="str">
        <f>IMAGE("https://assets.tcgdex.net/de/sv/svp/054/low.jpg", 1)</f>
        <v/>
      </c>
      <c r="H24" s="22"/>
      <c r="I24" s="20"/>
      <c r="J24" s="21" t="str">
        <f>IMAGE("https://assets.tcgdex.net/de/sv/svp/055/low.jpg", 1)</f>
        <v/>
      </c>
      <c r="K24" s="22"/>
      <c r="L24" s="20"/>
      <c r="M24" s="21" t="str">
        <f>IMAGE("https://assets.tcgdex.net/de/sv/svp/057/low.jpg", 1)</f>
        <v/>
      </c>
      <c r="N24" s="22"/>
      <c r="O24" s="20"/>
    </row>
    <row r="25" ht="22.5" customHeight="1">
      <c r="A25" s="23" t="b">
        <v>0</v>
      </c>
      <c r="B25" s="24" t="b">
        <v>0</v>
      </c>
      <c r="C25" s="25" t="str">
        <f>HYPERLINK("https://prices.pokemontcg.io/cardmarket/svp-42", "CM")</f>
        <v>CM</v>
      </c>
      <c r="D25" s="23" t="b">
        <v>0</v>
      </c>
      <c r="E25" s="24" t="b">
        <v>0</v>
      </c>
      <c r="F25" s="25" t="str">
        <f>HYPERLINK("https://prices.pokemontcg.io/cardmarket/svp-45", "CM")</f>
        <v>CM</v>
      </c>
      <c r="G25" s="23" t="b">
        <v>0</v>
      </c>
      <c r="H25" s="24" t="b">
        <v>0</v>
      </c>
      <c r="I25" s="25" t="str">
        <f>HYPERLINK("https://prices.pokemontcg.io/cardmarket/svp-54", "CM")</f>
        <v>CM</v>
      </c>
      <c r="J25" s="23" t="b">
        <v>0</v>
      </c>
      <c r="K25" s="24" t="b">
        <v>0</v>
      </c>
      <c r="L25" s="25" t="str">
        <f>HYPERLINK("https://prices.pokemontcg.io/cardmarket/svp-55", "CM")</f>
        <v>CM</v>
      </c>
      <c r="M25" s="23" t="b">
        <v>0</v>
      </c>
      <c r="N25" s="24" t="b">
        <v>0</v>
      </c>
      <c r="O25" s="25" t="str">
        <f>HYPERLINK("https://prices.pokemontcg.io/cardmarket/svp-57", "CM")</f>
        <v>CM</v>
      </c>
    </row>
    <row r="26" ht="7.5" customHeight="1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</row>
    <row r="27" ht="18.75" customHeight="1">
      <c r="A27" s="18" t="s">
        <v>589</v>
      </c>
      <c r="B27" s="19" t="s">
        <v>590</v>
      </c>
      <c r="C27" s="20"/>
      <c r="D27" s="18" t="s">
        <v>591</v>
      </c>
      <c r="E27" s="19" t="s">
        <v>592</v>
      </c>
      <c r="F27" s="20"/>
      <c r="G27" s="18" t="s">
        <v>593</v>
      </c>
      <c r="H27" s="19" t="s">
        <v>594</v>
      </c>
      <c r="I27" s="20"/>
      <c r="J27" s="18" t="s">
        <v>595</v>
      </c>
      <c r="K27" s="19" t="s">
        <v>596</v>
      </c>
      <c r="L27" s="20"/>
      <c r="M27" s="18" t="s">
        <v>597</v>
      </c>
      <c r="N27" s="19" t="s">
        <v>598</v>
      </c>
      <c r="O27" s="20"/>
    </row>
    <row r="28" ht="180.0" customHeight="1">
      <c r="A28" s="21" t="str">
        <f>IMAGE("https://assets.tcgdex.net/de/sv/svp/058/low.jpg", 1)</f>
        <v/>
      </c>
      <c r="B28" s="22"/>
      <c r="C28" s="20"/>
      <c r="D28" s="21" t="str">
        <f>IMAGE("https://assets.tcgdex.net/de/sv/svp/059/low.jpg", 1)</f>
        <v/>
      </c>
      <c r="E28" s="22"/>
      <c r="F28" s="20"/>
      <c r="G28" s="21" t="str">
        <f>IMAGE("https://assets.tcgdex.net/de/sv/svp/060/low.jpg", 1)</f>
        <v/>
      </c>
      <c r="H28" s="22"/>
      <c r="I28" s="20"/>
      <c r="J28" s="21" t="str">
        <f>IMAGE("https://assets.tcgdex.net/de/sv/svp/061/low.jpg", 1)</f>
        <v/>
      </c>
      <c r="K28" s="22"/>
      <c r="L28" s="20"/>
      <c r="M28" s="21" t="str">
        <f>IMAGE("https://assets.tcgdex.net/de/sv/svp/062/low.jpg", 1)</f>
        <v/>
      </c>
      <c r="N28" s="22"/>
      <c r="O28" s="20"/>
    </row>
    <row r="29" ht="22.5" customHeight="1">
      <c r="A29" s="23" t="b">
        <v>0</v>
      </c>
      <c r="B29" s="24" t="b">
        <v>0</v>
      </c>
      <c r="C29" s="25" t="str">
        <f>HYPERLINK("https://prices.pokemontcg.io/cardmarket/svp-58", "CM")</f>
        <v>CM</v>
      </c>
      <c r="D29" s="23" t="b">
        <v>0</v>
      </c>
      <c r="E29" s="24" t="b">
        <v>0</v>
      </c>
      <c r="F29" s="25" t="str">
        <f>HYPERLINK("https://prices.pokemontcg.io/cardmarket/svp-59", "CM")</f>
        <v>CM</v>
      </c>
      <c r="G29" s="23" t="b">
        <v>0</v>
      </c>
      <c r="H29" s="24" t="b">
        <v>0</v>
      </c>
      <c r="I29" s="25" t="str">
        <f>HYPERLINK("https://prices.pokemontcg.io/cardmarket/svp-60", "CM")</f>
        <v>CM</v>
      </c>
      <c r="J29" s="23" t="b">
        <v>0</v>
      </c>
      <c r="K29" s="24" t="b">
        <v>0</v>
      </c>
      <c r="L29" s="25" t="str">
        <f>HYPERLINK("https://prices.pokemontcg.io/cardmarket/svp-61", "CM")</f>
        <v>CM</v>
      </c>
      <c r="M29" s="23" t="b">
        <v>0</v>
      </c>
      <c r="N29" s="24" t="b">
        <v>0</v>
      </c>
      <c r="O29" s="25" t="str">
        <f>HYPERLINK("https://prices.pokemontcg.io/cardmarket/svp-62", "CM")</f>
        <v>CM</v>
      </c>
    </row>
    <row r="30" ht="7.5" customHeight="1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</row>
    <row r="31" ht="18.75" customHeight="1">
      <c r="A31" s="18" t="s">
        <v>599</v>
      </c>
      <c r="B31" s="19" t="s">
        <v>600</v>
      </c>
      <c r="C31" s="20"/>
      <c r="D31" s="18" t="s">
        <v>601</v>
      </c>
      <c r="E31" s="19" t="s">
        <v>602</v>
      </c>
      <c r="F31" s="20"/>
      <c r="G31" s="18" t="s">
        <v>603</v>
      </c>
      <c r="H31" s="19" t="s">
        <v>564</v>
      </c>
      <c r="I31" s="20"/>
      <c r="J31" s="18" t="s">
        <v>604</v>
      </c>
      <c r="K31" s="19" t="s">
        <v>605</v>
      </c>
      <c r="L31" s="20"/>
      <c r="M31" s="18" t="s">
        <v>606</v>
      </c>
      <c r="N31" s="19" t="s">
        <v>607</v>
      </c>
      <c r="O31" s="20"/>
    </row>
    <row r="32" ht="180.0" customHeight="1">
      <c r="A32" s="21" t="str">
        <f>IMAGE("https://assets.tcgdex.net/de/sv/svp/079/low.jpg", 1)</f>
        <v/>
      </c>
      <c r="B32" s="22"/>
      <c r="C32" s="20"/>
      <c r="D32" s="21" t="str">
        <f>IMAGE("https://assets.tcgdex.net/de/sv/svp/080/low.jpg", 1)</f>
        <v/>
      </c>
      <c r="E32" s="22"/>
      <c r="F32" s="20"/>
      <c r="G32" s="21" t="str">
        <f>IMAGE("https://assets.tcgdex.net/de/sv/svp/081/low.jpg", 1)</f>
        <v/>
      </c>
      <c r="H32" s="22"/>
      <c r="I32" s="20"/>
      <c r="J32" s="21" t="str">
        <f>IMAGE("https://assets.tcgdex.net/de/sv/svp/082/low.jpg", 1)</f>
        <v/>
      </c>
      <c r="K32" s="22"/>
      <c r="L32" s="20"/>
      <c r="M32" s="21" t="str">
        <f>IMAGE("https://assets.tcgdex.net/de/sv/svp/083/low.jpg", 1)</f>
        <v/>
      </c>
      <c r="N32" s="22"/>
      <c r="O32" s="20"/>
    </row>
    <row r="33" ht="22.5" customHeight="1">
      <c r="A33" s="23" t="b">
        <v>0</v>
      </c>
      <c r="B33" s="24" t="b">
        <v>0</v>
      </c>
      <c r="C33" s="25" t="str">
        <f>HYPERLINK("https://prices.pokemontcg.io/cardmarket/svp-79", "CM")</f>
        <v>CM</v>
      </c>
      <c r="D33" s="23" t="b">
        <v>0</v>
      </c>
      <c r="E33" s="24" t="b">
        <v>0</v>
      </c>
      <c r="F33" s="25" t="str">
        <f>HYPERLINK("https://prices.pokemontcg.io/cardmarket/svp-80", "CM")</f>
        <v>CM</v>
      </c>
      <c r="G33" s="23" t="b">
        <v>0</v>
      </c>
      <c r="H33" s="24" t="b">
        <v>0</v>
      </c>
      <c r="I33" s="25" t="str">
        <f>HYPERLINK("https://prices.pokemontcg.io/cardmarket/svp-81", "CM")</f>
        <v>CM</v>
      </c>
      <c r="J33" s="23" t="b">
        <v>0</v>
      </c>
      <c r="K33" s="24" t="b">
        <v>0</v>
      </c>
      <c r="L33" s="25" t="str">
        <f>HYPERLINK("https://prices.pokemontcg.io/cardmarket/svp-82", "CM")</f>
        <v>CM</v>
      </c>
      <c r="M33" s="23" t="b">
        <v>0</v>
      </c>
      <c r="N33" s="24" t="b">
        <v>0</v>
      </c>
      <c r="O33" s="25" t="str">
        <f>HYPERLINK("https://prices.pokemontcg.io/cardmarket/svp-83", "CM")</f>
        <v>CM</v>
      </c>
    </row>
    <row r="34" ht="7.5" customHeight="1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</row>
    <row r="35" ht="18.75" customHeight="1">
      <c r="A35" s="18" t="s">
        <v>608</v>
      </c>
      <c r="B35" s="19" t="s">
        <v>566</v>
      </c>
      <c r="C35" s="20"/>
      <c r="D35" s="18" t="s">
        <v>609</v>
      </c>
      <c r="E35" s="19" t="s">
        <v>610</v>
      </c>
      <c r="F35" s="20"/>
      <c r="G35" s="18" t="s">
        <v>611</v>
      </c>
      <c r="H35" s="19" t="s">
        <v>612</v>
      </c>
      <c r="I35" s="20"/>
      <c r="J35" s="18" t="s">
        <v>613</v>
      </c>
      <c r="K35" s="19" t="s">
        <v>614</v>
      </c>
      <c r="L35" s="20"/>
      <c r="M35" s="18" t="s">
        <v>615</v>
      </c>
      <c r="N35" s="19" t="s">
        <v>616</v>
      </c>
      <c r="O35" s="20"/>
    </row>
    <row r="36" ht="180.0" customHeight="1">
      <c r="A36" s="21" t="str">
        <f>IMAGE("https://assets.tcgdex.net/de/sv/svp/084/low.jpg", 1)</f>
        <v/>
      </c>
      <c r="B36" s="22"/>
      <c r="C36" s="20"/>
      <c r="D36" s="21" t="str">
        <f>IMAGE("https://images.pokemontcg.io/svp/85.png", 1)</f>
        <v/>
      </c>
      <c r="E36" s="22"/>
      <c r="F36" s="20"/>
      <c r="G36" s="21" t="str">
        <f>IMAGE("https://assets.tcgdex.net/de/sv/svp/086/low.jpg", 1)</f>
        <v/>
      </c>
      <c r="H36" s="22"/>
      <c r="I36" s="20"/>
      <c r="J36" s="21" t="str">
        <f>IMAGE("https://assets.tcgdex.net/de/sv/svp/087/low.jpg", 1)</f>
        <v/>
      </c>
      <c r="K36" s="22"/>
      <c r="L36" s="20"/>
      <c r="M36" s="21" t="str">
        <f>IMAGE("https://assets.tcgdex.net/de/sv/svp/088/low.jpg", 1)</f>
        <v/>
      </c>
      <c r="N36" s="22"/>
      <c r="O36" s="20"/>
    </row>
    <row r="37" ht="22.5" customHeight="1">
      <c r="A37" s="23" t="b">
        <v>0</v>
      </c>
      <c r="B37" s="24" t="b">
        <v>0</v>
      </c>
      <c r="C37" s="25" t="str">
        <f>HYPERLINK("https://prices.pokemontcg.io/cardmarket/svp-84", "CM")</f>
        <v>CM</v>
      </c>
      <c r="D37" s="23" t="b">
        <v>0</v>
      </c>
      <c r="E37" s="24" t="b">
        <v>0</v>
      </c>
      <c r="F37" s="25" t="str">
        <f>HYPERLINK("https://prices.pokemontcg.io/cardmarket/svp-85", "CM")</f>
        <v>CM</v>
      </c>
      <c r="G37" s="23" t="b">
        <v>0</v>
      </c>
      <c r="H37" s="24" t="b">
        <v>0</v>
      </c>
      <c r="I37" s="25" t="str">
        <f>HYPERLINK("https://prices.pokemontcg.io/cardmarket/svp-86", "CM")</f>
        <v>CM</v>
      </c>
      <c r="J37" s="23" t="b">
        <v>0</v>
      </c>
      <c r="K37" s="24" t="b">
        <v>0</v>
      </c>
      <c r="L37" s="25" t="str">
        <f>HYPERLINK("https://prices.pokemontcg.io/cardmarket/svp-87", "CM")</f>
        <v>CM</v>
      </c>
      <c r="M37" s="23" t="b">
        <v>0</v>
      </c>
      <c r="N37" s="24" t="b">
        <v>0</v>
      </c>
      <c r="O37" s="25" t="str">
        <f>HYPERLINK("https://prices.pokemontcg.io/cardmarket/svp-88", "CM")</f>
        <v>CM</v>
      </c>
    </row>
    <row r="38" ht="7.5" customHeight="1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</row>
    <row r="39" ht="18.75" customHeight="1">
      <c r="A39" s="18" t="s">
        <v>617</v>
      </c>
      <c r="B39" s="19" t="s">
        <v>618</v>
      </c>
      <c r="C39" s="20"/>
      <c r="D39" s="18" t="s">
        <v>619</v>
      </c>
      <c r="E39" s="19" t="s">
        <v>620</v>
      </c>
      <c r="F39" s="20"/>
      <c r="G39" s="18" t="s">
        <v>621</v>
      </c>
      <c r="H39" s="19" t="s">
        <v>622</v>
      </c>
      <c r="I39" s="20"/>
      <c r="J39" s="18" t="s">
        <v>623</v>
      </c>
      <c r="K39" s="19" t="s">
        <v>624</v>
      </c>
      <c r="L39" s="20"/>
      <c r="M39" s="18" t="s">
        <v>625</v>
      </c>
      <c r="N39" s="19" t="s">
        <v>626</v>
      </c>
      <c r="O39" s="20"/>
    </row>
    <row r="40" ht="180.0" customHeight="1">
      <c r="A40" s="21" t="str">
        <f>IMAGE("https://assets.tcgdex.net/de/sv/svp/089/low.jpg", 1)</f>
        <v/>
      </c>
      <c r="B40" s="22"/>
      <c r="C40" s="20"/>
      <c r="D40" s="21" t="str">
        <f>IMAGE("https://assets.tcgdex.net/de/sv/svp/090/low.jpg", 1)</f>
        <v/>
      </c>
      <c r="E40" s="22"/>
      <c r="F40" s="20"/>
      <c r="G40" s="21" t="str">
        <f>IMAGE("https://assets.tcgdex.net/de/sv/svp/091/low.jpg", 1)</f>
        <v/>
      </c>
      <c r="H40" s="22"/>
      <c r="I40" s="20"/>
      <c r="J40" s="21" t="str">
        <f>IMAGE("https://assets.tcgdex.net/de/sv/svp/092/low.jpg", 1)</f>
        <v/>
      </c>
      <c r="K40" s="22"/>
      <c r="L40" s="20"/>
      <c r="M40" s="21" t="str">
        <f>IMAGE("https://assets.tcgdex.net/de/sv/svp/093/low.jpg", 1)</f>
        <v/>
      </c>
      <c r="N40" s="22"/>
      <c r="O40" s="20"/>
    </row>
    <row r="41" ht="22.5" customHeight="1">
      <c r="A41" s="23" t="b">
        <v>0</v>
      </c>
      <c r="B41" s="24" t="b">
        <v>0</v>
      </c>
      <c r="C41" s="25" t="str">
        <f>HYPERLINK("https://prices.pokemontcg.io/cardmarket/svp-89", "CM")</f>
        <v>CM</v>
      </c>
      <c r="D41" s="23" t="b">
        <v>0</v>
      </c>
      <c r="E41" s="24" t="b">
        <v>0</v>
      </c>
      <c r="F41" s="25" t="str">
        <f>HYPERLINK("https://prices.pokemontcg.io/cardmarket/svp-90", "CM")</f>
        <v>CM</v>
      </c>
      <c r="G41" s="23" t="b">
        <v>0</v>
      </c>
      <c r="H41" s="24" t="b">
        <v>0</v>
      </c>
      <c r="I41" s="25" t="str">
        <f>HYPERLINK("https://prices.pokemontcg.io/cardmarket/svp-91", "CM")</f>
        <v>CM</v>
      </c>
      <c r="J41" s="23" t="b">
        <v>0</v>
      </c>
      <c r="K41" s="24" t="b">
        <v>0</v>
      </c>
      <c r="L41" s="25" t="str">
        <f>HYPERLINK("https://prices.pokemontcg.io/cardmarket/svp-92", "CM")</f>
        <v>CM</v>
      </c>
      <c r="M41" s="23" t="b">
        <v>0</v>
      </c>
      <c r="N41" s="24" t="b">
        <v>0</v>
      </c>
      <c r="O41" s="25" t="str">
        <f>HYPERLINK("https://prices.pokemontcg.io/cardmarket/svp-93", "CM")</f>
        <v>CM</v>
      </c>
    </row>
    <row r="42" ht="7.5" customHeight="1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</row>
    <row r="43" ht="18.75" customHeight="1">
      <c r="A43" s="18" t="s">
        <v>627</v>
      </c>
      <c r="B43" s="19" t="s">
        <v>628</v>
      </c>
      <c r="C43" s="20"/>
      <c r="D43" s="18" t="s">
        <v>629</v>
      </c>
      <c r="E43" s="19" t="s">
        <v>616</v>
      </c>
      <c r="F43" s="20"/>
      <c r="G43" s="18" t="s">
        <v>630</v>
      </c>
      <c r="H43" s="19" t="s">
        <v>631</v>
      </c>
      <c r="I43" s="20"/>
      <c r="J43" s="18" t="s">
        <v>632</v>
      </c>
      <c r="K43" s="19" t="s">
        <v>633</v>
      </c>
      <c r="L43" s="20"/>
      <c r="M43" s="18" t="s">
        <v>634</v>
      </c>
      <c r="N43" s="19" t="s">
        <v>635</v>
      </c>
      <c r="O43" s="20"/>
    </row>
    <row r="44" ht="180.0" customHeight="1">
      <c r="A44" s="21" t="str">
        <f>IMAGE("https://assets.tcgdex.net/de/sv/svp/094/low.jpg", 1)</f>
        <v/>
      </c>
      <c r="B44" s="22"/>
      <c r="C44" s="20"/>
      <c r="D44" s="21" t="str">
        <f>IMAGE("https://assets.tcgdex.net/de/sv/svp/101/low.jpg", 1)</f>
        <v/>
      </c>
      <c r="E44" s="22"/>
      <c r="F44" s="20"/>
      <c r="G44" s="21" t="str">
        <f>IMAGE("https://images.pokemontcg.io/svp/102.png", 1)</f>
        <v/>
      </c>
      <c r="H44" s="22"/>
      <c r="I44" s="20"/>
      <c r="J44" s="21" t="str">
        <f>IMAGE("https://assets.tcgdex.net/de/sv/svp/103/low.jpg", 1)</f>
        <v/>
      </c>
      <c r="K44" s="22"/>
      <c r="L44" s="20"/>
      <c r="M44" s="21" t="str">
        <f>IMAGE("https://assets.tcgdex.net/de/sv/svp/104/low.jpg", 1)</f>
        <v/>
      </c>
      <c r="N44" s="22"/>
      <c r="O44" s="20"/>
    </row>
    <row r="45" ht="22.5" customHeight="1">
      <c r="A45" s="23" t="b">
        <v>0</v>
      </c>
      <c r="B45" s="24" t="b">
        <v>0</v>
      </c>
      <c r="C45" s="25" t="str">
        <f>HYPERLINK("https://prices.pokemontcg.io/cardmarket/svp-94", "CM")</f>
        <v>CM</v>
      </c>
      <c r="D45" s="23" t="b">
        <v>0</v>
      </c>
      <c r="E45" s="24" t="b">
        <v>0</v>
      </c>
      <c r="F45" s="25" t="str">
        <f>HYPERLINK("https://prices.pokemontcg.io/cardmarket/svp-101", "CM")</f>
        <v>CM</v>
      </c>
      <c r="G45" s="23" t="b">
        <v>0</v>
      </c>
      <c r="H45" s="24" t="b">
        <v>0</v>
      </c>
      <c r="I45" s="25" t="str">
        <f>HYPERLINK("https://prices.pokemontcg.io/cardmarket/svp-102", "CM")</f>
        <v>CM</v>
      </c>
      <c r="J45" s="23" t="b">
        <v>0</v>
      </c>
      <c r="K45" s="24" t="b">
        <v>0</v>
      </c>
      <c r="L45" s="25" t="str">
        <f>HYPERLINK("https://prices.pokemontcg.io/cardmarket/svp-103", "CM")</f>
        <v>CM</v>
      </c>
      <c r="M45" s="23" t="b">
        <v>0</v>
      </c>
      <c r="N45" s="24" t="b">
        <v>0</v>
      </c>
      <c r="O45" s="25" t="str">
        <f>HYPERLINK("https://prices.pokemontcg.io/cardmarket/svp-104", "CM")</f>
        <v>CM</v>
      </c>
    </row>
    <row r="46" ht="7.5" customHeight="1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</row>
    <row r="47" ht="18.75" customHeight="1">
      <c r="A47" s="18" t="s">
        <v>636</v>
      </c>
      <c r="B47" s="19" t="s">
        <v>637</v>
      </c>
      <c r="C47" s="20"/>
      <c r="D47" s="18" t="s">
        <v>638</v>
      </c>
      <c r="E47" s="19" t="s">
        <v>639</v>
      </c>
      <c r="F47" s="20"/>
      <c r="G47" s="18" t="s">
        <v>640</v>
      </c>
      <c r="H47" s="19" t="s">
        <v>641</v>
      </c>
      <c r="I47" s="20"/>
      <c r="J47" s="18" t="s">
        <v>642</v>
      </c>
      <c r="K47" s="19" t="s">
        <v>534</v>
      </c>
      <c r="L47" s="20"/>
      <c r="M47" s="18" t="s">
        <v>643</v>
      </c>
      <c r="N47" s="19" t="s">
        <v>644</v>
      </c>
      <c r="O47" s="20"/>
    </row>
    <row r="48" ht="180.0" customHeight="1">
      <c r="A48" s="21" t="str">
        <f>IMAGE("https://assets.tcgdex.net/de/sv/svp/105/low.jpg", 1)</f>
        <v/>
      </c>
      <c r="B48" s="22"/>
      <c r="C48" s="20"/>
      <c r="D48" s="21" t="str">
        <f>IMAGE("https://assets.tcgdex.net/de/sv/svp/106/low.jpg", 1)</f>
        <v/>
      </c>
      <c r="E48" s="22"/>
      <c r="F48" s="20"/>
      <c r="G48" s="21" t="str">
        <f>IMAGE("https://assets.tcgdex.net/de/sv/svp/107/low.jpg", 1)</f>
        <v/>
      </c>
      <c r="H48" s="22"/>
      <c r="I48" s="20"/>
      <c r="J48" s="21" t="str">
        <f>IMAGE("https://assets.tcgdex.net/de/sv/svp/108/low.jpg", 1)</f>
        <v/>
      </c>
      <c r="K48" s="22"/>
      <c r="L48" s="20"/>
      <c r="M48" s="21" t="str">
        <f>IMAGE("https://assets.tcgdex.net/de/sv/svp/109/low.jpg", 1)</f>
        <v/>
      </c>
      <c r="N48" s="22"/>
      <c r="O48" s="20"/>
    </row>
    <row r="49" ht="22.5" customHeight="1">
      <c r="A49" s="23" t="b">
        <v>0</v>
      </c>
      <c r="B49" s="24" t="b">
        <v>0</v>
      </c>
      <c r="C49" s="25" t="str">
        <f>HYPERLINK("https://prices.pokemontcg.io/cardmarket/svp-105", "CM")</f>
        <v>CM</v>
      </c>
      <c r="D49" s="23" t="b">
        <v>0</v>
      </c>
      <c r="E49" s="24" t="b">
        <v>0</v>
      </c>
      <c r="F49" s="25" t="str">
        <f>HYPERLINK("https://prices.pokemontcg.io/cardmarket/svp-106", "CM")</f>
        <v>CM</v>
      </c>
      <c r="G49" s="23" t="b">
        <v>0</v>
      </c>
      <c r="H49" s="24" t="b">
        <v>0</v>
      </c>
      <c r="I49" s="25" t="str">
        <f>HYPERLINK("https://prices.pokemontcg.io/cardmarket/svp-107", "CM")</f>
        <v>CM</v>
      </c>
      <c r="J49" s="23" t="b">
        <v>0</v>
      </c>
      <c r="K49" s="24" t="b">
        <v>0</v>
      </c>
      <c r="L49" s="25" t="str">
        <f>HYPERLINK("https://prices.pokemontcg.io/cardmarket/svp-108", "CM")</f>
        <v>CM</v>
      </c>
      <c r="M49" s="23" t="b">
        <v>0</v>
      </c>
      <c r="N49" s="24" t="b">
        <v>0</v>
      </c>
      <c r="O49" s="25" t="str">
        <f>HYPERLINK("https://prices.pokemontcg.io/cardmarket/svp-109", "CM")</f>
        <v>CM</v>
      </c>
    </row>
    <row r="50" ht="7.5" customHeight="1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</row>
    <row r="51" ht="18.75" customHeight="1">
      <c r="A51" s="18" t="s">
        <v>645</v>
      </c>
      <c r="B51" s="19" t="s">
        <v>646</v>
      </c>
      <c r="C51" s="20"/>
      <c r="D51" s="18" t="s">
        <v>647</v>
      </c>
      <c r="E51" s="19" t="s">
        <v>648</v>
      </c>
      <c r="F51" s="20"/>
      <c r="G51" s="18" t="s">
        <v>649</v>
      </c>
      <c r="H51" s="19" t="s">
        <v>650</v>
      </c>
      <c r="I51" s="20"/>
      <c r="J51" s="18" t="s">
        <v>651</v>
      </c>
      <c r="K51" s="19" t="s">
        <v>652</v>
      </c>
      <c r="L51" s="20"/>
      <c r="M51" s="18" t="s">
        <v>653</v>
      </c>
      <c r="N51" s="19" t="s">
        <v>654</v>
      </c>
      <c r="O51" s="20"/>
    </row>
    <row r="52" ht="180.0" customHeight="1">
      <c r="A52" s="21" t="str">
        <f>IMAGE("https://assets.tcgdex.net/de/sv/svp/110/low.jpg", 1)</f>
        <v/>
      </c>
      <c r="B52" s="22"/>
      <c r="C52" s="20"/>
      <c r="D52" s="21" t="str">
        <f>IMAGE("https://assets.tcgdex.net/de/sv/svp/111/low.jpg", 1)</f>
        <v/>
      </c>
      <c r="E52" s="22"/>
      <c r="F52" s="20"/>
      <c r="G52" s="21" t="str">
        <f>IMAGE("https://assets.tcgdex.net/de/sv/svp/112/low.jpg", 1)</f>
        <v/>
      </c>
      <c r="H52" s="22"/>
      <c r="I52" s="20"/>
      <c r="J52" s="21" t="str">
        <f>IMAGE("https://assets.tcgdex.net/de/sv/svp/113/low.jpg", 1)</f>
        <v/>
      </c>
      <c r="K52" s="22"/>
      <c r="L52" s="20"/>
      <c r="M52" s="21" t="str">
        <f>IMAGE("https://assets.tcgdex.net/de/sv/svp/115/low.jpg", 1)</f>
        <v/>
      </c>
      <c r="N52" s="22"/>
      <c r="O52" s="20"/>
    </row>
    <row r="53" ht="22.5" customHeight="1">
      <c r="A53" s="23" t="b">
        <v>0</v>
      </c>
      <c r="B53" s="24" t="b">
        <v>0</v>
      </c>
      <c r="C53" s="25" t="str">
        <f>HYPERLINK("https://prices.pokemontcg.io/cardmarket/svp-110", "CM")</f>
        <v>CM</v>
      </c>
      <c r="D53" s="23" t="b">
        <v>0</v>
      </c>
      <c r="E53" s="24" t="b">
        <v>0</v>
      </c>
      <c r="F53" s="25" t="str">
        <f>HYPERLINK("https://prices.pokemontcg.io/cardmarket/svp-111", "CM")</f>
        <v>CM</v>
      </c>
      <c r="G53" s="23" t="b">
        <v>0</v>
      </c>
      <c r="H53" s="24" t="b">
        <v>0</v>
      </c>
      <c r="I53" s="25" t="str">
        <f>HYPERLINK("https://prices.pokemontcg.io/cardmarket/svp-112", "CM")</f>
        <v>CM</v>
      </c>
      <c r="J53" s="23" t="b">
        <v>0</v>
      </c>
      <c r="K53" s="24" t="b">
        <v>0</v>
      </c>
      <c r="L53" s="25" t="str">
        <f>HYPERLINK("https://prices.pokemontcg.io/cardmarket/svp-113", "CM")</f>
        <v>CM</v>
      </c>
      <c r="M53" s="23" t="b">
        <v>0</v>
      </c>
      <c r="N53" s="24" t="b">
        <v>0</v>
      </c>
      <c r="O53" s="25" t="str">
        <f>HYPERLINK("https://prices.pokemontcg.io/cardmarket/svp-115", "CM")</f>
        <v>CM</v>
      </c>
    </row>
    <row r="54" ht="7.5" customHeight="1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</row>
    <row r="55" ht="18.75" customHeight="1">
      <c r="A55" s="18" t="s">
        <v>655</v>
      </c>
      <c r="B55" s="19" t="s">
        <v>656</v>
      </c>
      <c r="C55" s="20"/>
      <c r="D55" s="18" t="s">
        <v>657</v>
      </c>
      <c r="E55" s="19" t="s">
        <v>658</v>
      </c>
      <c r="F55" s="20"/>
      <c r="G55" s="18" t="s">
        <v>659</v>
      </c>
      <c r="H55" s="19" t="s">
        <v>660</v>
      </c>
      <c r="I55" s="20"/>
      <c r="J55" s="18" t="s">
        <v>661</v>
      </c>
      <c r="K55" s="19" t="s">
        <v>637</v>
      </c>
      <c r="L55" s="20"/>
      <c r="M55" s="18" t="s">
        <v>662</v>
      </c>
      <c r="N55" s="19" t="s">
        <v>663</v>
      </c>
      <c r="O55" s="20"/>
    </row>
    <row r="56" ht="180.0" customHeight="1">
      <c r="A56" s="21" t="str">
        <f>IMAGE("https://assets.tcgdex.net/de/sv/svp/117/low.jpg", 1)</f>
        <v/>
      </c>
      <c r="B56" s="22"/>
      <c r="C56" s="20"/>
      <c r="D56" s="21" t="str">
        <f>IMAGE("https://assets.tcgdex.net/de/sv/svp/119/low.jpg", 1)</f>
        <v/>
      </c>
      <c r="E56" s="22"/>
      <c r="F56" s="20"/>
      <c r="G56" s="21" t="str">
        <f>IMAGE("https://assets.tcgdex.net/de/sv/svp/120/low.jpg", 1)</f>
        <v/>
      </c>
      <c r="H56" s="22"/>
      <c r="I56" s="20"/>
      <c r="J56" s="21" t="str">
        <f>IMAGE("https://assets.tcgdex.net/de/sv/svp/125/low.jpg", 1)</f>
        <v/>
      </c>
      <c r="K56" s="22"/>
      <c r="L56" s="20"/>
      <c r="M56" s="21" t="str">
        <f>IMAGE("https://assets.tcgdex.net/de/sv/svp/127/low.jpg", 1)</f>
        <v/>
      </c>
      <c r="N56" s="22"/>
      <c r="O56" s="20"/>
    </row>
    <row r="57" ht="22.5" customHeight="1">
      <c r="A57" s="23" t="b">
        <v>0</v>
      </c>
      <c r="B57" s="24" t="b">
        <v>0</v>
      </c>
      <c r="C57" s="25" t="str">
        <f>HYPERLINK("https://prices.pokemontcg.io/cardmarket/svp-117", "CM")</f>
        <v>CM</v>
      </c>
      <c r="D57" s="23" t="b">
        <v>0</v>
      </c>
      <c r="E57" s="24" t="b">
        <v>0</v>
      </c>
      <c r="F57" s="25" t="str">
        <f>HYPERLINK("https://prices.pokemontcg.io/cardmarket/svp-119", "CM")</f>
        <v>CM</v>
      </c>
      <c r="G57" s="23" t="b">
        <v>0</v>
      </c>
      <c r="H57" s="24" t="b">
        <v>0</v>
      </c>
      <c r="I57" s="25" t="str">
        <f>HYPERLINK("https://prices.pokemontcg.io/cardmarket/svp-120", "CM")</f>
        <v>CM</v>
      </c>
      <c r="J57" s="23" t="b">
        <v>0</v>
      </c>
      <c r="K57" s="24" t="b">
        <v>0</v>
      </c>
      <c r="L57" s="25" t="str">
        <f>HYPERLINK("https://prices.pokemontcg.io/cardmarket/svp-125", "CM")</f>
        <v>CM</v>
      </c>
      <c r="M57" s="23" t="b">
        <v>0</v>
      </c>
      <c r="N57" s="24" t="b">
        <v>0</v>
      </c>
      <c r="O57" s="25" t="str">
        <f>HYPERLINK("https://prices.pokemontcg.io/cardmarket/svp-127", "CM")</f>
        <v>CM</v>
      </c>
    </row>
    <row r="58" ht="7.5" customHeight="1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</row>
    <row r="59" ht="18.75" customHeight="1">
      <c r="A59" s="18" t="s">
        <v>664</v>
      </c>
      <c r="B59" s="19" t="s">
        <v>665</v>
      </c>
      <c r="C59" s="20"/>
      <c r="D59" s="18" t="s">
        <v>666</v>
      </c>
      <c r="E59" s="19" t="s">
        <v>667</v>
      </c>
      <c r="F59" s="20"/>
      <c r="G59" s="18" t="s">
        <v>668</v>
      </c>
      <c r="H59" s="19" t="s">
        <v>669</v>
      </c>
      <c r="I59" s="20"/>
      <c r="J59" s="18" t="s">
        <v>670</v>
      </c>
      <c r="K59" s="19" t="s">
        <v>671</v>
      </c>
      <c r="L59" s="20"/>
      <c r="M59" s="18" t="s">
        <v>672</v>
      </c>
      <c r="N59" s="19" t="s">
        <v>673</v>
      </c>
      <c r="O59" s="20"/>
    </row>
    <row r="60" ht="180.0" customHeight="1">
      <c r="A60" s="21" t="str">
        <f>IMAGE("https://assets.tcgdex.net/de/sv/svp/133/low.jpg", 1)</f>
        <v/>
      </c>
      <c r="B60" s="22"/>
      <c r="C60" s="20"/>
      <c r="D60" s="21" t="str">
        <f>IMAGE("https://assets.tcgdex.net/de/sv/svp/134/low.jpg", 1)</f>
        <v/>
      </c>
      <c r="E60" s="22"/>
      <c r="F60" s="20"/>
      <c r="G60" s="21" t="str">
        <f>IMAGE("https://assets.tcgdex.net/de/sv/svp/136/low.jpg", 1)</f>
        <v/>
      </c>
      <c r="H60" s="22"/>
      <c r="I60" s="20"/>
      <c r="J60" s="21" t="str">
        <f>IMAGE("https://assets.tcgdex.net/de/sv/svp/137/low.jpg", 1)</f>
        <v/>
      </c>
      <c r="K60" s="22"/>
      <c r="L60" s="20"/>
      <c r="M60" s="21" t="str">
        <f>IMAGE("https://assets.tcgdex.net/de/sv/svp/138/low.jpg", 1)</f>
        <v/>
      </c>
      <c r="N60" s="22"/>
      <c r="O60" s="20"/>
    </row>
    <row r="61" ht="22.5" customHeight="1">
      <c r="A61" s="23" t="b">
        <v>0</v>
      </c>
      <c r="B61" s="24" t="b">
        <v>0</v>
      </c>
      <c r="C61" s="25" t="str">
        <f>HYPERLINK("https://prices.pokemontcg.io/cardmarket/svp-133", "CM")</f>
        <v>CM</v>
      </c>
      <c r="D61" s="23" t="b">
        <v>0</v>
      </c>
      <c r="E61" s="24" t="b">
        <v>0</v>
      </c>
      <c r="F61" s="25" t="str">
        <f>HYPERLINK("https://prices.pokemontcg.io/cardmarket/svp-134", "CM")</f>
        <v>CM</v>
      </c>
      <c r="G61" s="23" t="b">
        <v>0</v>
      </c>
      <c r="H61" s="24" t="b">
        <v>0</v>
      </c>
      <c r="I61" s="25" t="str">
        <f>HYPERLINK("https://prices.pokemontcg.io/cardmarket/svp-136", "CM")</f>
        <v>CM</v>
      </c>
      <c r="J61" s="23" t="b">
        <v>0</v>
      </c>
      <c r="K61" s="24" t="b">
        <v>0</v>
      </c>
      <c r="L61" s="25" t="str">
        <f>HYPERLINK("https://prices.pokemontcg.io/cardmarket/svp-137", "CM")</f>
        <v>CM</v>
      </c>
      <c r="M61" s="23" t="b">
        <v>0</v>
      </c>
      <c r="N61" s="24" t="b">
        <v>0</v>
      </c>
      <c r="O61" s="25" t="str">
        <f>HYPERLINK("https://prices.pokemontcg.io/cardmarket/svp-138", "CM")</f>
        <v>CM</v>
      </c>
    </row>
    <row r="62" ht="7.5" customHeight="1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</row>
    <row r="63" ht="18.75" customHeight="1">
      <c r="A63" s="18" t="s">
        <v>674</v>
      </c>
      <c r="B63" s="19" t="s">
        <v>675</v>
      </c>
      <c r="C63" s="20"/>
      <c r="D63" s="18" t="s">
        <v>676</v>
      </c>
      <c r="E63" s="19" t="s">
        <v>677</v>
      </c>
      <c r="F63" s="20"/>
      <c r="G63" s="18" t="s">
        <v>678</v>
      </c>
      <c r="H63" s="19" t="s">
        <v>552</v>
      </c>
      <c r="I63" s="20"/>
      <c r="J63" s="18" t="s">
        <v>679</v>
      </c>
      <c r="K63" s="19" t="s">
        <v>680</v>
      </c>
      <c r="L63" s="20"/>
      <c r="M63" s="18" t="s">
        <v>681</v>
      </c>
      <c r="N63" s="19" t="s">
        <v>682</v>
      </c>
      <c r="O63" s="20"/>
    </row>
    <row r="64" ht="180.0" customHeight="1">
      <c r="A64" s="21" t="str">
        <f>IMAGE("https://assets.tcgdex.net/de/sv/svp/139/low.jpg", 1)</f>
        <v/>
      </c>
      <c r="B64" s="22"/>
      <c r="C64" s="20"/>
      <c r="D64" s="21" t="str">
        <f>IMAGE("https://assets.tcgdex.net/de/sv/svp/142/low.jpg", 1)</f>
        <v/>
      </c>
      <c r="E64" s="22"/>
      <c r="F64" s="20"/>
      <c r="G64" s="21" t="str">
        <f>IMAGE("https://assets.tcgdex.net/de/sv/svp/143/low.jpg", 1)</f>
        <v/>
      </c>
      <c r="H64" s="22"/>
      <c r="I64" s="20"/>
      <c r="J64" s="21" t="str">
        <f>IMAGE("https://assets.tcgdex.net/de/sv/svp/144/low.jpg", 1)</f>
        <v/>
      </c>
      <c r="K64" s="22"/>
      <c r="L64" s="20"/>
      <c r="M64" s="21" t="str">
        <f>IMAGE("https://assets.tcgdex.net/de/sv/svp/146/low.jpg", 1)</f>
        <v/>
      </c>
      <c r="N64" s="22"/>
      <c r="O64" s="20"/>
    </row>
    <row r="65" ht="22.5" customHeight="1">
      <c r="A65" s="23" t="b">
        <v>0</v>
      </c>
      <c r="B65" s="24" t="b">
        <v>0</v>
      </c>
      <c r="C65" s="25" t="str">
        <f>HYPERLINK("https://prices.pokemontcg.io/cardmarket/svp-139", "CM")</f>
        <v>CM</v>
      </c>
      <c r="D65" s="23" t="b">
        <v>0</v>
      </c>
      <c r="E65" s="24" t="b">
        <v>0</v>
      </c>
      <c r="F65" s="25" t="str">
        <f>HYPERLINK("https://prices.pokemontcg.io/cardmarket/svp-142", "CM")</f>
        <v>CM</v>
      </c>
      <c r="G65" s="23" t="b">
        <v>0</v>
      </c>
      <c r="H65" s="24" t="b">
        <v>0</v>
      </c>
      <c r="I65" s="25" t="str">
        <f>HYPERLINK("https://prices.pokemontcg.io/cardmarket/svp-143", "CM")</f>
        <v>CM</v>
      </c>
      <c r="J65" s="23" t="b">
        <v>0</v>
      </c>
      <c r="K65" s="24" t="b">
        <v>0</v>
      </c>
      <c r="L65" s="25" t="str">
        <f>HYPERLINK("https://prices.pokemontcg.io/cardmarket/svp-144", "CM")</f>
        <v>CM</v>
      </c>
      <c r="M65" s="23" t="b">
        <v>0</v>
      </c>
      <c r="N65" s="24" t="b">
        <v>0</v>
      </c>
      <c r="O65" s="25" t="str">
        <f>HYPERLINK("https://prices.pokemontcg.io/cardmarket/svp-146", "CM")</f>
        <v>CM</v>
      </c>
    </row>
    <row r="66" ht="7.5" customHeight="1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</row>
    <row r="67" ht="18.75" customHeight="1">
      <c r="A67" s="18" t="s">
        <v>683</v>
      </c>
      <c r="B67" s="19" t="s">
        <v>684</v>
      </c>
      <c r="C67" s="20"/>
      <c r="D67" s="18" t="s">
        <v>685</v>
      </c>
      <c r="E67" s="19" t="s">
        <v>624</v>
      </c>
      <c r="F67" s="20"/>
      <c r="G67" s="18" t="s">
        <v>686</v>
      </c>
      <c r="H67" s="19" t="s">
        <v>582</v>
      </c>
      <c r="I67" s="20"/>
      <c r="J67" s="18" t="s">
        <v>687</v>
      </c>
      <c r="K67" s="19" t="s">
        <v>688</v>
      </c>
      <c r="L67" s="20"/>
      <c r="M67" s="18" t="s">
        <v>689</v>
      </c>
      <c r="N67" s="19" t="s">
        <v>690</v>
      </c>
      <c r="O67" s="20"/>
    </row>
    <row r="68" ht="180.0" customHeight="1">
      <c r="A68" s="21" t="str">
        <f>IMAGE("https://assets.tcgdex.net/de/sv/svp/147/low.jpg", 1)</f>
        <v/>
      </c>
      <c r="B68" s="22"/>
      <c r="C68" s="20"/>
      <c r="D68" s="21" t="str">
        <f>IMAGE("https://assets.tcgdex.net/de/sv/svp/148/low.jpg", 1)</f>
        <v/>
      </c>
      <c r="E68" s="22"/>
      <c r="F68" s="20"/>
      <c r="G68" s="21" t="str">
        <f>IMAGE("https://assets.tcgdex.net/de/sv/svp/150/low.jpg", 1)</f>
        <v/>
      </c>
      <c r="H68" s="22"/>
      <c r="I68" s="20"/>
      <c r="J68" s="21" t="str">
        <f>IMAGE("https://assets.tcgdex.net/de/sv/svp/153/low.jpg", 1)</f>
        <v/>
      </c>
      <c r="K68" s="22"/>
      <c r="L68" s="20"/>
      <c r="M68" s="21" t="str">
        <f>IMAGE("https://assets.tcgdex.net/de/sv/svp/154/low.jpg", 1)</f>
        <v/>
      </c>
      <c r="N68" s="22"/>
      <c r="O68" s="20"/>
    </row>
    <row r="69" ht="22.5" customHeight="1">
      <c r="A69" s="23" t="b">
        <v>0</v>
      </c>
      <c r="B69" s="24" t="b">
        <v>0</v>
      </c>
      <c r="C69" s="25" t="str">
        <f>HYPERLINK("https://prices.pokemontcg.io/cardmarket/svp-147", "CM")</f>
        <v>CM</v>
      </c>
      <c r="D69" s="23" t="b">
        <v>0</v>
      </c>
      <c r="E69" s="24" t="b">
        <v>0</v>
      </c>
      <c r="F69" s="25" t="str">
        <f>HYPERLINK("https://prices.pokemontcg.io/cardmarket/svp-148", "CM")</f>
        <v>CM</v>
      </c>
      <c r="G69" s="23" t="b">
        <v>0</v>
      </c>
      <c r="H69" s="24" t="b">
        <v>0</v>
      </c>
      <c r="I69" s="25" t="str">
        <f>HYPERLINK("https://prices.pokemontcg.io/cardmarket/svp-150", "CM")</f>
        <v>CM</v>
      </c>
      <c r="J69" s="23" t="b">
        <v>0</v>
      </c>
      <c r="K69" s="24" t="b">
        <v>0</v>
      </c>
      <c r="L69" s="25" t="str">
        <f>HYPERLINK("https://prices.pokemontcg.io/cardmarket/svp-153", "CM")</f>
        <v>CM</v>
      </c>
      <c r="M69" s="23" t="b">
        <v>0</v>
      </c>
      <c r="N69" s="24" t="b">
        <v>0</v>
      </c>
      <c r="O69" s="25" t="str">
        <f>HYPERLINK("https://prices.pokemontcg.io/cardmarket/svp-154", "CM")</f>
        <v>CM</v>
      </c>
    </row>
    <row r="70" ht="7.5" customHeight="1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</row>
    <row r="71" ht="18.75" customHeight="1">
      <c r="A71" s="18" t="s">
        <v>691</v>
      </c>
      <c r="B71" s="19" t="s">
        <v>692</v>
      </c>
      <c r="C71" s="20"/>
      <c r="D71" s="18" t="s">
        <v>693</v>
      </c>
      <c r="E71" s="19" t="s">
        <v>694</v>
      </c>
      <c r="F71" s="20"/>
      <c r="G71" s="18" t="s">
        <v>695</v>
      </c>
      <c r="H71" s="19" t="s">
        <v>696</v>
      </c>
      <c r="I71" s="20"/>
      <c r="J71" s="18" t="s">
        <v>697</v>
      </c>
      <c r="K71" s="19" t="s">
        <v>698</v>
      </c>
      <c r="L71" s="20"/>
      <c r="M71" s="18" t="s">
        <v>699</v>
      </c>
      <c r="N71" s="19" t="s">
        <v>700</v>
      </c>
      <c r="O71" s="20"/>
    </row>
    <row r="72" ht="180.0" customHeight="1">
      <c r="A72" s="21" t="str">
        <f>IMAGE("https://assets.tcgdex.net/de/sv/svp/155/low.jpg", 1)</f>
        <v/>
      </c>
      <c r="B72" s="22"/>
      <c r="C72" s="20"/>
      <c r="D72" s="21" t="str">
        <f>IMAGE("https://assets.tcgdex.net/de/sv/svp/158/low.jpg", 1)</f>
        <v/>
      </c>
      <c r="E72" s="22"/>
      <c r="F72" s="20"/>
      <c r="G72" s="21" t="str">
        <f>IMAGE("https://assets.tcgdex.net/de/sv/svp/160/low.jpg", 1)</f>
        <v/>
      </c>
      <c r="H72" s="22"/>
      <c r="I72" s="20"/>
      <c r="J72" s="21" t="str">
        <f>IMAGE("https://assets.tcgdex.net/de/sv/svp/162/low.jpg", 1)</f>
        <v/>
      </c>
      <c r="K72" s="22"/>
      <c r="L72" s="20"/>
      <c r="M72" s="21" t="str">
        <f>IMAGE("https://images.pokemontcg.io/svp/174.png", 1)</f>
        <v/>
      </c>
      <c r="N72" s="22"/>
      <c r="O72" s="20"/>
    </row>
    <row r="73" ht="22.5" customHeight="1">
      <c r="A73" s="23" t="b">
        <v>0</v>
      </c>
      <c r="B73" s="24" t="b">
        <v>0</v>
      </c>
      <c r="C73" s="25" t="str">
        <f>HYPERLINK("https://prices.pokemontcg.io/cardmarket/svp-155", "CM")</f>
        <v>CM</v>
      </c>
      <c r="D73" s="23" t="b">
        <v>0</v>
      </c>
      <c r="E73" s="24" t="b">
        <v>0</v>
      </c>
      <c r="F73" s="25" t="str">
        <f>HYPERLINK("https://prices.pokemontcg.io/cardmarket/svp-158", "CM")</f>
        <v>CM</v>
      </c>
      <c r="G73" s="23" t="b">
        <v>0</v>
      </c>
      <c r="H73" s="24" t="b">
        <v>0</v>
      </c>
      <c r="I73" s="25" t="str">
        <f>HYPERLINK("https://prices.pokemontcg.io/cardmarket/svp-160", "CM")</f>
        <v>CM</v>
      </c>
      <c r="J73" s="23" t="b">
        <v>0</v>
      </c>
      <c r="K73" s="24" t="b">
        <v>0</v>
      </c>
      <c r="L73" s="25" t="str">
        <f>HYPERLINK("https://prices.pokemontcg.io/cardmarket/svp-162", "CM")</f>
        <v>CM</v>
      </c>
      <c r="M73" s="23" t="b">
        <v>0</v>
      </c>
      <c r="N73" s="24" t="b">
        <v>0</v>
      </c>
      <c r="O73" s="25" t="str">
        <f>HYPERLINK("https://prices.pokemontcg.io/cardmarket/svp-174", "CM")</f>
        <v>CM</v>
      </c>
    </row>
    <row r="74" ht="7.5" customHeight="1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</row>
    <row r="75" ht="18.75" customHeight="1">
      <c r="A75" s="18" t="s">
        <v>701</v>
      </c>
      <c r="B75" s="19" t="s">
        <v>702</v>
      </c>
      <c r="C75" s="20"/>
      <c r="D75" s="18" t="s">
        <v>703</v>
      </c>
      <c r="E75" s="19" t="s">
        <v>704</v>
      </c>
      <c r="F75" s="20"/>
      <c r="G75" s="18" t="s">
        <v>705</v>
      </c>
      <c r="H75" s="19" t="s">
        <v>706</v>
      </c>
      <c r="I75" s="20"/>
      <c r="J75" s="18" t="s">
        <v>707</v>
      </c>
      <c r="K75" s="19" t="s">
        <v>708</v>
      </c>
      <c r="L75" s="20"/>
      <c r="M75" s="18" t="s">
        <v>709</v>
      </c>
      <c r="N75" s="19" t="s">
        <v>710</v>
      </c>
      <c r="O75" s="20"/>
    </row>
    <row r="76" ht="180.0" customHeight="1">
      <c r="A76" s="21" t="str">
        <f>IMAGE("https://images.pokemontcg.io/svp/178.png", 1)</f>
        <v/>
      </c>
      <c r="B76" s="22"/>
      <c r="C76" s="20"/>
      <c r="D76" s="21" t="str">
        <f>IMAGE("https://images.pokemontcg.io/svp/179.png", 1)</f>
        <v/>
      </c>
      <c r="E76" s="22"/>
      <c r="F76" s="20"/>
      <c r="G76" s="21" t="str">
        <f>IMAGE("https://images.pokemontcg.io/svp/182.png", 1)</f>
        <v/>
      </c>
      <c r="H76" s="22"/>
      <c r="I76" s="20"/>
      <c r="J76" s="21" t="str">
        <f>IMAGE("https://images.pokemontcg.io/svp/184.png", 1)</f>
        <v/>
      </c>
      <c r="K76" s="22"/>
      <c r="L76" s="20"/>
      <c r="M76" s="21" t="str">
        <f>IMAGE("https://images.pokemontcg.io/svp/185.png", 1)</f>
        <v/>
      </c>
      <c r="N76" s="22"/>
      <c r="O76" s="20"/>
    </row>
    <row r="77" ht="22.5" customHeight="1">
      <c r="A77" s="23" t="b">
        <v>0</v>
      </c>
      <c r="B77" s="24" t="b">
        <v>0</v>
      </c>
      <c r="C77" s="25" t="str">
        <f>HYPERLINK("https://prices.pokemontcg.io/cardmarket/svp-178", "CM")</f>
        <v>CM</v>
      </c>
      <c r="D77" s="23" t="b">
        <v>0</v>
      </c>
      <c r="E77" s="24" t="b">
        <v>0</v>
      </c>
      <c r="F77" s="25" t="str">
        <f>HYPERLINK("https://prices.pokemontcg.io/cardmarket/svp-179", "CM")</f>
        <v>CM</v>
      </c>
      <c r="G77" s="23" t="b">
        <v>0</v>
      </c>
      <c r="H77" s="24" t="b">
        <v>0</v>
      </c>
      <c r="I77" s="25" t="str">
        <f>HYPERLINK("https://prices.pokemontcg.io/cardmarket/svp-182", "CM")</f>
        <v>CM</v>
      </c>
      <c r="J77" s="23" t="b">
        <v>0</v>
      </c>
      <c r="K77" s="24" t="b">
        <v>0</v>
      </c>
      <c r="L77" s="25" t="str">
        <f>HYPERLINK("https://prices.pokemontcg.io/cardmarket/svp-184", "CM")</f>
        <v>CM</v>
      </c>
      <c r="M77" s="23" t="b">
        <v>0</v>
      </c>
      <c r="N77" s="24" t="b">
        <v>0</v>
      </c>
      <c r="O77" s="25" t="str">
        <f>HYPERLINK("https://prices.pokemontcg.io/cardmarket/svp-185", "CM")</f>
        <v>CM</v>
      </c>
    </row>
    <row r="78" ht="7.5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</row>
    <row r="79" ht="18.75" customHeight="1">
      <c r="A79" s="18" t="s">
        <v>711</v>
      </c>
      <c r="B79" s="19" t="s">
        <v>712</v>
      </c>
      <c r="C79" s="20"/>
      <c r="D79" s="18" t="s">
        <v>713</v>
      </c>
      <c r="E79" s="19" t="s">
        <v>714</v>
      </c>
      <c r="F79" s="20"/>
      <c r="G79" s="18" t="s">
        <v>715</v>
      </c>
      <c r="H79" s="19" t="s">
        <v>716</v>
      </c>
      <c r="I79" s="20"/>
      <c r="J79" s="18" t="s">
        <v>717</v>
      </c>
      <c r="K79" s="19" t="s">
        <v>718</v>
      </c>
      <c r="L79" s="20"/>
      <c r="M79" s="18" t="s">
        <v>719</v>
      </c>
      <c r="N79" s="19" t="s">
        <v>554</v>
      </c>
      <c r="O79" s="20"/>
    </row>
    <row r="80" ht="180.0" customHeight="1">
      <c r="A80" s="21" t="str">
        <f>IMAGE("https://images.pokemontcg.io/svp/186.png", 1)</f>
        <v/>
      </c>
      <c r="B80" s="22"/>
      <c r="C80" s="20"/>
      <c r="D80" s="21" t="str">
        <f>IMAGE("https://images.pokemontcg.io/svp/194.png", 1)</f>
        <v/>
      </c>
      <c r="E80" s="22"/>
      <c r="F80" s="20"/>
      <c r="G80" s="21" t="str">
        <f>IMAGE("https://images.pokemontcg.io/svp/195.png", 1)</f>
        <v/>
      </c>
      <c r="H80" s="22"/>
      <c r="I80" s="20"/>
      <c r="J80" s="21" t="str">
        <f>IMAGE("https://images.pokemontcg.io/svp/196.png", 1)</f>
        <v/>
      </c>
      <c r="K80" s="22"/>
      <c r="L80" s="20"/>
      <c r="M80" s="21" t="str">
        <f>IMAGE("https://images.pokemontcg.io/svp/197.png", 1)</f>
        <v/>
      </c>
      <c r="N80" s="22"/>
      <c r="O80" s="20"/>
    </row>
    <row r="81" ht="22.5" customHeight="1">
      <c r="A81" s="23" t="b">
        <v>0</v>
      </c>
      <c r="B81" s="24" t="b">
        <v>0</v>
      </c>
      <c r="C81" s="25" t="str">
        <f>HYPERLINK("https://prices.pokemontcg.io/cardmarket/svp-186", "CM")</f>
        <v>CM</v>
      </c>
      <c r="D81" s="23" t="b">
        <v>0</v>
      </c>
      <c r="E81" s="24" t="b">
        <v>0</v>
      </c>
      <c r="F81" s="25" t="str">
        <f>HYPERLINK("https://prices.pokemontcg.io/cardmarket/svp-194", "CM")</f>
        <v>CM</v>
      </c>
      <c r="G81" s="23" t="b">
        <v>0</v>
      </c>
      <c r="H81" s="24" t="b">
        <v>0</v>
      </c>
      <c r="I81" s="25" t="str">
        <f>HYPERLINK("https://prices.pokemontcg.io/cardmarket/svp-195", "CM")</f>
        <v>CM</v>
      </c>
      <c r="J81" s="23" t="b">
        <v>0</v>
      </c>
      <c r="K81" s="24" t="b">
        <v>0</v>
      </c>
      <c r="L81" s="25" t="str">
        <f>HYPERLINK("https://prices.pokemontcg.io/cardmarket/svp-196", "CM")</f>
        <v>CM</v>
      </c>
      <c r="M81" s="23" t="b">
        <v>0</v>
      </c>
      <c r="N81" s="24" t="b">
        <v>0</v>
      </c>
      <c r="O81" s="25" t="str">
        <f>HYPERLINK("https://prices.pokemontcg.io/cardmarket/svp-197", "CM")</f>
        <v>CM</v>
      </c>
    </row>
    <row r="82" ht="7.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</row>
    <row r="83" ht="18.75" customHeight="1">
      <c r="A83" s="18" t="s">
        <v>720</v>
      </c>
      <c r="B83" s="19" t="s">
        <v>721</v>
      </c>
      <c r="C83" s="20"/>
      <c r="D83" s="18" t="s">
        <v>722</v>
      </c>
      <c r="E83" s="19" t="s">
        <v>723</v>
      </c>
      <c r="F83" s="20"/>
      <c r="G83" s="18" t="s">
        <v>724</v>
      </c>
      <c r="H83" s="19" t="s">
        <v>725</v>
      </c>
      <c r="I83" s="20"/>
      <c r="J83" s="18" t="s">
        <v>726</v>
      </c>
      <c r="K83" s="19" t="s">
        <v>727</v>
      </c>
      <c r="L83" s="20"/>
      <c r="M83" s="18" t="s">
        <v>728</v>
      </c>
      <c r="N83" s="19" t="s">
        <v>729</v>
      </c>
      <c r="O83" s="20"/>
    </row>
    <row r="84" ht="180.0" customHeight="1">
      <c r="A84" s="21" t="str">
        <f>IMAGE("https://images.pokemontcg.io/svp/198.png", 1)</f>
        <v/>
      </c>
      <c r="B84" s="22"/>
      <c r="C84" s="20"/>
      <c r="D84" s="21" t="str">
        <f>IMAGE("https://images.pokemontcg.io/svp/199.png", 1)</f>
        <v/>
      </c>
      <c r="E84" s="22"/>
      <c r="F84" s="20"/>
      <c r="G84" s="21" t="str">
        <f>IMAGE("https://images.pokemontcg.io/svp/200.png", 1)</f>
        <v/>
      </c>
      <c r="H84" s="22"/>
      <c r="I84" s="20"/>
      <c r="J84" s="21" t="str">
        <f>IMAGE("https://images.pokemontcg.io/svp/201.png", 1)</f>
        <v/>
      </c>
      <c r="K84" s="22"/>
      <c r="L84" s="20"/>
      <c r="M84" s="21" t="str">
        <f>IMAGE("https://images.pokemontcg.io/svp/202.png", 1)</f>
        <v/>
      </c>
      <c r="N84" s="22"/>
      <c r="O84" s="20"/>
    </row>
    <row r="85" ht="22.5" customHeight="1">
      <c r="A85" s="23" t="b">
        <v>0</v>
      </c>
      <c r="B85" s="24" t="b">
        <v>0</v>
      </c>
      <c r="C85" s="25" t="str">
        <f>HYPERLINK("https://prices.pokemontcg.io/cardmarket/svp-198", "CM")</f>
        <v>CM</v>
      </c>
      <c r="D85" s="23" t="b">
        <v>0</v>
      </c>
      <c r="E85" s="24" t="b">
        <v>0</v>
      </c>
      <c r="F85" s="25" t="str">
        <f>HYPERLINK("https://prices.pokemontcg.io/cardmarket/svp-199", "CM")</f>
        <v>CM</v>
      </c>
      <c r="G85" s="23" t="b">
        <v>0</v>
      </c>
      <c r="H85" s="24" t="b">
        <v>0</v>
      </c>
      <c r="I85" s="25" t="str">
        <f>HYPERLINK("https://prices.pokemontcg.io/cardmarket/svp-200", "CM")</f>
        <v>CM</v>
      </c>
      <c r="J85" s="23" t="b">
        <v>0</v>
      </c>
      <c r="K85" s="24" t="b">
        <v>0</v>
      </c>
      <c r="L85" s="25" t="str">
        <f>HYPERLINK("https://prices.pokemontcg.io/cardmarket/svp-201", "CM")</f>
        <v>CM</v>
      </c>
      <c r="M85" s="23" t="b">
        <v>0</v>
      </c>
      <c r="N85" s="24" t="b">
        <v>0</v>
      </c>
      <c r="O85" s="25" t="str">
        <f>HYPERLINK("https://prices.pokemontcg.io/cardmarket/svp-202", "CM")</f>
        <v>CM</v>
      </c>
    </row>
    <row r="86" ht="7.5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</row>
    <row r="87" ht="18.75" customHeight="1">
      <c r="A87" s="18" t="s">
        <v>730</v>
      </c>
      <c r="B87" s="19" t="s">
        <v>731</v>
      </c>
      <c r="C87" s="20"/>
      <c r="D87" s="27" t="s">
        <v>732</v>
      </c>
      <c r="E87" s="28" t="s">
        <v>733</v>
      </c>
      <c r="F87" s="20"/>
      <c r="G87" s="18" t="s">
        <v>734</v>
      </c>
      <c r="H87" s="19" t="s">
        <v>735</v>
      </c>
      <c r="I87" s="20"/>
      <c r="J87" s="29" t="s">
        <v>736</v>
      </c>
      <c r="K87" s="30" t="s">
        <v>737</v>
      </c>
      <c r="L87" s="20"/>
      <c r="M87" s="29" t="s">
        <v>738</v>
      </c>
      <c r="N87" s="30" t="s">
        <v>600</v>
      </c>
      <c r="O87" s="20"/>
    </row>
    <row r="88" ht="180.0" customHeight="1">
      <c r="A88" s="21" t="str">
        <f>IMAGE("https://images.pokemontcg.io/svp/203.png", 1)</f>
        <v/>
      </c>
      <c r="B88" s="22"/>
      <c r="C88" s="20"/>
      <c r="D88" s="31" t="str">
        <f>IMAGE("https://images.pokemontcg.io/svp/206.png", 1)</f>
        <v/>
      </c>
      <c r="E88" s="22"/>
      <c r="F88" s="20"/>
      <c r="G88" s="21" t="str">
        <f>IMAGE("https://images.pokemontcg.io/svp/207.png", 1)</f>
        <v/>
      </c>
      <c r="H88" s="22"/>
      <c r="I88" s="20"/>
      <c r="J88" s="32" t="str">
        <f>IMAGE("https://assets.tcgdex.net/de/sv/svp/001/low.jpg", 1)</f>
        <v/>
      </c>
      <c r="K88" s="22"/>
      <c r="L88" s="20"/>
      <c r="M88" s="32" t="str">
        <f>IMAGE("https://assets.tcgdex.net/de/sv/svp/002/low.jpg", 1)</f>
        <v/>
      </c>
      <c r="N88" s="22"/>
      <c r="O88" s="20"/>
    </row>
    <row r="89" ht="22.5" customHeight="1">
      <c r="A89" s="23" t="b">
        <v>0</v>
      </c>
      <c r="B89" s="24" t="b">
        <v>0</v>
      </c>
      <c r="C89" s="25" t="str">
        <f>HYPERLINK("https://prices.pokemontcg.io/cardmarket/svp-203", "CM")</f>
        <v>CM</v>
      </c>
      <c r="D89" s="33" t="b">
        <v>1</v>
      </c>
      <c r="E89" s="33" t="b">
        <v>1</v>
      </c>
      <c r="F89" s="34" t="str">
        <f>HYPERLINK("https://prices.pokemontcg.io/cardmarket/svp-206", "CM")</f>
        <v>CM</v>
      </c>
      <c r="G89" s="23" t="b">
        <v>0</v>
      </c>
      <c r="H89" s="24" t="b">
        <v>0</v>
      </c>
      <c r="I89" s="25" t="str">
        <f>HYPERLINK("https://prices.pokemontcg.io/cardmarket/svp-207", "CM")</f>
        <v>CM</v>
      </c>
      <c r="J89" s="35" t="b">
        <v>1</v>
      </c>
      <c r="K89" s="35" t="b">
        <v>0</v>
      </c>
      <c r="L89" s="36" t="str">
        <f>HYPERLINK("https://prices.pokemontcg.io/cardmarket/svp-1", "CM")</f>
        <v>CM</v>
      </c>
      <c r="M89" s="35" t="b">
        <v>1</v>
      </c>
      <c r="N89" s="35" t="b">
        <v>0</v>
      </c>
      <c r="O89" s="36" t="str">
        <f>HYPERLINK("https://prices.pokemontcg.io/cardmarket/svp-2", "CM")</f>
        <v>CM</v>
      </c>
    </row>
    <row r="90" ht="7.5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</row>
    <row r="91" ht="18.75" customHeight="1">
      <c r="A91" s="29" t="s">
        <v>739</v>
      </c>
      <c r="B91" s="30" t="s">
        <v>605</v>
      </c>
      <c r="C91" s="20"/>
      <c r="D91" s="29" t="s">
        <v>740</v>
      </c>
      <c r="E91" s="30" t="s">
        <v>741</v>
      </c>
      <c r="F91" s="20"/>
      <c r="G91" s="29" t="s">
        <v>742</v>
      </c>
      <c r="H91" s="30" t="s">
        <v>743</v>
      </c>
      <c r="I91" s="20"/>
      <c r="J91" s="29" t="s">
        <v>744</v>
      </c>
      <c r="K91" s="30" t="s">
        <v>745</v>
      </c>
      <c r="L91" s="20"/>
      <c r="M91" s="29" t="s">
        <v>746</v>
      </c>
      <c r="N91" s="30" t="s">
        <v>747</v>
      </c>
      <c r="O91" s="20"/>
    </row>
    <row r="92" ht="180.0" customHeight="1">
      <c r="A92" s="32" t="str">
        <f>IMAGE("https://assets.tcgdex.net/de/sv/svp/003/low.jpg", 1)</f>
        <v/>
      </c>
      <c r="B92" s="22"/>
      <c r="C92" s="20"/>
      <c r="D92" s="32" t="str">
        <f>IMAGE("https://assets.tcgdex.net/de/sv/svp/004/low.jpg", 1)</f>
        <v/>
      </c>
      <c r="E92" s="22"/>
      <c r="F92" s="20"/>
      <c r="G92" s="32" t="str">
        <f>IMAGE("https://assets.tcgdex.net/de/sv/svp/005/low.jpg", 1)</f>
        <v/>
      </c>
      <c r="H92" s="22"/>
      <c r="I92" s="20"/>
      <c r="J92" s="32" t="str">
        <f>IMAGE("https://assets.tcgdex.net/de/sv/svp/007/low.jpg", 1)</f>
        <v/>
      </c>
      <c r="K92" s="22"/>
      <c r="L92" s="20"/>
      <c r="M92" s="32" t="str">
        <f>IMAGE("https://assets.tcgdex.net/de/sv/svp/009/low.jpg", 1)</f>
        <v/>
      </c>
      <c r="N92" s="22"/>
      <c r="O92" s="20"/>
    </row>
    <row r="93" ht="22.5" customHeight="1">
      <c r="A93" s="35" t="b">
        <v>1</v>
      </c>
      <c r="B93" s="35" t="b">
        <v>0</v>
      </c>
      <c r="C93" s="36" t="str">
        <f>HYPERLINK("https://prices.pokemontcg.io/cardmarket/svp-3", "CM")</f>
        <v>CM</v>
      </c>
      <c r="D93" s="35" t="b">
        <v>1</v>
      </c>
      <c r="E93" s="35" t="b">
        <v>0</v>
      </c>
      <c r="F93" s="36" t="str">
        <f>HYPERLINK("https://prices.pokemontcg.io/cardmarket/svp-4", "CM")</f>
        <v>CM</v>
      </c>
      <c r="G93" s="35" t="b">
        <v>1</v>
      </c>
      <c r="H93" s="35" t="b">
        <v>0</v>
      </c>
      <c r="I93" s="36" t="str">
        <f>HYPERLINK("https://prices.pokemontcg.io/cardmarket/svp-5", "CM")</f>
        <v>CM</v>
      </c>
      <c r="J93" s="35" t="b">
        <v>1</v>
      </c>
      <c r="K93" s="35" t="b">
        <v>0</v>
      </c>
      <c r="L93" s="36" t="str">
        <f>HYPERLINK("https://prices.pokemontcg.io/cardmarket/svp-7", "CM")</f>
        <v>CM</v>
      </c>
      <c r="M93" s="35" t="b">
        <v>1</v>
      </c>
      <c r="N93" s="35" t="b">
        <v>0</v>
      </c>
      <c r="O93" s="36" t="str">
        <f>HYPERLINK("https://prices.pokemontcg.io/cardmarket/svp-9", "CM")</f>
        <v>CM</v>
      </c>
    </row>
    <row r="94" ht="7.5" customHeigh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</row>
    <row r="95" ht="18.75" customHeight="1">
      <c r="A95" s="29" t="s">
        <v>748</v>
      </c>
      <c r="B95" s="30" t="s">
        <v>749</v>
      </c>
      <c r="C95" s="20"/>
      <c r="D95" s="29" t="s">
        <v>750</v>
      </c>
      <c r="E95" s="30" t="s">
        <v>751</v>
      </c>
      <c r="F95" s="20"/>
      <c r="G95" s="29" t="s">
        <v>752</v>
      </c>
      <c r="H95" s="30" t="s">
        <v>753</v>
      </c>
      <c r="I95" s="20"/>
      <c r="J95" s="29" t="s">
        <v>754</v>
      </c>
      <c r="K95" s="30" t="s">
        <v>624</v>
      </c>
      <c r="L95" s="20"/>
      <c r="M95" s="29" t="s">
        <v>755</v>
      </c>
      <c r="N95" s="30" t="s">
        <v>622</v>
      </c>
      <c r="O95" s="20"/>
    </row>
    <row r="96" ht="180.0" customHeight="1">
      <c r="A96" s="32" t="str">
        <f>IMAGE("https://assets.tcgdex.net/de/sv/svp/010/low.jpg", 1)</f>
        <v/>
      </c>
      <c r="B96" s="22"/>
      <c r="C96" s="20"/>
      <c r="D96" s="32" t="str">
        <f>IMAGE("https://assets.tcgdex.net/de/sv/svp/011/low.jpg", 1)</f>
        <v/>
      </c>
      <c r="E96" s="22"/>
      <c r="F96" s="20"/>
      <c r="G96" s="32" t="str">
        <f>IMAGE("https://assets.tcgdex.net/de/sv/svp/012/low.jpg", 1)</f>
        <v/>
      </c>
      <c r="H96" s="22"/>
      <c r="I96" s="20"/>
      <c r="J96" s="32" t="str">
        <f>IMAGE("https://assets.tcgdex.net/de/sv/svp/013/low.jpg", 1)</f>
        <v/>
      </c>
      <c r="K96" s="22"/>
      <c r="L96" s="20"/>
      <c r="M96" s="32" t="str">
        <f>IMAGE("https://assets.tcgdex.net/de/sv/svp/014/low.jpg", 1)</f>
        <v/>
      </c>
      <c r="N96" s="22"/>
      <c r="O96" s="20"/>
    </row>
    <row r="97" ht="22.5" customHeight="1">
      <c r="A97" s="35" t="b">
        <v>1</v>
      </c>
      <c r="B97" s="35" t="b">
        <v>0</v>
      </c>
      <c r="C97" s="36" t="str">
        <f>HYPERLINK("https://prices.pokemontcg.io/cardmarket/svp-10", "CM")</f>
        <v>CM</v>
      </c>
      <c r="D97" s="35" t="b">
        <v>1</v>
      </c>
      <c r="E97" s="35" t="b">
        <v>0</v>
      </c>
      <c r="F97" s="36" t="str">
        <f>HYPERLINK("https://prices.pokemontcg.io/cardmarket/svp-11", "CM")</f>
        <v>CM</v>
      </c>
      <c r="G97" s="35" t="b">
        <v>1</v>
      </c>
      <c r="H97" s="35" t="b">
        <v>0</v>
      </c>
      <c r="I97" s="36" t="str">
        <f>HYPERLINK("https://prices.pokemontcg.io/cardmarket/svp-12", "CM")</f>
        <v>CM</v>
      </c>
      <c r="J97" s="35" t="b">
        <v>1</v>
      </c>
      <c r="K97" s="35" t="b">
        <v>0</v>
      </c>
      <c r="L97" s="36" t="str">
        <f>HYPERLINK("https://prices.pokemontcg.io/cardmarket/svp-13", "CM")</f>
        <v>CM</v>
      </c>
      <c r="M97" s="35" t="b">
        <v>1</v>
      </c>
      <c r="N97" s="35" t="b">
        <v>0</v>
      </c>
      <c r="O97" s="36" t="str">
        <f>HYPERLINK("https://prices.pokemontcg.io/cardmarket/svp-14", "CM")</f>
        <v>CM</v>
      </c>
    </row>
    <row r="98" ht="7.5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</row>
    <row r="99" ht="18.75" customHeight="1">
      <c r="A99" s="29" t="s">
        <v>756</v>
      </c>
      <c r="B99" s="30" t="s">
        <v>757</v>
      </c>
      <c r="C99" s="20"/>
      <c r="D99" s="29" t="s">
        <v>758</v>
      </c>
      <c r="E99" s="30" t="s">
        <v>759</v>
      </c>
      <c r="F99" s="20"/>
      <c r="G99" s="29" t="s">
        <v>760</v>
      </c>
      <c r="H99" s="30" t="s">
        <v>761</v>
      </c>
      <c r="I99" s="20"/>
      <c r="J99" s="29" t="s">
        <v>762</v>
      </c>
      <c r="K99" s="30" t="s">
        <v>616</v>
      </c>
      <c r="L99" s="20"/>
      <c r="M99" s="29" t="s">
        <v>763</v>
      </c>
      <c r="N99" s="30" t="s">
        <v>764</v>
      </c>
      <c r="O99" s="20"/>
    </row>
    <row r="100" ht="180.0" customHeight="1">
      <c r="A100" s="32" t="str">
        <f>IMAGE("https://assets.tcgdex.net/de/sv/svp/018/low.jpg", 1)</f>
        <v/>
      </c>
      <c r="B100" s="22"/>
      <c r="C100" s="20"/>
      <c r="D100" s="32" t="str">
        <f>IMAGE("https://assets.tcgdex.net/de/sv/svp/025/low.jpg", 1)</f>
        <v/>
      </c>
      <c r="E100" s="22"/>
      <c r="F100" s="20"/>
      <c r="G100" s="32" t="str">
        <f>IMAGE("https://assets.tcgdex.net/de/sv/svp/026/low.jpg", 1)</f>
        <v/>
      </c>
      <c r="H100" s="22"/>
      <c r="I100" s="20"/>
      <c r="J100" s="32" t="str">
        <f>IMAGE("https://assets.tcgdex.net/de/sv/svp/027/low.jpg", 1)</f>
        <v/>
      </c>
      <c r="K100" s="22"/>
      <c r="L100" s="20"/>
      <c r="M100" s="32" t="str">
        <f>IMAGE("https://assets.tcgdex.net/de/sv/svp/043/low.jpg", 1)</f>
        <v/>
      </c>
      <c r="N100" s="22"/>
      <c r="O100" s="20"/>
    </row>
    <row r="101" ht="22.5" customHeight="1">
      <c r="A101" s="35" t="b">
        <v>1</v>
      </c>
      <c r="B101" s="35" t="b">
        <v>0</v>
      </c>
      <c r="C101" s="36" t="str">
        <f>HYPERLINK("https://prices.pokemontcg.io/cardmarket/svp-18", "CM")</f>
        <v>CM</v>
      </c>
      <c r="D101" s="35" t="b">
        <v>1</v>
      </c>
      <c r="E101" s="35" t="b">
        <v>0</v>
      </c>
      <c r="F101" s="36" t="str">
        <f>HYPERLINK("https://prices.pokemontcg.io/cardmarket/svp-25", "CM")</f>
        <v>CM</v>
      </c>
      <c r="G101" s="35" t="b">
        <v>1</v>
      </c>
      <c r="H101" s="35" t="b">
        <v>0</v>
      </c>
      <c r="I101" s="36" t="str">
        <f>HYPERLINK("https://prices.pokemontcg.io/cardmarket/svp-26", "CM")</f>
        <v>CM</v>
      </c>
      <c r="J101" s="35" t="b">
        <v>1</v>
      </c>
      <c r="K101" s="35" t="b">
        <v>0</v>
      </c>
      <c r="L101" s="36" t="str">
        <f>HYPERLINK("https://prices.pokemontcg.io/cardmarket/svp-27", "CM")</f>
        <v>CM</v>
      </c>
      <c r="M101" s="35" t="b">
        <v>1</v>
      </c>
      <c r="N101" s="35" t="b">
        <v>0</v>
      </c>
      <c r="O101" s="36" t="str">
        <f>HYPERLINK("https://prices.pokemontcg.io/cardmarket/svp-43", "CM")</f>
        <v>CM</v>
      </c>
    </row>
    <row r="102" ht="7.5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</row>
    <row r="103" ht="18.75" customHeight="1">
      <c r="A103" s="29" t="s">
        <v>765</v>
      </c>
      <c r="B103" s="30" t="s">
        <v>766</v>
      </c>
      <c r="C103" s="20"/>
      <c r="D103" s="29" t="s">
        <v>767</v>
      </c>
      <c r="E103" s="30" t="s">
        <v>768</v>
      </c>
      <c r="F103" s="20"/>
      <c r="G103" s="29" t="s">
        <v>769</v>
      </c>
      <c r="H103" s="30" t="s">
        <v>766</v>
      </c>
      <c r="I103" s="20"/>
      <c r="J103" s="29" t="s">
        <v>770</v>
      </c>
      <c r="K103" s="30" t="s">
        <v>771</v>
      </c>
      <c r="L103" s="20"/>
      <c r="M103" s="29" t="s">
        <v>772</v>
      </c>
      <c r="N103" s="30" t="s">
        <v>773</v>
      </c>
      <c r="O103" s="20"/>
    </row>
    <row r="104" ht="180.0" customHeight="1">
      <c r="A104" s="32" t="str">
        <f>IMAGE("https://assets.tcgdex.net/de/sv/svp/044/low.jpg", 1)</f>
        <v/>
      </c>
      <c r="B104" s="22"/>
      <c r="C104" s="20"/>
      <c r="D104" s="32" t="str">
        <f>IMAGE("https://assets.tcgdex.net/de/sv/svp/046/low.jpg", 1)</f>
        <v/>
      </c>
      <c r="E104" s="22"/>
      <c r="F104" s="20"/>
      <c r="G104" s="32" t="str">
        <f>IMAGE("https://assets.tcgdex.net/de/sv/svp/047/low.jpg", 1)</f>
        <v/>
      </c>
      <c r="H104" s="22"/>
      <c r="I104" s="20"/>
      <c r="J104" s="32" t="str">
        <f>IMAGE("https://assets.tcgdex.net/de/sv/svp/048/low.jpg", 1)</f>
        <v/>
      </c>
      <c r="K104" s="22"/>
      <c r="L104" s="20"/>
      <c r="M104" s="32" t="str">
        <f>IMAGE("https://assets.tcgdex.net/de/sv/svp/049/low.jpg", 1)</f>
        <v/>
      </c>
      <c r="N104" s="22"/>
      <c r="O104" s="20"/>
    </row>
    <row r="105" ht="22.5" customHeight="1">
      <c r="A105" s="35" t="b">
        <v>1</v>
      </c>
      <c r="B105" s="35" t="b">
        <v>0</v>
      </c>
      <c r="C105" s="36" t="str">
        <f>HYPERLINK("https://prices.pokemontcg.io/cardmarket/svp-44", "CM")</f>
        <v>CM</v>
      </c>
      <c r="D105" s="35" t="b">
        <v>1</v>
      </c>
      <c r="E105" s="35" t="b">
        <v>0</v>
      </c>
      <c r="F105" s="36" t="str">
        <f>HYPERLINK("https://prices.pokemontcg.io/cardmarket/svp-46", "CM")</f>
        <v>CM</v>
      </c>
      <c r="G105" s="35" t="b">
        <v>1</v>
      </c>
      <c r="H105" s="35" t="b">
        <v>0</v>
      </c>
      <c r="I105" s="36" t="str">
        <f>HYPERLINK("https://prices.pokemontcg.io/cardmarket/svp-47", "CM")</f>
        <v>CM</v>
      </c>
      <c r="J105" s="35" t="b">
        <v>1</v>
      </c>
      <c r="K105" s="35" t="b">
        <v>0</v>
      </c>
      <c r="L105" s="36" t="str">
        <f>HYPERLINK("https://prices.pokemontcg.io/cardmarket/svp-48", "CM")</f>
        <v>CM</v>
      </c>
      <c r="M105" s="35" t="b">
        <v>1</v>
      </c>
      <c r="N105" s="35" t="b">
        <v>0</v>
      </c>
      <c r="O105" s="36" t="str">
        <f>HYPERLINK("https://prices.pokemontcg.io/cardmarket/svp-49", "CM")</f>
        <v>CM</v>
      </c>
    </row>
    <row r="106" ht="7.5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</row>
    <row r="107" ht="18.75" customHeight="1">
      <c r="A107" s="29" t="s">
        <v>774</v>
      </c>
      <c r="B107" s="30" t="s">
        <v>775</v>
      </c>
      <c r="C107" s="20"/>
      <c r="D107" s="29" t="s">
        <v>776</v>
      </c>
      <c r="E107" s="30" t="s">
        <v>777</v>
      </c>
      <c r="F107" s="20"/>
      <c r="G107" s="29" t="s">
        <v>778</v>
      </c>
      <c r="H107" s="30" t="s">
        <v>779</v>
      </c>
      <c r="I107" s="20"/>
      <c r="J107" s="29" t="s">
        <v>780</v>
      </c>
      <c r="K107" s="30" t="s">
        <v>781</v>
      </c>
      <c r="L107" s="20"/>
      <c r="M107" s="29" t="s">
        <v>782</v>
      </c>
      <c r="N107" s="30" t="s">
        <v>783</v>
      </c>
      <c r="O107" s="20"/>
    </row>
    <row r="108" ht="180.0" customHeight="1">
      <c r="A108" s="32" t="str">
        <f>IMAGE("https://assets.tcgdex.net/de/sv/svp/050/low.jpg", 1)</f>
        <v/>
      </c>
      <c r="B108" s="22"/>
      <c r="C108" s="20"/>
      <c r="D108" s="32" t="str">
        <f>IMAGE("https://assets.tcgdex.net/de/sv/svp/051/low.jpg", 1)</f>
        <v/>
      </c>
      <c r="E108" s="22"/>
      <c r="F108" s="20"/>
      <c r="G108" s="32" t="str">
        <f>IMAGE("https://assets.tcgdex.net/de/sv/svp/052/low.jpg", 1)</f>
        <v/>
      </c>
      <c r="H108" s="22"/>
      <c r="I108" s="20"/>
      <c r="J108" s="32" t="str">
        <f>IMAGE("https://assets.tcgdex.net/de/sv/svp/053/low.jpg", 1)</f>
        <v/>
      </c>
      <c r="K108" s="22"/>
      <c r="L108" s="20"/>
      <c r="M108" s="32" t="str">
        <f>IMAGE("https://assets.tcgdex.net/de/sv/svp/056/low.jpg", 1)</f>
        <v/>
      </c>
      <c r="N108" s="22"/>
      <c r="O108" s="20"/>
    </row>
    <row r="109" ht="22.5" customHeight="1">
      <c r="A109" s="35" t="b">
        <v>1</v>
      </c>
      <c r="B109" s="35" t="b">
        <v>0</v>
      </c>
      <c r="C109" s="36" t="str">
        <f>HYPERLINK("https://prices.pokemontcg.io/cardmarket/svp-50", "CM")</f>
        <v>CM</v>
      </c>
      <c r="D109" s="35" t="b">
        <v>1</v>
      </c>
      <c r="E109" s="35" t="b">
        <v>0</v>
      </c>
      <c r="F109" s="36" t="str">
        <f>HYPERLINK("https://prices.pokemontcg.io/cardmarket/svp-51", "CM")</f>
        <v>CM</v>
      </c>
      <c r="G109" s="35" t="b">
        <v>1</v>
      </c>
      <c r="H109" s="35" t="b">
        <v>0</v>
      </c>
      <c r="I109" s="36" t="str">
        <f>HYPERLINK("https://prices.pokemontcg.io/cardmarket/svp-52", "CM")</f>
        <v>CM</v>
      </c>
      <c r="J109" s="35" t="b">
        <v>1</v>
      </c>
      <c r="K109" s="35" t="b">
        <v>0</v>
      </c>
      <c r="L109" s="36" t="str">
        <f>HYPERLINK("https://prices.pokemontcg.io/cardmarket/svp-53", "CM")</f>
        <v>CM</v>
      </c>
      <c r="M109" s="35" t="b">
        <v>1</v>
      </c>
      <c r="N109" s="35" t="b">
        <v>0</v>
      </c>
      <c r="O109" s="36" t="str">
        <f>HYPERLINK("https://prices.pokemontcg.io/cardmarket/svp-56", "CM")</f>
        <v>CM</v>
      </c>
    </row>
    <row r="110" ht="7.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</row>
    <row r="111" ht="18.75" customHeight="1">
      <c r="A111" s="29" t="s">
        <v>784</v>
      </c>
      <c r="B111" s="30" t="s">
        <v>785</v>
      </c>
      <c r="C111" s="20"/>
      <c r="D111" s="29" t="s">
        <v>786</v>
      </c>
      <c r="E111" s="30" t="s">
        <v>787</v>
      </c>
      <c r="F111" s="20"/>
      <c r="G111" s="29" t="s">
        <v>788</v>
      </c>
      <c r="H111" s="30" t="s">
        <v>789</v>
      </c>
      <c r="I111" s="20"/>
      <c r="J111" s="29" t="s">
        <v>790</v>
      </c>
      <c r="K111" s="30" t="s">
        <v>590</v>
      </c>
      <c r="L111" s="20"/>
      <c r="M111" s="29" t="s">
        <v>791</v>
      </c>
      <c r="N111" s="30" t="s">
        <v>792</v>
      </c>
      <c r="O111" s="20"/>
    </row>
    <row r="112" ht="180.0" customHeight="1">
      <c r="A112" s="32" t="str">
        <f>IMAGE("https://assets.tcgdex.net/de/sv/svp/063/low.jpg", 1)</f>
        <v/>
      </c>
      <c r="B112" s="22"/>
      <c r="C112" s="20"/>
      <c r="D112" s="32" t="str">
        <f>IMAGE("https://assets.tcgdex.net/de/sv/svp/064/low.jpg", 1)</f>
        <v/>
      </c>
      <c r="E112" s="22"/>
      <c r="F112" s="20"/>
      <c r="G112" s="32" t="str">
        <f>IMAGE("https://assets.tcgdex.net/de/sv/svp/065/low.jpg", 1)</f>
        <v/>
      </c>
      <c r="H112" s="22"/>
      <c r="I112" s="20"/>
      <c r="J112" s="32" t="str">
        <f>IMAGE("https://assets.tcgdex.net/de/sv/svp/066/low.jpg", 1)</f>
        <v/>
      </c>
      <c r="K112" s="22"/>
      <c r="L112" s="20"/>
      <c r="M112" s="32" t="str">
        <f>IMAGE("https://assets.tcgdex.net/de/sv/svp/067/low.jpg", 1)</f>
        <v/>
      </c>
      <c r="N112" s="22"/>
      <c r="O112" s="20"/>
    </row>
    <row r="113" ht="22.5" customHeight="1">
      <c r="A113" s="35" t="b">
        <v>1</v>
      </c>
      <c r="B113" s="35" t="b">
        <v>0</v>
      </c>
      <c r="C113" s="36" t="str">
        <f>HYPERLINK("https://prices.pokemontcg.io/cardmarket/svp-63", "CM")</f>
        <v>CM</v>
      </c>
      <c r="D113" s="35" t="b">
        <v>1</v>
      </c>
      <c r="E113" s="35" t="b">
        <v>0</v>
      </c>
      <c r="F113" s="36" t="str">
        <f>HYPERLINK("https://prices.pokemontcg.io/cardmarket/svp-64", "CM")</f>
        <v>CM</v>
      </c>
      <c r="G113" s="35" t="b">
        <v>1</v>
      </c>
      <c r="H113" s="35" t="b">
        <v>0</v>
      </c>
      <c r="I113" s="36" t="str">
        <f>HYPERLINK("https://prices.pokemontcg.io/cardmarket/svp-65", "CM")</f>
        <v>CM</v>
      </c>
      <c r="J113" s="35" t="b">
        <v>1</v>
      </c>
      <c r="K113" s="35" t="b">
        <v>0</v>
      </c>
      <c r="L113" s="36" t="str">
        <f>HYPERLINK("https://prices.pokemontcg.io/cardmarket/svp-66", "CM")</f>
        <v>CM</v>
      </c>
      <c r="M113" s="35" t="b">
        <v>1</v>
      </c>
      <c r="N113" s="35" t="b">
        <v>0</v>
      </c>
      <c r="O113" s="36" t="str">
        <f>HYPERLINK("https://prices.pokemontcg.io/cardmarket/svp-67", "CM")</f>
        <v>CM</v>
      </c>
    </row>
    <row r="114" ht="7.5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</row>
    <row r="115" ht="18.75" customHeight="1">
      <c r="A115" s="29" t="s">
        <v>793</v>
      </c>
      <c r="B115" s="30" t="s">
        <v>794</v>
      </c>
      <c r="C115" s="20"/>
      <c r="D115" s="29" t="s">
        <v>795</v>
      </c>
      <c r="E115" s="30" t="s">
        <v>796</v>
      </c>
      <c r="F115" s="20"/>
      <c r="G115" s="29" t="s">
        <v>797</v>
      </c>
      <c r="H115" s="30" t="s">
        <v>798</v>
      </c>
      <c r="I115" s="20"/>
      <c r="J115" s="29" t="s">
        <v>799</v>
      </c>
      <c r="K115" s="30" t="s">
        <v>800</v>
      </c>
      <c r="L115" s="20"/>
      <c r="M115" s="29" t="s">
        <v>801</v>
      </c>
      <c r="N115" s="30" t="s">
        <v>802</v>
      </c>
      <c r="O115" s="20"/>
    </row>
    <row r="116" ht="180.0" customHeight="1">
      <c r="A116" s="32" t="str">
        <f>IMAGE("https://assets.tcgdex.net/de/sv/svp/068/low.jpg", 1)</f>
        <v/>
      </c>
      <c r="B116" s="22"/>
      <c r="C116" s="20"/>
      <c r="D116" s="32" t="str">
        <f>IMAGE("https://assets.tcgdex.net/de/sv/svp/069/low.jpg", 1)</f>
        <v/>
      </c>
      <c r="E116" s="22"/>
      <c r="F116" s="20"/>
      <c r="G116" s="32" t="str">
        <f>IMAGE("https://assets.tcgdex.net/de/sv/svp/070/low.jpg", 1)</f>
        <v/>
      </c>
      <c r="H116" s="22"/>
      <c r="I116" s="20"/>
      <c r="J116" s="32" t="str">
        <f>IMAGE("https://assets.tcgdex.net/de/sv/svp/071/low.jpg", 1)</f>
        <v/>
      </c>
      <c r="K116" s="22"/>
      <c r="L116" s="20"/>
      <c r="M116" s="32" t="str">
        <f>IMAGE("https://assets.tcgdex.net/de/sv/svp/072/low.jpg", 1)</f>
        <v/>
      </c>
      <c r="N116" s="22"/>
      <c r="O116" s="20"/>
    </row>
    <row r="117" ht="22.5" customHeight="1">
      <c r="A117" s="35" t="b">
        <v>1</v>
      </c>
      <c r="B117" s="35" t="b">
        <v>0</v>
      </c>
      <c r="C117" s="36" t="str">
        <f>HYPERLINK("https://prices.pokemontcg.io/cardmarket/svp-68", "CM")</f>
        <v>CM</v>
      </c>
      <c r="D117" s="35" t="b">
        <v>1</v>
      </c>
      <c r="E117" s="35" t="b">
        <v>0</v>
      </c>
      <c r="F117" s="36" t="str">
        <f>HYPERLINK("https://prices.pokemontcg.io/cardmarket/svp-69", "CM")</f>
        <v>CM</v>
      </c>
      <c r="G117" s="35" t="b">
        <v>1</v>
      </c>
      <c r="H117" s="35" t="b">
        <v>0</v>
      </c>
      <c r="I117" s="36" t="str">
        <f>HYPERLINK("https://prices.pokemontcg.io/cardmarket/svp-70", "CM")</f>
        <v>CM</v>
      </c>
      <c r="J117" s="35" t="b">
        <v>1</v>
      </c>
      <c r="K117" s="35" t="b">
        <v>0</v>
      </c>
      <c r="L117" s="36" t="str">
        <f>HYPERLINK("https://prices.pokemontcg.io/cardmarket/svp-71", "CM")</f>
        <v>CM</v>
      </c>
      <c r="M117" s="35" t="b">
        <v>1</v>
      </c>
      <c r="N117" s="35" t="b">
        <v>0</v>
      </c>
      <c r="O117" s="36" t="str">
        <f>HYPERLINK("https://prices.pokemontcg.io/cardmarket/svp-72", "CM")</f>
        <v>CM</v>
      </c>
    </row>
    <row r="118" ht="7.5" customHeigh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</row>
    <row r="119" ht="18.75" customHeight="1">
      <c r="A119" s="29" t="s">
        <v>803</v>
      </c>
      <c r="B119" s="30" t="s">
        <v>804</v>
      </c>
      <c r="C119" s="20"/>
      <c r="D119" s="29" t="s">
        <v>805</v>
      </c>
      <c r="E119" s="30" t="s">
        <v>783</v>
      </c>
      <c r="F119" s="20"/>
      <c r="G119" s="29" t="s">
        <v>806</v>
      </c>
      <c r="H119" s="30" t="s">
        <v>807</v>
      </c>
      <c r="I119" s="20"/>
      <c r="J119" s="29" t="s">
        <v>808</v>
      </c>
      <c r="K119" s="30" t="s">
        <v>737</v>
      </c>
      <c r="L119" s="20"/>
      <c r="M119" s="29" t="s">
        <v>809</v>
      </c>
      <c r="N119" s="30" t="s">
        <v>810</v>
      </c>
      <c r="O119" s="20"/>
    </row>
    <row r="120" ht="180.0" customHeight="1">
      <c r="A120" s="32" t="str">
        <f>IMAGE("https://assets.tcgdex.net/de/sv/svp/073/low.jpg", 1)</f>
        <v/>
      </c>
      <c r="B120" s="22"/>
      <c r="C120" s="20"/>
      <c r="D120" s="32" t="str">
        <f>IMAGE("https://assets.tcgdex.net/de/sv/svp/074/low.jpg", 1)</f>
        <v/>
      </c>
      <c r="E120" s="22"/>
      <c r="F120" s="20"/>
      <c r="G120" s="32" t="str">
        <f>IMAGE("https://assets.tcgdex.net/de/sv/svp/075/low.jpg", 1)</f>
        <v/>
      </c>
      <c r="H120" s="22"/>
      <c r="I120" s="20"/>
      <c r="J120" s="32" t="str">
        <f>IMAGE("https://assets.tcgdex.net/de/sv/svp/076/low.jpg", 1)</f>
        <v/>
      </c>
      <c r="K120" s="22"/>
      <c r="L120" s="20"/>
      <c r="M120" s="32" t="str">
        <f>IMAGE("https://assets.tcgdex.net/de/sv/svp/077/low.jpg", 1)</f>
        <v/>
      </c>
      <c r="N120" s="22"/>
      <c r="O120" s="20"/>
    </row>
    <row r="121" ht="22.5" customHeight="1">
      <c r="A121" s="35" t="b">
        <v>1</v>
      </c>
      <c r="B121" s="35" t="b">
        <v>0</v>
      </c>
      <c r="C121" s="36" t="str">
        <f>HYPERLINK("https://prices.pokemontcg.io/cardmarket/svp-73", "CM")</f>
        <v>CM</v>
      </c>
      <c r="D121" s="35" t="b">
        <v>1</v>
      </c>
      <c r="E121" s="35" t="b">
        <v>0</v>
      </c>
      <c r="F121" s="36" t="str">
        <f>HYPERLINK("https://prices.pokemontcg.io/cardmarket/svp-74", "CM")</f>
        <v>CM</v>
      </c>
      <c r="G121" s="35" t="b">
        <v>1</v>
      </c>
      <c r="H121" s="35" t="b">
        <v>0</v>
      </c>
      <c r="I121" s="36" t="str">
        <f>HYPERLINK("https://prices.pokemontcg.io/cardmarket/svp-75", "CM")</f>
        <v>CM</v>
      </c>
      <c r="J121" s="35" t="b">
        <v>1</v>
      </c>
      <c r="K121" s="35" t="b">
        <v>0</v>
      </c>
      <c r="L121" s="36" t="str">
        <f>HYPERLINK("https://prices.pokemontcg.io/cardmarket/svp-76", "CM")</f>
        <v>CM</v>
      </c>
      <c r="M121" s="35" t="b">
        <v>1</v>
      </c>
      <c r="N121" s="35" t="b">
        <v>0</v>
      </c>
      <c r="O121" s="36" t="str">
        <f>HYPERLINK("https://prices.pokemontcg.io/cardmarket/svp-77", "CM")</f>
        <v>CM</v>
      </c>
    </row>
    <row r="122" ht="7.5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</row>
    <row r="123" ht="18.75" customHeight="1">
      <c r="A123" s="29" t="s">
        <v>811</v>
      </c>
      <c r="B123" s="30" t="s">
        <v>562</v>
      </c>
      <c r="C123" s="20"/>
      <c r="D123" s="29" t="s">
        <v>812</v>
      </c>
      <c r="E123" s="30" t="s">
        <v>570</v>
      </c>
      <c r="F123" s="20"/>
      <c r="G123" s="29" t="s">
        <v>813</v>
      </c>
      <c r="H123" s="30" t="s">
        <v>814</v>
      </c>
      <c r="I123" s="20"/>
      <c r="J123" s="29" t="s">
        <v>815</v>
      </c>
      <c r="K123" s="30" t="s">
        <v>816</v>
      </c>
      <c r="L123" s="20"/>
      <c r="M123" s="29" t="s">
        <v>817</v>
      </c>
      <c r="N123" s="30" t="s">
        <v>818</v>
      </c>
      <c r="O123" s="20"/>
    </row>
    <row r="124" ht="180.0" customHeight="1">
      <c r="A124" s="32" t="str">
        <f>IMAGE("https://assets.tcgdex.net/de/sv/svp/078/low.jpg", 1)</f>
        <v/>
      </c>
      <c r="B124" s="22"/>
      <c r="C124" s="20"/>
      <c r="D124" s="32" t="str">
        <f>IMAGE("https://assets.tcgdex.net/de/sv/svp/095/low.jpg", 1)</f>
        <v/>
      </c>
      <c r="E124" s="22"/>
      <c r="F124" s="20"/>
      <c r="G124" s="32" t="str">
        <f>IMAGE("https://assets.tcgdex.net/de/sv/svp/096/low.jpg", 1)</f>
        <v/>
      </c>
      <c r="H124" s="22"/>
      <c r="I124" s="20"/>
      <c r="J124" s="32" t="str">
        <f>IMAGE("https://assets.tcgdex.net/de/sv/svp/097/low.jpg", 1)</f>
        <v/>
      </c>
      <c r="K124" s="22"/>
      <c r="L124" s="20"/>
      <c r="M124" s="32" t="str">
        <f>IMAGE("https://assets.tcgdex.net/de/sv/svp/098/low.jpg", 1)</f>
        <v/>
      </c>
      <c r="N124" s="22"/>
      <c r="O124" s="20"/>
    </row>
    <row r="125" ht="22.5" customHeight="1">
      <c r="A125" s="35" t="b">
        <v>1</v>
      </c>
      <c r="B125" s="35" t="b">
        <v>0</v>
      </c>
      <c r="C125" s="36" t="str">
        <f>HYPERLINK("https://prices.pokemontcg.io/cardmarket/svp-78", "CM")</f>
        <v>CM</v>
      </c>
      <c r="D125" s="35" t="b">
        <v>1</v>
      </c>
      <c r="E125" s="35" t="b">
        <v>0</v>
      </c>
      <c r="F125" s="36" t="str">
        <f>HYPERLINK("https://prices.pokemontcg.io/cardmarket/svp-95", "CM")</f>
        <v>CM</v>
      </c>
      <c r="G125" s="35" t="b">
        <v>1</v>
      </c>
      <c r="H125" s="35" t="b">
        <v>0</v>
      </c>
      <c r="I125" s="36" t="str">
        <f>HYPERLINK("https://prices.pokemontcg.io/cardmarket/svp-96", "CM")</f>
        <v>CM</v>
      </c>
      <c r="J125" s="35" t="b">
        <v>1</v>
      </c>
      <c r="K125" s="35" t="b">
        <v>0</v>
      </c>
      <c r="L125" s="36" t="str">
        <f>HYPERLINK("https://prices.pokemontcg.io/cardmarket/svp-97", "CM")</f>
        <v>CM</v>
      </c>
      <c r="M125" s="35" t="b">
        <v>1</v>
      </c>
      <c r="N125" s="35" t="b">
        <v>0</v>
      </c>
      <c r="O125" s="36" t="str">
        <f>HYPERLINK("https://prices.pokemontcg.io/cardmarket/svp-98", "CM")</f>
        <v>CM</v>
      </c>
    </row>
    <row r="126" ht="7.5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</row>
    <row r="127" ht="18.75" customHeight="1">
      <c r="A127" s="29" t="s">
        <v>819</v>
      </c>
      <c r="B127" s="30" t="s">
        <v>820</v>
      </c>
      <c r="C127" s="20"/>
      <c r="D127" s="29" t="s">
        <v>821</v>
      </c>
      <c r="E127" s="30" t="s">
        <v>822</v>
      </c>
      <c r="F127" s="20"/>
      <c r="G127" s="29" t="s">
        <v>823</v>
      </c>
      <c r="H127" s="30" t="s">
        <v>824</v>
      </c>
      <c r="I127" s="20"/>
      <c r="J127" s="29" t="s">
        <v>825</v>
      </c>
      <c r="K127" s="30" t="s">
        <v>826</v>
      </c>
      <c r="L127" s="20"/>
      <c r="M127" s="29" t="s">
        <v>827</v>
      </c>
      <c r="N127" s="30" t="s">
        <v>828</v>
      </c>
      <c r="O127" s="20"/>
    </row>
    <row r="128" ht="180.0" customHeight="1">
      <c r="A128" s="32" t="str">
        <f>IMAGE("https://assets.tcgdex.net/de/sv/svp/099/low.jpg", 1)</f>
        <v/>
      </c>
      <c r="B128" s="22"/>
      <c r="C128" s="20"/>
      <c r="D128" s="32" t="str">
        <f>IMAGE("https://assets.tcgdex.net/de/sv/svp/100/low.jpg", 1)</f>
        <v/>
      </c>
      <c r="E128" s="22"/>
      <c r="F128" s="20"/>
      <c r="G128" s="32" t="str">
        <f>IMAGE("https://assets.tcgdex.net/de/sv/svp/114/low.jpg", 1)</f>
        <v/>
      </c>
      <c r="H128" s="22"/>
      <c r="I128" s="20"/>
      <c r="J128" s="32" t="str">
        <f>IMAGE("https://assets.tcgdex.net/de/sv/svp/116/low.jpg", 1)</f>
        <v/>
      </c>
      <c r="K128" s="22"/>
      <c r="L128" s="20"/>
      <c r="M128" s="32" t="str">
        <f>IMAGE("https://assets.tcgdex.net/de/sv/svp/118/low.jpg", 1)</f>
        <v/>
      </c>
      <c r="N128" s="22"/>
      <c r="O128" s="20"/>
    </row>
    <row r="129" ht="22.5" customHeight="1">
      <c r="A129" s="35" t="b">
        <v>1</v>
      </c>
      <c r="B129" s="35" t="b">
        <v>0</v>
      </c>
      <c r="C129" s="36" t="str">
        <f>HYPERLINK("https://prices.pokemontcg.io/cardmarket/svp-99", "CM")</f>
        <v>CM</v>
      </c>
      <c r="D129" s="35" t="b">
        <v>1</v>
      </c>
      <c r="E129" s="35" t="b">
        <v>0</v>
      </c>
      <c r="F129" s="36" t="str">
        <f>HYPERLINK("https://prices.pokemontcg.io/cardmarket/svp-100", "CM")</f>
        <v>CM</v>
      </c>
      <c r="G129" s="35" t="b">
        <v>1</v>
      </c>
      <c r="H129" s="35" t="b">
        <v>0</v>
      </c>
      <c r="I129" s="36" t="str">
        <f>HYPERLINK("https://prices.pokemontcg.io/cardmarket/svp-114", "CM")</f>
        <v>CM</v>
      </c>
      <c r="J129" s="35" t="b">
        <v>1</v>
      </c>
      <c r="K129" s="35" t="b">
        <v>0</v>
      </c>
      <c r="L129" s="36" t="str">
        <f>HYPERLINK("https://prices.pokemontcg.io/cardmarket/svp-116", "CM")</f>
        <v>CM</v>
      </c>
      <c r="M129" s="35" t="b">
        <v>1</v>
      </c>
      <c r="N129" s="35" t="b">
        <v>0</v>
      </c>
      <c r="O129" s="36" t="str">
        <f>HYPERLINK("https://prices.pokemontcg.io/cardmarket/svp-118", "CM")</f>
        <v>CM</v>
      </c>
    </row>
    <row r="130" ht="7.5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</row>
    <row r="131" ht="18.75" customHeight="1">
      <c r="A131" s="29" t="s">
        <v>829</v>
      </c>
      <c r="B131" s="30" t="s">
        <v>532</v>
      </c>
      <c r="C131" s="20"/>
      <c r="D131" s="29" t="s">
        <v>830</v>
      </c>
      <c r="E131" s="30" t="s">
        <v>777</v>
      </c>
      <c r="F131" s="20"/>
      <c r="G131" s="29" t="s">
        <v>831</v>
      </c>
      <c r="H131" s="30" t="s">
        <v>832</v>
      </c>
      <c r="I131" s="20"/>
      <c r="J131" s="29" t="s">
        <v>833</v>
      </c>
      <c r="K131" s="30" t="s">
        <v>834</v>
      </c>
      <c r="L131" s="20"/>
      <c r="M131" s="29" t="s">
        <v>835</v>
      </c>
      <c r="N131" s="30" t="s">
        <v>836</v>
      </c>
      <c r="O131" s="20"/>
    </row>
    <row r="132" ht="180.0" customHeight="1">
      <c r="A132" s="32" t="str">
        <f>IMAGE("https://assets.tcgdex.net/de/sv/svp/121/low.jpg", 1)</f>
        <v/>
      </c>
      <c r="B132" s="22"/>
      <c r="C132" s="20"/>
      <c r="D132" s="32" t="str">
        <f>IMAGE("https://assets.tcgdex.net/de/sv/svp/122/low.jpg", 1)</f>
        <v/>
      </c>
      <c r="E132" s="22"/>
      <c r="F132" s="20"/>
      <c r="G132" s="32" t="str">
        <f>IMAGE("https://assets.tcgdex.net/de/sv/svp/123/low.jpg", 1)</f>
        <v/>
      </c>
      <c r="H132" s="22"/>
      <c r="I132" s="20"/>
      <c r="J132" s="32" t="str">
        <f>IMAGE("https://assets.tcgdex.net/de/sv/svp/124/low.jpg", 1)</f>
        <v/>
      </c>
      <c r="K132" s="22"/>
      <c r="L132" s="20"/>
      <c r="M132" s="32" t="str">
        <f>IMAGE("https://assets.tcgdex.net/de/sv/svp/126/low.jpg", 1)</f>
        <v/>
      </c>
      <c r="N132" s="22"/>
      <c r="O132" s="20"/>
    </row>
    <row r="133" ht="22.5" customHeight="1">
      <c r="A133" s="35" t="b">
        <v>1</v>
      </c>
      <c r="B133" s="35" t="b">
        <v>0</v>
      </c>
      <c r="C133" s="36" t="str">
        <f>HYPERLINK("https://prices.pokemontcg.io/cardmarket/svp-121", "CM")</f>
        <v>CM</v>
      </c>
      <c r="D133" s="35" t="b">
        <v>1</v>
      </c>
      <c r="E133" s="35" t="b">
        <v>0</v>
      </c>
      <c r="F133" s="36" t="str">
        <f>HYPERLINK("https://prices.pokemontcg.io/cardmarket/svp-122", "CM")</f>
        <v>CM</v>
      </c>
      <c r="G133" s="35" t="b">
        <v>1</v>
      </c>
      <c r="H133" s="35" t="b">
        <v>0</v>
      </c>
      <c r="I133" s="36" t="str">
        <f>HYPERLINK("https://prices.pokemontcg.io/cardmarket/svp-123", "CM")</f>
        <v>CM</v>
      </c>
      <c r="J133" s="35" t="b">
        <v>1</v>
      </c>
      <c r="K133" s="35" t="b">
        <v>0</v>
      </c>
      <c r="L133" s="36" t="str">
        <f>HYPERLINK("https://prices.pokemontcg.io/cardmarket/svp-124", "CM")</f>
        <v>CM</v>
      </c>
      <c r="M133" s="35" t="b">
        <v>1</v>
      </c>
      <c r="N133" s="35" t="b">
        <v>0</v>
      </c>
      <c r="O133" s="36" t="str">
        <f>HYPERLINK("https://prices.pokemontcg.io/cardmarket/svp-126", "CM")</f>
        <v>CM</v>
      </c>
    </row>
    <row r="134" ht="7.5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</row>
    <row r="135" ht="18.75" customHeight="1">
      <c r="A135" s="29" t="s">
        <v>837</v>
      </c>
      <c r="B135" s="30" t="s">
        <v>838</v>
      </c>
      <c r="C135" s="20"/>
      <c r="D135" s="29" t="s">
        <v>839</v>
      </c>
      <c r="E135" s="30" t="s">
        <v>840</v>
      </c>
      <c r="F135" s="20"/>
      <c r="G135" s="29" t="s">
        <v>841</v>
      </c>
      <c r="H135" s="30" t="s">
        <v>652</v>
      </c>
      <c r="I135" s="20"/>
      <c r="J135" s="29" t="s">
        <v>842</v>
      </c>
      <c r="K135" s="30" t="s">
        <v>843</v>
      </c>
      <c r="L135" s="20"/>
      <c r="M135" s="29" t="s">
        <v>844</v>
      </c>
      <c r="N135" s="30" t="s">
        <v>584</v>
      </c>
      <c r="O135" s="20"/>
    </row>
    <row r="136" ht="180.0" customHeight="1">
      <c r="A136" s="32" t="str">
        <f>IMAGE("https://assets.tcgdex.net/de/sv/svp/128/low.jpg", 1)</f>
        <v/>
      </c>
      <c r="B136" s="22"/>
      <c r="C136" s="20"/>
      <c r="D136" s="32" t="str">
        <f>IMAGE("https://assets.tcgdex.net/de/sv/svp/129/low.jpg", 1)</f>
        <v/>
      </c>
      <c r="E136" s="22"/>
      <c r="F136" s="20"/>
      <c r="G136" s="32" t="str">
        <f>IMAGE("https://assets.tcgdex.net/de/sv/svp/130/low.jpg", 1)</f>
        <v/>
      </c>
      <c r="H136" s="22"/>
      <c r="I136" s="20"/>
      <c r="J136" s="32" t="str">
        <f>IMAGE("https://assets.tcgdex.net/de/sv/svp/131/low.jpg", 1)</f>
        <v/>
      </c>
      <c r="K136" s="22"/>
      <c r="L136" s="20"/>
      <c r="M136" s="32" t="str">
        <f>IMAGE("https://assets.tcgdex.net/de/sv/svp/132/low.jpg", 1)</f>
        <v/>
      </c>
      <c r="N136" s="22"/>
      <c r="O136" s="20"/>
    </row>
    <row r="137" ht="22.5" customHeight="1">
      <c r="A137" s="35" t="b">
        <v>1</v>
      </c>
      <c r="B137" s="35" t="b">
        <v>0</v>
      </c>
      <c r="C137" s="36" t="str">
        <f>HYPERLINK("https://prices.pokemontcg.io/cardmarket/svp-128", "CM")</f>
        <v>CM</v>
      </c>
      <c r="D137" s="35" t="b">
        <v>1</v>
      </c>
      <c r="E137" s="35" t="b">
        <v>0</v>
      </c>
      <c r="F137" s="36" t="str">
        <f>HYPERLINK("https://prices.pokemontcg.io/cardmarket/svp-129", "CM")</f>
        <v>CM</v>
      </c>
      <c r="G137" s="35" t="b">
        <v>1</v>
      </c>
      <c r="H137" s="35" t="b">
        <v>0</v>
      </c>
      <c r="I137" s="36" t="str">
        <f>HYPERLINK("https://prices.pokemontcg.io/cardmarket/svp-130", "CM")</f>
        <v>CM</v>
      </c>
      <c r="J137" s="35" t="b">
        <v>1</v>
      </c>
      <c r="K137" s="35" t="b">
        <v>0</v>
      </c>
      <c r="L137" s="36" t="str">
        <f>HYPERLINK("https://prices.pokemontcg.io/cardmarket/svp-131", "CM")</f>
        <v>CM</v>
      </c>
      <c r="M137" s="35" t="b">
        <v>1</v>
      </c>
      <c r="N137" s="35" t="b">
        <v>0</v>
      </c>
      <c r="O137" s="36" t="str">
        <f>HYPERLINK("https://prices.pokemontcg.io/cardmarket/svp-132", "CM")</f>
        <v>CM</v>
      </c>
    </row>
    <row r="138" ht="7.5" customHeight="1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</row>
    <row r="139" ht="18.75" customHeight="1">
      <c r="A139" s="29" t="s">
        <v>845</v>
      </c>
      <c r="B139" s="30" t="s">
        <v>846</v>
      </c>
      <c r="C139" s="20"/>
      <c r="D139" s="29" t="s">
        <v>847</v>
      </c>
      <c r="E139" s="30" t="s">
        <v>542</v>
      </c>
      <c r="F139" s="20"/>
      <c r="G139" s="29" t="s">
        <v>848</v>
      </c>
      <c r="H139" s="30" t="s">
        <v>849</v>
      </c>
      <c r="I139" s="20"/>
      <c r="J139" s="29" t="s">
        <v>850</v>
      </c>
      <c r="K139" s="30" t="s">
        <v>851</v>
      </c>
      <c r="L139" s="20"/>
      <c r="M139" s="29" t="s">
        <v>852</v>
      </c>
      <c r="N139" s="30" t="s">
        <v>840</v>
      </c>
      <c r="O139" s="20"/>
    </row>
    <row r="140" ht="180.0" customHeight="1">
      <c r="A140" s="32" t="str">
        <f>IMAGE("https://assets.tcgdex.net/de/sv/svp/135/low.jpg", 1)</f>
        <v/>
      </c>
      <c r="B140" s="22"/>
      <c r="C140" s="20"/>
      <c r="D140" s="32" t="str">
        <f>IMAGE("https://assets.tcgdex.net/de/sv/svp/140/low.jpg", 1)</f>
        <v/>
      </c>
      <c r="E140" s="22"/>
      <c r="F140" s="20"/>
      <c r="G140" s="32" t="str">
        <f>IMAGE("https://assets.tcgdex.net/de/sv/svp/141/low.jpg", 1)</f>
        <v/>
      </c>
      <c r="H140" s="22"/>
      <c r="I140" s="20"/>
      <c r="J140" s="32" t="str">
        <f>IMAGE("https://assets.tcgdex.net/de/sv/svp/145/low.jpg", 1)</f>
        <v/>
      </c>
      <c r="K140" s="22"/>
      <c r="L140" s="20"/>
      <c r="M140" s="32" t="str">
        <f>IMAGE("https://assets.tcgdex.net/de/sv/svp/149/low.jpg", 1)</f>
        <v/>
      </c>
      <c r="N140" s="22"/>
      <c r="O140" s="20"/>
    </row>
    <row r="141" ht="22.5" customHeight="1">
      <c r="A141" s="35" t="b">
        <v>1</v>
      </c>
      <c r="B141" s="35" t="b">
        <v>0</v>
      </c>
      <c r="C141" s="36" t="str">
        <f>HYPERLINK("https://prices.pokemontcg.io/cardmarket/svp-135", "CM")</f>
        <v>CM</v>
      </c>
      <c r="D141" s="35" t="b">
        <v>1</v>
      </c>
      <c r="E141" s="35" t="b">
        <v>0</v>
      </c>
      <c r="F141" s="36" t="str">
        <f>HYPERLINK("https://prices.pokemontcg.io/cardmarket/svp-140", "CM")</f>
        <v>CM</v>
      </c>
      <c r="G141" s="35" t="b">
        <v>1</v>
      </c>
      <c r="H141" s="35" t="b">
        <v>0</v>
      </c>
      <c r="I141" s="36" t="str">
        <f>HYPERLINK("https://prices.pokemontcg.io/cardmarket/svp-141", "CM")</f>
        <v>CM</v>
      </c>
      <c r="J141" s="35" t="b">
        <v>1</v>
      </c>
      <c r="K141" s="35" t="b">
        <v>0</v>
      </c>
      <c r="L141" s="36" t="str">
        <f>HYPERLINK("https://prices.pokemontcg.io/cardmarket/svp-145", "CM")</f>
        <v>CM</v>
      </c>
      <c r="M141" s="35" t="b">
        <v>1</v>
      </c>
      <c r="N141" s="35" t="b">
        <v>0</v>
      </c>
      <c r="O141" s="36" t="str">
        <f>HYPERLINK("https://prices.pokemontcg.io/cardmarket/svp-149", "CM")</f>
        <v>CM</v>
      </c>
    </row>
    <row r="142" ht="7.5" customHeight="1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</row>
    <row r="143" ht="18.75" customHeight="1">
      <c r="A143" s="29" t="s">
        <v>853</v>
      </c>
      <c r="B143" s="30" t="s">
        <v>854</v>
      </c>
      <c r="C143" s="20"/>
      <c r="D143" s="29" t="s">
        <v>855</v>
      </c>
      <c r="E143" s="30" t="s">
        <v>856</v>
      </c>
      <c r="F143" s="20"/>
      <c r="G143" s="29" t="s">
        <v>857</v>
      </c>
      <c r="H143" s="30" t="s">
        <v>858</v>
      </c>
      <c r="I143" s="20"/>
      <c r="J143" s="29" t="s">
        <v>859</v>
      </c>
      <c r="K143" s="30" t="s">
        <v>860</v>
      </c>
      <c r="L143" s="20"/>
      <c r="M143" s="29" t="s">
        <v>861</v>
      </c>
      <c r="N143" s="30" t="s">
        <v>688</v>
      </c>
      <c r="O143" s="20"/>
    </row>
    <row r="144" ht="180.0" customHeight="1">
      <c r="A144" s="32" t="str">
        <f>IMAGE("https://assets.tcgdex.net/de/sv/svp/151/low.jpg", 1)</f>
        <v/>
      </c>
      <c r="B144" s="22"/>
      <c r="C144" s="20"/>
      <c r="D144" s="32" t="str">
        <f>IMAGE("https://assets.tcgdex.net/de/sv/svp/152/low.jpg", 1)</f>
        <v/>
      </c>
      <c r="E144" s="22"/>
      <c r="F144" s="20"/>
      <c r="G144" s="32" t="str">
        <f>IMAGE("https://assets.tcgdex.net/de/sv/svp/156/low.jpg", 1)</f>
        <v/>
      </c>
      <c r="H144" s="22"/>
      <c r="I144" s="20"/>
      <c r="J144" s="32" t="str">
        <f>IMAGE("https://assets.tcgdex.net/de/sv/svp/157/low.jpg", 1)</f>
        <v/>
      </c>
      <c r="K144" s="22"/>
      <c r="L144" s="20"/>
      <c r="M144" s="32" t="str">
        <f>IMAGE("https://assets.tcgdex.net/de/sv/svp/159/low.jpg", 1)</f>
        <v/>
      </c>
      <c r="N144" s="22"/>
      <c r="O144" s="20"/>
    </row>
    <row r="145" ht="22.5" customHeight="1">
      <c r="A145" s="35" t="b">
        <v>1</v>
      </c>
      <c r="B145" s="35" t="b">
        <v>0</v>
      </c>
      <c r="C145" s="36" t="str">
        <f>HYPERLINK("https://prices.pokemontcg.io/cardmarket/svp-151", "CM")</f>
        <v>CM</v>
      </c>
      <c r="D145" s="35" t="b">
        <v>1</v>
      </c>
      <c r="E145" s="35" t="b">
        <v>0</v>
      </c>
      <c r="F145" s="36" t="str">
        <f>HYPERLINK("https://prices.pokemontcg.io/cardmarket/svp-152", "CM")</f>
        <v>CM</v>
      </c>
      <c r="G145" s="35" t="b">
        <v>1</v>
      </c>
      <c r="H145" s="35" t="b">
        <v>0</v>
      </c>
      <c r="I145" s="36" t="str">
        <f>HYPERLINK("https://prices.pokemontcg.io/cardmarket/svp-156", "CM")</f>
        <v>CM</v>
      </c>
      <c r="J145" s="35" t="b">
        <v>1</v>
      </c>
      <c r="K145" s="35" t="b">
        <v>0</v>
      </c>
      <c r="L145" s="36" t="str">
        <f>HYPERLINK("https://prices.pokemontcg.io/cardmarket/svp-157", "CM")</f>
        <v>CM</v>
      </c>
      <c r="M145" s="35" t="b">
        <v>1</v>
      </c>
      <c r="N145" s="35" t="b">
        <v>0</v>
      </c>
      <c r="O145" s="36" t="str">
        <f>HYPERLINK("https://prices.pokemontcg.io/cardmarket/svp-159", "CM")</f>
        <v>CM</v>
      </c>
    </row>
    <row r="146" ht="7.5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</row>
    <row r="147" ht="18.75" customHeight="1">
      <c r="A147" s="29" t="s">
        <v>862</v>
      </c>
      <c r="B147" s="30" t="s">
        <v>783</v>
      </c>
      <c r="C147" s="20"/>
      <c r="D147" s="29" t="s">
        <v>863</v>
      </c>
      <c r="E147" s="30" t="s">
        <v>864</v>
      </c>
      <c r="F147" s="20"/>
      <c r="G147" s="29" t="s">
        <v>865</v>
      </c>
      <c r="H147" s="30" t="s">
        <v>866</v>
      </c>
      <c r="I147" s="20"/>
      <c r="J147" s="29" t="s">
        <v>867</v>
      </c>
      <c r="K147" s="30" t="s">
        <v>868</v>
      </c>
      <c r="L147" s="20"/>
      <c r="M147" s="29" t="s">
        <v>869</v>
      </c>
      <c r="N147" s="30" t="s">
        <v>870</v>
      </c>
      <c r="O147" s="20"/>
    </row>
    <row r="148" ht="180.0" customHeight="1">
      <c r="A148" s="32" t="str">
        <f>IMAGE("https://assets.tcgdex.net/de/sv/svp/161/low.jpg", 1)</f>
        <v/>
      </c>
      <c r="B148" s="22"/>
      <c r="C148" s="20"/>
      <c r="D148" s="32" t="str">
        <f>IMAGE("https://assets.tcgdex.net/de/sv/svp/163/low.jpg", 1)</f>
        <v/>
      </c>
      <c r="E148" s="22"/>
      <c r="F148" s="20"/>
      <c r="G148" s="32" t="str">
        <f>IMAGE("https://assets.tcgdex.net/de/sv/svp/164/low.jpg", 1)</f>
        <v/>
      </c>
      <c r="H148" s="22"/>
      <c r="I148" s="20"/>
      <c r="J148" s="32" t="str">
        <f>IMAGE("https://assets.tcgdex.net/de/sv/svp/165/low.jpg", 1)</f>
        <v/>
      </c>
      <c r="K148" s="22"/>
      <c r="L148" s="20"/>
      <c r="M148" s="32" t="str">
        <f>IMAGE("https://assets.tcgdex.net/de/sv/svp/166/low.jpg", 1)</f>
        <v/>
      </c>
      <c r="N148" s="22"/>
      <c r="O148" s="20"/>
    </row>
    <row r="149" ht="22.5" customHeight="1">
      <c r="A149" s="35" t="b">
        <v>1</v>
      </c>
      <c r="B149" s="35" t="b">
        <v>0</v>
      </c>
      <c r="C149" s="36" t="str">
        <f>HYPERLINK("https://prices.pokemontcg.io/cardmarket/svp-161", "CM")</f>
        <v>CM</v>
      </c>
      <c r="D149" s="35" t="b">
        <v>1</v>
      </c>
      <c r="E149" s="35" t="b">
        <v>0</v>
      </c>
      <c r="F149" s="36" t="str">
        <f>HYPERLINK("https://prices.pokemontcg.io/cardmarket/svp-163", "CM")</f>
        <v>CM</v>
      </c>
      <c r="G149" s="35" t="b">
        <v>1</v>
      </c>
      <c r="H149" s="35" t="b">
        <v>0</v>
      </c>
      <c r="I149" s="36" t="str">
        <f>HYPERLINK("https://prices.pokemontcg.io/cardmarket/svp-164", "CM")</f>
        <v>CM</v>
      </c>
      <c r="J149" s="35" t="b">
        <v>1</v>
      </c>
      <c r="K149" s="35" t="b">
        <v>0</v>
      </c>
      <c r="L149" s="36" t="str">
        <f>HYPERLINK("https://prices.pokemontcg.io/cardmarket/svp-165", "CM")</f>
        <v>CM</v>
      </c>
      <c r="M149" s="35" t="b">
        <v>1</v>
      </c>
      <c r="N149" s="35" t="b">
        <v>0</v>
      </c>
      <c r="O149" s="36" t="str">
        <f>HYPERLINK("https://prices.pokemontcg.io/cardmarket/svp-166", "CM")</f>
        <v>CM</v>
      </c>
    </row>
    <row r="150" ht="7.5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</row>
    <row r="151" ht="18.75" customHeight="1">
      <c r="A151" s="29" t="s">
        <v>871</v>
      </c>
      <c r="B151" s="30" t="s">
        <v>872</v>
      </c>
      <c r="C151" s="20"/>
      <c r="D151" s="29" t="s">
        <v>873</v>
      </c>
      <c r="E151" s="30" t="s">
        <v>874</v>
      </c>
      <c r="F151" s="20"/>
      <c r="G151" s="29" t="s">
        <v>875</v>
      </c>
      <c r="H151" s="30" t="s">
        <v>876</v>
      </c>
      <c r="I151" s="20"/>
      <c r="J151" s="29" t="s">
        <v>877</v>
      </c>
      <c r="K151" s="30" t="s">
        <v>878</v>
      </c>
      <c r="L151" s="20"/>
      <c r="M151" s="29" t="s">
        <v>879</v>
      </c>
      <c r="N151" s="30" t="s">
        <v>880</v>
      </c>
      <c r="O151" s="20"/>
    </row>
    <row r="152" ht="180.0" customHeight="1">
      <c r="A152" s="32" t="str">
        <f>IMAGE("https://assets.tcgdex.net/de/sv/svp/167/low.jpg", 1)</f>
        <v/>
      </c>
      <c r="B152" s="22"/>
      <c r="C152" s="20"/>
      <c r="D152" s="32" t="str">
        <f>IMAGE("https://assets.tcgdex.net/de/sv/svp/168/low.jpg", 1)</f>
        <v/>
      </c>
      <c r="E152" s="22"/>
      <c r="F152" s="20"/>
      <c r="G152" s="32" t="str">
        <f>IMAGE("https://assets.tcgdex.net/de/sv/svp/169/low.jpg", 1)</f>
        <v/>
      </c>
      <c r="H152" s="22"/>
      <c r="I152" s="20"/>
      <c r="J152" s="32" t="str">
        <f>IMAGE("https://assets.tcgdex.net/de/sv/svp/170/low.jpg", 1)</f>
        <v/>
      </c>
      <c r="K152" s="22"/>
      <c r="L152" s="20"/>
      <c r="M152" s="32" t="str">
        <f>IMAGE("https://assets.tcgdex.net/de/sv/svp/171/low.jpg", 1)</f>
        <v/>
      </c>
      <c r="N152" s="22"/>
      <c r="O152" s="20"/>
    </row>
    <row r="153" ht="22.5" customHeight="1">
      <c r="A153" s="35" t="b">
        <v>1</v>
      </c>
      <c r="B153" s="35" t="b">
        <v>0</v>
      </c>
      <c r="C153" s="36" t="str">
        <f>HYPERLINK("https://prices.pokemontcg.io/cardmarket/svp-167", "CM")</f>
        <v>CM</v>
      </c>
      <c r="D153" s="35" t="b">
        <v>1</v>
      </c>
      <c r="E153" s="35" t="b">
        <v>0</v>
      </c>
      <c r="F153" s="36" t="str">
        <f>HYPERLINK("https://prices.pokemontcg.io/cardmarket/svp-168", "CM")</f>
        <v>CM</v>
      </c>
      <c r="G153" s="35" t="b">
        <v>1</v>
      </c>
      <c r="H153" s="35" t="b">
        <v>0</v>
      </c>
      <c r="I153" s="36" t="str">
        <f>HYPERLINK("https://prices.pokemontcg.io/cardmarket/svp-169", "CM")</f>
        <v>CM</v>
      </c>
      <c r="J153" s="35" t="b">
        <v>1</v>
      </c>
      <c r="K153" s="35" t="b">
        <v>0</v>
      </c>
      <c r="L153" s="36" t="str">
        <f>HYPERLINK("https://prices.pokemontcg.io/cardmarket/svp-170", "CM")</f>
        <v>CM</v>
      </c>
      <c r="M153" s="35" t="b">
        <v>1</v>
      </c>
      <c r="N153" s="35" t="b">
        <v>0</v>
      </c>
      <c r="O153" s="36" t="str">
        <f>HYPERLINK("https://prices.pokemontcg.io/cardmarket/svp-171", "CM")</f>
        <v>CM</v>
      </c>
    </row>
    <row r="154" ht="7.5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</row>
    <row r="155" ht="18.75" customHeight="1">
      <c r="A155" s="29" t="s">
        <v>881</v>
      </c>
      <c r="B155" s="30" t="s">
        <v>882</v>
      </c>
      <c r="C155" s="20"/>
      <c r="D155" s="29" t="s">
        <v>883</v>
      </c>
      <c r="E155" s="30" t="s">
        <v>764</v>
      </c>
      <c r="F155" s="20"/>
      <c r="G155" s="29" t="s">
        <v>884</v>
      </c>
      <c r="H155" s="30" t="s">
        <v>885</v>
      </c>
      <c r="I155" s="20"/>
      <c r="J155" s="29" t="s">
        <v>886</v>
      </c>
      <c r="K155" s="30" t="s">
        <v>887</v>
      </c>
      <c r="L155" s="20"/>
      <c r="M155" s="29" t="s">
        <v>888</v>
      </c>
      <c r="N155" s="30" t="s">
        <v>889</v>
      </c>
      <c r="O155" s="20"/>
    </row>
    <row r="156" ht="180.0" customHeight="1">
      <c r="A156" s="32" t="str">
        <f>IMAGE("https://assets.tcgdex.net/de/sv/svp/172/low.jpg", 1)</f>
        <v/>
      </c>
      <c r="B156" s="22"/>
      <c r="C156" s="20"/>
      <c r="D156" s="32" t="str">
        <f>IMAGE("https://assets.tcgdex.net/de/sv/svp/173/low.jpg", 1)</f>
        <v/>
      </c>
      <c r="E156" s="22"/>
      <c r="F156" s="20"/>
      <c r="G156" s="32" t="str">
        <f>IMAGE("https://assets.tcgdex.net/de/sv/svp/177/low.jpg", 1)</f>
        <v/>
      </c>
      <c r="H156" s="22"/>
      <c r="I156" s="20"/>
      <c r="J156" s="32" t="str">
        <f>IMAGE("https://images.pokemontcg.io/svp/180.png", 1)</f>
        <v/>
      </c>
      <c r="K156" s="22"/>
      <c r="L156" s="20"/>
      <c r="M156" s="32" t="str">
        <f>IMAGE("https://images.pokemontcg.io/svp/181.png", 1)</f>
        <v/>
      </c>
      <c r="N156" s="22"/>
      <c r="O156" s="20"/>
    </row>
    <row r="157" ht="22.5" customHeight="1">
      <c r="A157" s="35" t="b">
        <v>1</v>
      </c>
      <c r="B157" s="35" t="b">
        <v>0</v>
      </c>
      <c r="C157" s="36" t="str">
        <f>HYPERLINK("https://prices.pokemontcg.io/cardmarket/svp-172", "CM")</f>
        <v>CM</v>
      </c>
      <c r="D157" s="35" t="b">
        <v>1</v>
      </c>
      <c r="E157" s="35" t="b">
        <v>0</v>
      </c>
      <c r="F157" s="36" t="str">
        <f>HYPERLINK("https://prices.pokemontcg.io/cardmarket/svp-173", "CM")</f>
        <v>CM</v>
      </c>
      <c r="G157" s="35" t="b">
        <v>1</v>
      </c>
      <c r="H157" s="35" t="b">
        <v>0</v>
      </c>
      <c r="I157" s="36" t="str">
        <f>HYPERLINK("https://prices.pokemontcg.io/cardmarket/svp-177", "CM")</f>
        <v>CM</v>
      </c>
      <c r="J157" s="35" t="b">
        <v>1</v>
      </c>
      <c r="K157" s="35" t="b">
        <v>0</v>
      </c>
      <c r="L157" s="36" t="str">
        <f>HYPERLINK("https://prices.pokemontcg.io/cardmarket/svp-180", "CM")</f>
        <v>CM</v>
      </c>
      <c r="M157" s="35" t="b">
        <v>1</v>
      </c>
      <c r="N157" s="35" t="b">
        <v>0</v>
      </c>
      <c r="O157" s="36" t="str">
        <f>HYPERLINK("https://prices.pokemontcg.io/cardmarket/svp-181", "CM")</f>
        <v>CM</v>
      </c>
    </row>
    <row r="158" ht="7.5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</row>
    <row r="159" ht="18.75" customHeight="1">
      <c r="A159" s="29" t="s">
        <v>890</v>
      </c>
      <c r="B159" s="30" t="s">
        <v>891</v>
      </c>
      <c r="C159" s="20"/>
      <c r="D159" s="29" t="s">
        <v>892</v>
      </c>
      <c r="E159" s="30" t="s">
        <v>893</v>
      </c>
      <c r="F159" s="20"/>
      <c r="G159" s="29" t="s">
        <v>894</v>
      </c>
      <c r="H159" s="30" t="s">
        <v>895</v>
      </c>
      <c r="I159" s="20"/>
      <c r="J159" s="29" t="s">
        <v>896</v>
      </c>
      <c r="K159" s="30" t="s">
        <v>897</v>
      </c>
      <c r="L159" s="20"/>
      <c r="M159" s="29" t="s">
        <v>898</v>
      </c>
      <c r="N159" s="30" t="s">
        <v>899</v>
      </c>
      <c r="O159" s="20"/>
    </row>
    <row r="160" ht="180.0" customHeight="1">
      <c r="A160" s="32" t="str">
        <f>IMAGE("https://images.pokemontcg.io/svp/183.png", 1)</f>
        <v/>
      </c>
      <c r="B160" s="22"/>
      <c r="C160" s="20"/>
      <c r="D160" s="32" t="str">
        <f>IMAGE("https://images.pokemontcg.io/svp/187.png", 1)</f>
        <v/>
      </c>
      <c r="E160" s="22"/>
      <c r="F160" s="20"/>
      <c r="G160" s="32" t="str">
        <f>IMAGE("https://images.pokemontcg.io/svp/188.png", 1)</f>
        <v/>
      </c>
      <c r="H160" s="22"/>
      <c r="I160" s="20"/>
      <c r="J160" s="32" t="str">
        <f>IMAGE("https://images.pokemontcg.io/svp/189.png", 1)</f>
        <v/>
      </c>
      <c r="K160" s="22"/>
      <c r="L160" s="20"/>
      <c r="M160" s="32" t="str">
        <f>IMAGE("https://images.pokemontcg.io/svp/193.png", 1)</f>
        <v/>
      </c>
      <c r="N160" s="22"/>
      <c r="O160" s="20"/>
    </row>
    <row r="161" ht="22.5" customHeight="1">
      <c r="A161" s="35" t="b">
        <v>1</v>
      </c>
      <c r="B161" s="35" t="b">
        <v>0</v>
      </c>
      <c r="C161" s="36" t="str">
        <f>HYPERLINK("https://prices.pokemontcg.io/cardmarket/svp-183", "CM")</f>
        <v>CM</v>
      </c>
      <c r="D161" s="35" t="b">
        <v>1</v>
      </c>
      <c r="E161" s="35" t="b">
        <v>0</v>
      </c>
      <c r="F161" s="36" t="str">
        <f>HYPERLINK("https://prices.pokemontcg.io/cardmarket/svp-187", "CM")</f>
        <v>CM</v>
      </c>
      <c r="G161" s="35" t="b">
        <v>1</v>
      </c>
      <c r="H161" s="35" t="b">
        <v>0</v>
      </c>
      <c r="I161" s="36" t="str">
        <f>HYPERLINK("https://prices.pokemontcg.io/cardmarket/svp-188", "CM")</f>
        <v>CM</v>
      </c>
      <c r="J161" s="35" t="b">
        <v>1</v>
      </c>
      <c r="K161" s="35" t="b">
        <v>0</v>
      </c>
      <c r="L161" s="36" t="str">
        <f>HYPERLINK("https://prices.pokemontcg.io/cardmarket/svp-189", "CM")</f>
        <v>CM</v>
      </c>
      <c r="M161" s="35" t="b">
        <v>1</v>
      </c>
      <c r="N161" s="35" t="b">
        <v>0</v>
      </c>
      <c r="O161" s="36" t="str">
        <f>HYPERLINK("https://prices.pokemontcg.io/cardmarket/svp-193", "CM")</f>
        <v>CM</v>
      </c>
    </row>
    <row r="162" ht="7.5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</row>
  </sheetData>
  <mergeCells count="402">
    <mergeCell ref="B79:C79"/>
    <mergeCell ref="E79:F79"/>
    <mergeCell ref="H79:I79"/>
    <mergeCell ref="K79:L79"/>
    <mergeCell ref="N79:O79"/>
    <mergeCell ref="A80:C80"/>
    <mergeCell ref="D80:F80"/>
    <mergeCell ref="M80:O80"/>
    <mergeCell ref="G80:I80"/>
    <mergeCell ref="J80:L80"/>
    <mergeCell ref="B83:C83"/>
    <mergeCell ref="E83:F83"/>
    <mergeCell ref="H83:I83"/>
    <mergeCell ref="K83:L83"/>
    <mergeCell ref="N83:O83"/>
    <mergeCell ref="H87:I87"/>
    <mergeCell ref="K87:L87"/>
    <mergeCell ref="J88:L88"/>
    <mergeCell ref="M88:O88"/>
    <mergeCell ref="A84:C84"/>
    <mergeCell ref="D84:F84"/>
    <mergeCell ref="G84:I84"/>
    <mergeCell ref="J84:L84"/>
    <mergeCell ref="M84:O84"/>
    <mergeCell ref="E87:F87"/>
    <mergeCell ref="N87:O87"/>
    <mergeCell ref="K91:L91"/>
    <mergeCell ref="N91:O91"/>
    <mergeCell ref="A92:C92"/>
    <mergeCell ref="D92:F92"/>
    <mergeCell ref="G92:I92"/>
    <mergeCell ref="J92:L92"/>
    <mergeCell ref="M92:O92"/>
    <mergeCell ref="B87:C87"/>
    <mergeCell ref="A88:C88"/>
    <mergeCell ref="D88:F88"/>
    <mergeCell ref="G88:I88"/>
    <mergeCell ref="B91:C91"/>
    <mergeCell ref="E91:F91"/>
    <mergeCell ref="H91:I91"/>
    <mergeCell ref="B95:C95"/>
    <mergeCell ref="E95:F95"/>
    <mergeCell ref="H95:I95"/>
    <mergeCell ref="K95:L95"/>
    <mergeCell ref="N95:O95"/>
    <mergeCell ref="A96:C96"/>
    <mergeCell ref="D96:F96"/>
    <mergeCell ref="M96:O96"/>
    <mergeCell ref="G96:I96"/>
    <mergeCell ref="J96:L96"/>
    <mergeCell ref="B99:C99"/>
    <mergeCell ref="E99:F99"/>
    <mergeCell ref="H99:I99"/>
    <mergeCell ref="K99:L99"/>
    <mergeCell ref="N99:O99"/>
    <mergeCell ref="H103:I103"/>
    <mergeCell ref="K103:L103"/>
    <mergeCell ref="J104:L104"/>
    <mergeCell ref="M104:O104"/>
    <mergeCell ref="A100:C100"/>
    <mergeCell ref="D100:F100"/>
    <mergeCell ref="G100:I100"/>
    <mergeCell ref="J100:L100"/>
    <mergeCell ref="M100:O100"/>
    <mergeCell ref="E103:F103"/>
    <mergeCell ref="N103:O103"/>
    <mergeCell ref="K107:L107"/>
    <mergeCell ref="N107:O107"/>
    <mergeCell ref="A108:C108"/>
    <mergeCell ref="D108:F108"/>
    <mergeCell ref="G108:I108"/>
    <mergeCell ref="J108:L108"/>
    <mergeCell ref="M108:O108"/>
    <mergeCell ref="B103:C103"/>
    <mergeCell ref="A104:C104"/>
    <mergeCell ref="D104:F104"/>
    <mergeCell ref="G104:I104"/>
    <mergeCell ref="B107:C107"/>
    <mergeCell ref="E107:F107"/>
    <mergeCell ref="H107:I107"/>
    <mergeCell ref="B111:C111"/>
    <mergeCell ref="E111:F111"/>
    <mergeCell ref="H111:I111"/>
    <mergeCell ref="K111:L111"/>
    <mergeCell ref="N111:O111"/>
    <mergeCell ref="A112:C112"/>
    <mergeCell ref="D112:F112"/>
    <mergeCell ref="M112:O112"/>
    <mergeCell ref="G112:I112"/>
    <mergeCell ref="J112:L112"/>
    <mergeCell ref="B115:C115"/>
    <mergeCell ref="E115:F115"/>
    <mergeCell ref="H115:I115"/>
    <mergeCell ref="K115:L115"/>
    <mergeCell ref="N115:O115"/>
    <mergeCell ref="H119:I119"/>
    <mergeCell ref="K119:L119"/>
    <mergeCell ref="J120:L120"/>
    <mergeCell ref="M120:O120"/>
    <mergeCell ref="A116:C116"/>
    <mergeCell ref="D116:F116"/>
    <mergeCell ref="G116:I116"/>
    <mergeCell ref="J116:L116"/>
    <mergeCell ref="M116:O116"/>
    <mergeCell ref="E119:F119"/>
    <mergeCell ref="N119:O119"/>
    <mergeCell ref="K123:L123"/>
    <mergeCell ref="N123:O123"/>
    <mergeCell ref="A124:C124"/>
    <mergeCell ref="D124:F124"/>
    <mergeCell ref="G124:I124"/>
    <mergeCell ref="J124:L124"/>
    <mergeCell ref="M124:O124"/>
    <mergeCell ref="B119:C119"/>
    <mergeCell ref="A120:C120"/>
    <mergeCell ref="D120:F120"/>
    <mergeCell ref="G120:I120"/>
    <mergeCell ref="B123:C123"/>
    <mergeCell ref="E123:F123"/>
    <mergeCell ref="H123:I123"/>
    <mergeCell ref="B127:C127"/>
    <mergeCell ref="E127:F127"/>
    <mergeCell ref="H127:I127"/>
    <mergeCell ref="K127:L127"/>
    <mergeCell ref="N127:O127"/>
    <mergeCell ref="A128:C128"/>
    <mergeCell ref="D128:F128"/>
    <mergeCell ref="M128:O128"/>
    <mergeCell ref="G128:I128"/>
    <mergeCell ref="J128:L128"/>
    <mergeCell ref="B131:C131"/>
    <mergeCell ref="E131:F131"/>
    <mergeCell ref="H131:I131"/>
    <mergeCell ref="K131:L131"/>
    <mergeCell ref="N131:O131"/>
    <mergeCell ref="H135:I135"/>
    <mergeCell ref="K135:L135"/>
    <mergeCell ref="J136:L136"/>
    <mergeCell ref="M136:O136"/>
    <mergeCell ref="A132:C132"/>
    <mergeCell ref="D132:F132"/>
    <mergeCell ref="G132:I132"/>
    <mergeCell ref="J132:L132"/>
    <mergeCell ref="M132:O132"/>
    <mergeCell ref="E135:F135"/>
    <mergeCell ref="N135:O135"/>
    <mergeCell ref="K139:L139"/>
    <mergeCell ref="N139:O139"/>
    <mergeCell ref="A140:C140"/>
    <mergeCell ref="D140:F140"/>
    <mergeCell ref="G140:I140"/>
    <mergeCell ref="J140:L140"/>
    <mergeCell ref="M140:O140"/>
    <mergeCell ref="B135:C135"/>
    <mergeCell ref="A136:C136"/>
    <mergeCell ref="D136:F136"/>
    <mergeCell ref="G136:I136"/>
    <mergeCell ref="B139:C139"/>
    <mergeCell ref="E139:F139"/>
    <mergeCell ref="H139:I139"/>
    <mergeCell ref="G160:I160"/>
    <mergeCell ref="J160:L160"/>
    <mergeCell ref="B159:C159"/>
    <mergeCell ref="E159:F159"/>
    <mergeCell ref="H159:I159"/>
    <mergeCell ref="K159:L159"/>
    <mergeCell ref="N159:O159"/>
    <mergeCell ref="A160:C160"/>
    <mergeCell ref="D160:F160"/>
    <mergeCell ref="M160:O160"/>
    <mergeCell ref="B143:C143"/>
    <mergeCell ref="E143:F143"/>
    <mergeCell ref="H143:I143"/>
    <mergeCell ref="K143:L143"/>
    <mergeCell ref="N143:O143"/>
    <mergeCell ref="A144:C144"/>
    <mergeCell ref="D144:F144"/>
    <mergeCell ref="M144:O144"/>
    <mergeCell ref="G144:I144"/>
    <mergeCell ref="J144:L144"/>
    <mergeCell ref="B147:C147"/>
    <mergeCell ref="E147:F147"/>
    <mergeCell ref="H147:I147"/>
    <mergeCell ref="K147:L147"/>
    <mergeCell ref="N147:O147"/>
    <mergeCell ref="H151:I151"/>
    <mergeCell ref="K151:L151"/>
    <mergeCell ref="J152:L152"/>
    <mergeCell ref="M152:O152"/>
    <mergeCell ref="A148:C148"/>
    <mergeCell ref="D148:F148"/>
    <mergeCell ref="G148:I148"/>
    <mergeCell ref="J148:L148"/>
    <mergeCell ref="M148:O148"/>
    <mergeCell ref="E151:F151"/>
    <mergeCell ref="N151:O151"/>
    <mergeCell ref="K155:L155"/>
    <mergeCell ref="N155:O155"/>
    <mergeCell ref="A156:C156"/>
    <mergeCell ref="D156:F156"/>
    <mergeCell ref="G156:I156"/>
    <mergeCell ref="J156:L156"/>
    <mergeCell ref="M156:O156"/>
    <mergeCell ref="B151:C151"/>
    <mergeCell ref="A152:C152"/>
    <mergeCell ref="D152:F152"/>
    <mergeCell ref="G152:I152"/>
    <mergeCell ref="B155:C155"/>
    <mergeCell ref="E155:F155"/>
    <mergeCell ref="H155:I155"/>
    <mergeCell ref="B15:C15"/>
    <mergeCell ref="E15:F15"/>
    <mergeCell ref="H15:I15"/>
    <mergeCell ref="K15:L15"/>
    <mergeCell ref="N15:O15"/>
    <mergeCell ref="A16:C16"/>
    <mergeCell ref="D16:F16"/>
    <mergeCell ref="M16:O16"/>
    <mergeCell ref="G16:I16"/>
    <mergeCell ref="J16:L16"/>
    <mergeCell ref="B19:C19"/>
    <mergeCell ref="E19:F19"/>
    <mergeCell ref="H19:I19"/>
    <mergeCell ref="K19:L19"/>
    <mergeCell ref="N19:O19"/>
    <mergeCell ref="H23:I23"/>
    <mergeCell ref="K23:L23"/>
    <mergeCell ref="A20:C20"/>
    <mergeCell ref="D20:F20"/>
    <mergeCell ref="G20:I20"/>
    <mergeCell ref="J20:L20"/>
    <mergeCell ref="M20:O20"/>
    <mergeCell ref="E23:F23"/>
    <mergeCell ref="N23:O23"/>
    <mergeCell ref="K27:L27"/>
    <mergeCell ref="N27:O27"/>
    <mergeCell ref="B23:C23"/>
    <mergeCell ref="A24:C24"/>
    <mergeCell ref="D24:F24"/>
    <mergeCell ref="G24:I24"/>
    <mergeCell ref="J24:L24"/>
    <mergeCell ref="M24:O24"/>
    <mergeCell ref="B27:C27"/>
    <mergeCell ref="A1:N1"/>
    <mergeCell ref="A2:O2"/>
    <mergeCell ref="B3:C3"/>
    <mergeCell ref="E3:F3"/>
    <mergeCell ref="H3:I3"/>
    <mergeCell ref="K3:L3"/>
    <mergeCell ref="N3:O3"/>
    <mergeCell ref="H7:I7"/>
    <mergeCell ref="K7:L7"/>
    <mergeCell ref="J8:L8"/>
    <mergeCell ref="M8:O8"/>
    <mergeCell ref="A4:C4"/>
    <mergeCell ref="D4:F4"/>
    <mergeCell ref="G4:I4"/>
    <mergeCell ref="J4:L4"/>
    <mergeCell ref="M4:O4"/>
    <mergeCell ref="E7:F7"/>
    <mergeCell ref="N7:O7"/>
    <mergeCell ref="K11:L11"/>
    <mergeCell ref="N11:O11"/>
    <mergeCell ref="A12:C12"/>
    <mergeCell ref="D12:F12"/>
    <mergeCell ref="G12:I12"/>
    <mergeCell ref="J12:L12"/>
    <mergeCell ref="M12:O12"/>
    <mergeCell ref="B7:C7"/>
    <mergeCell ref="A8:C8"/>
    <mergeCell ref="D8:F8"/>
    <mergeCell ref="G8:I8"/>
    <mergeCell ref="B11:C11"/>
    <mergeCell ref="E11:F11"/>
    <mergeCell ref="H11:I11"/>
    <mergeCell ref="E27:F27"/>
    <mergeCell ref="H27:I27"/>
    <mergeCell ref="A28:C28"/>
    <mergeCell ref="D28:F28"/>
    <mergeCell ref="G28:I28"/>
    <mergeCell ref="J28:L28"/>
    <mergeCell ref="M28:O28"/>
    <mergeCell ref="B31:C31"/>
    <mergeCell ref="E31:F31"/>
    <mergeCell ref="H31:I31"/>
    <mergeCell ref="K31:L31"/>
    <mergeCell ref="N31:O31"/>
    <mergeCell ref="A32:C32"/>
    <mergeCell ref="D32:F32"/>
    <mergeCell ref="M32:O32"/>
    <mergeCell ref="G32:I32"/>
    <mergeCell ref="J32:L32"/>
    <mergeCell ref="B35:C35"/>
    <mergeCell ref="E35:F35"/>
    <mergeCell ref="H35:I35"/>
    <mergeCell ref="K35:L35"/>
    <mergeCell ref="N35:O35"/>
    <mergeCell ref="H39:I39"/>
    <mergeCell ref="K39:L39"/>
    <mergeCell ref="J40:L40"/>
    <mergeCell ref="M40:O40"/>
    <mergeCell ref="A36:C36"/>
    <mergeCell ref="D36:F36"/>
    <mergeCell ref="G36:I36"/>
    <mergeCell ref="J36:L36"/>
    <mergeCell ref="M36:O36"/>
    <mergeCell ref="E39:F39"/>
    <mergeCell ref="N39:O39"/>
    <mergeCell ref="K43:L43"/>
    <mergeCell ref="N43:O43"/>
    <mergeCell ref="A44:C44"/>
    <mergeCell ref="D44:F44"/>
    <mergeCell ref="G44:I44"/>
    <mergeCell ref="J44:L44"/>
    <mergeCell ref="M44:O44"/>
    <mergeCell ref="B39:C39"/>
    <mergeCell ref="A40:C40"/>
    <mergeCell ref="D40:F40"/>
    <mergeCell ref="G40:I40"/>
    <mergeCell ref="B43:C43"/>
    <mergeCell ref="E43:F43"/>
    <mergeCell ref="H43:I43"/>
    <mergeCell ref="B47:C47"/>
    <mergeCell ref="E47:F47"/>
    <mergeCell ref="H47:I47"/>
    <mergeCell ref="K47:L47"/>
    <mergeCell ref="N47:O47"/>
    <mergeCell ref="A48:C48"/>
    <mergeCell ref="D48:F48"/>
    <mergeCell ref="M48:O48"/>
    <mergeCell ref="G48:I48"/>
    <mergeCell ref="J48:L48"/>
    <mergeCell ref="B51:C51"/>
    <mergeCell ref="E51:F51"/>
    <mergeCell ref="H51:I51"/>
    <mergeCell ref="K51:L51"/>
    <mergeCell ref="N51:O51"/>
    <mergeCell ref="H55:I55"/>
    <mergeCell ref="K55:L55"/>
    <mergeCell ref="J56:L56"/>
    <mergeCell ref="M56:O56"/>
    <mergeCell ref="A52:C52"/>
    <mergeCell ref="D52:F52"/>
    <mergeCell ref="G52:I52"/>
    <mergeCell ref="J52:L52"/>
    <mergeCell ref="M52:O52"/>
    <mergeCell ref="E55:F55"/>
    <mergeCell ref="N55:O55"/>
    <mergeCell ref="K59:L59"/>
    <mergeCell ref="N59:O59"/>
    <mergeCell ref="A60:C60"/>
    <mergeCell ref="D60:F60"/>
    <mergeCell ref="G60:I60"/>
    <mergeCell ref="J60:L60"/>
    <mergeCell ref="M60:O60"/>
    <mergeCell ref="B55:C55"/>
    <mergeCell ref="A56:C56"/>
    <mergeCell ref="D56:F56"/>
    <mergeCell ref="G56:I56"/>
    <mergeCell ref="B59:C59"/>
    <mergeCell ref="E59:F59"/>
    <mergeCell ref="H59:I59"/>
    <mergeCell ref="B63:C63"/>
    <mergeCell ref="E63:F63"/>
    <mergeCell ref="H63:I63"/>
    <mergeCell ref="K63:L63"/>
    <mergeCell ref="N63:O63"/>
    <mergeCell ref="A64:C64"/>
    <mergeCell ref="D64:F64"/>
    <mergeCell ref="M64:O64"/>
    <mergeCell ref="G64:I64"/>
    <mergeCell ref="J64:L64"/>
    <mergeCell ref="B67:C67"/>
    <mergeCell ref="E67:F67"/>
    <mergeCell ref="H67:I67"/>
    <mergeCell ref="K67:L67"/>
    <mergeCell ref="N67:O67"/>
    <mergeCell ref="H71:I71"/>
    <mergeCell ref="K71:L71"/>
    <mergeCell ref="J72:L72"/>
    <mergeCell ref="M72:O72"/>
    <mergeCell ref="A68:C68"/>
    <mergeCell ref="D68:F68"/>
    <mergeCell ref="G68:I68"/>
    <mergeCell ref="J68:L68"/>
    <mergeCell ref="M68:O68"/>
    <mergeCell ref="E71:F71"/>
    <mergeCell ref="N71:O71"/>
    <mergeCell ref="K75:L75"/>
    <mergeCell ref="N75:O75"/>
    <mergeCell ref="A76:C76"/>
    <mergeCell ref="D76:F76"/>
    <mergeCell ref="G76:I76"/>
    <mergeCell ref="J76:L76"/>
    <mergeCell ref="M76:O76"/>
    <mergeCell ref="B71:C71"/>
    <mergeCell ref="A72:C72"/>
    <mergeCell ref="D72:F72"/>
    <mergeCell ref="G72:I72"/>
    <mergeCell ref="B75:C75"/>
    <mergeCell ref="E75:F75"/>
    <mergeCell ref="H75:I75"/>
  </mergeCell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.13"/>
    <col customWidth="1" min="3" max="3" width="12.63"/>
    <col customWidth="1" min="4" max="5" width="5.13"/>
    <col customWidth="1" min="6" max="6" width="12.63"/>
    <col customWidth="1" min="7" max="8" width="5.13"/>
    <col customWidth="1" min="9" max="9" width="12.63"/>
    <col customWidth="1" min="10" max="11" width="5.13"/>
    <col customWidth="1" min="12" max="12" width="12.63"/>
    <col customWidth="1" min="13" max="14" width="5.13"/>
    <col customWidth="1" min="15" max="15" width="12.63"/>
  </cols>
  <sheetData>
    <row r="1" ht="18.75" customHeight="1">
      <c r="A1" s="16" t="s">
        <v>900</v>
      </c>
      <c r="O1" s="17" t="b">
        <v>0</v>
      </c>
    </row>
    <row r="2" ht="18.75" customHeight="1">
      <c r="A2" s="3" t="s">
        <v>901</v>
      </c>
    </row>
    <row r="3" ht="18.75" customHeight="1">
      <c r="A3" s="18" t="s">
        <v>685</v>
      </c>
      <c r="B3" s="19" t="s">
        <v>902</v>
      </c>
      <c r="C3" s="20"/>
      <c r="D3" s="18" t="s">
        <v>689</v>
      </c>
      <c r="E3" s="19" t="s">
        <v>903</v>
      </c>
      <c r="F3" s="20"/>
      <c r="G3" s="18" t="s">
        <v>691</v>
      </c>
      <c r="H3" s="19" t="s">
        <v>904</v>
      </c>
      <c r="I3" s="20"/>
      <c r="J3" s="18" t="s">
        <v>859</v>
      </c>
      <c r="K3" s="19" t="s">
        <v>905</v>
      </c>
      <c r="L3" s="20"/>
      <c r="M3" s="18" t="s">
        <v>861</v>
      </c>
      <c r="N3" s="19" t="s">
        <v>906</v>
      </c>
      <c r="O3" s="20"/>
    </row>
    <row r="4" ht="180.0" customHeight="1">
      <c r="A4" s="21" t="str">
        <f>IMAGE("https://assets.tcgdex.net/de/swsh/swsh12.5/148/low.jpg", 1)</f>
        <v/>
      </c>
      <c r="B4" s="22"/>
      <c r="C4" s="20"/>
      <c r="D4" s="21" t="str">
        <f>IMAGE("https://assets.tcgdex.net/de/swsh/swsh12.5/154/low.jpg", 1)</f>
        <v/>
      </c>
      <c r="E4" s="22"/>
      <c r="F4" s="20"/>
      <c r="G4" s="21" t="str">
        <f>IMAGE("https://assets.tcgdex.net/de/swsh/swsh12.5/155/low.jpg", 1)</f>
        <v/>
      </c>
      <c r="H4" s="22"/>
      <c r="I4" s="20"/>
      <c r="J4" s="21" t="str">
        <f>IMAGE("https://assets.tcgdex.net/de/swsh/swsh12.5/157/low.jpg", 1)</f>
        <v/>
      </c>
      <c r="K4" s="22"/>
      <c r="L4" s="20"/>
      <c r="M4" s="21" t="str">
        <f>IMAGE("https://assets.tcgdex.net/de/swsh/swsh12.5/159/low.jpg", 1)</f>
        <v/>
      </c>
      <c r="N4" s="22"/>
      <c r="O4" s="20"/>
    </row>
    <row r="5" ht="22.5" customHeight="1">
      <c r="A5" s="23" t="b">
        <v>0</v>
      </c>
      <c r="B5" s="24" t="b">
        <v>0</v>
      </c>
      <c r="C5" s="25" t="str">
        <f>HYPERLINK("https://prices.pokemontcg.io/cardmarket/swsh12pt5-148", "CM")</f>
        <v>CM</v>
      </c>
      <c r="D5" s="23" t="b">
        <v>0</v>
      </c>
      <c r="E5" s="24" t="b">
        <v>0</v>
      </c>
      <c r="F5" s="25" t="str">
        <f>HYPERLINK("https://prices.pokemontcg.io/cardmarket/swsh12pt5-154", "CM")</f>
        <v>CM</v>
      </c>
      <c r="G5" s="23" t="b">
        <v>0</v>
      </c>
      <c r="H5" s="24" t="b">
        <v>0</v>
      </c>
      <c r="I5" s="25" t="str">
        <f>HYPERLINK("https://prices.pokemontcg.io/cardmarket/swsh12pt5-155", "CM")</f>
        <v>CM</v>
      </c>
      <c r="J5" s="23" t="b">
        <v>0</v>
      </c>
      <c r="K5" s="24" t="b">
        <v>0</v>
      </c>
      <c r="L5" s="25" t="str">
        <f>HYPERLINK("https://prices.pokemontcg.io/cardmarket/swsh12pt5-157", "CM")</f>
        <v>CM</v>
      </c>
      <c r="M5" s="23" t="b">
        <v>0</v>
      </c>
      <c r="N5" s="24" t="b">
        <v>0</v>
      </c>
      <c r="O5" s="25" t="str">
        <f>HYPERLINK("https://prices.pokemontcg.io/cardmarket/swsh12pt5-159", "CM")</f>
        <v>CM</v>
      </c>
    </row>
    <row r="6" ht="7.5" customHeight="1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</row>
    <row r="7" ht="18.75" customHeight="1">
      <c r="A7" s="29" t="s">
        <v>736</v>
      </c>
      <c r="B7" s="30" t="s">
        <v>907</v>
      </c>
      <c r="C7" s="20"/>
      <c r="D7" s="29" t="s">
        <v>738</v>
      </c>
      <c r="E7" s="30" t="s">
        <v>908</v>
      </c>
      <c r="F7" s="20"/>
      <c r="G7" s="29" t="s">
        <v>739</v>
      </c>
      <c r="H7" s="30" t="s">
        <v>909</v>
      </c>
      <c r="I7" s="20"/>
      <c r="J7" s="29" t="s">
        <v>740</v>
      </c>
      <c r="K7" s="30" t="s">
        <v>910</v>
      </c>
      <c r="L7" s="20"/>
      <c r="M7" s="29" t="s">
        <v>529</v>
      </c>
      <c r="N7" s="30" t="s">
        <v>911</v>
      </c>
      <c r="O7" s="20"/>
    </row>
    <row r="8" ht="180.0" customHeight="1">
      <c r="A8" s="32" t="str">
        <f>IMAGE("https://assets.tcgdex.net/de/swsh/swsh12.5/001/low.jpg", 1)</f>
        <v/>
      </c>
      <c r="B8" s="22"/>
      <c r="C8" s="20"/>
      <c r="D8" s="32" t="str">
        <f>IMAGE("https://assets.tcgdex.net/de/swsh/swsh12.5/002/low.jpg", 1)</f>
        <v/>
      </c>
      <c r="E8" s="22"/>
      <c r="F8" s="20"/>
      <c r="G8" s="32" t="str">
        <f>IMAGE("https://assets.tcgdex.net/de/swsh/swsh12.5/003/low.jpg", 1)</f>
        <v/>
      </c>
      <c r="H8" s="22"/>
      <c r="I8" s="20"/>
      <c r="J8" s="32" t="str">
        <f>IMAGE("https://assets.tcgdex.net/de/swsh/swsh12.5/004/low.jpg", 1)</f>
        <v/>
      </c>
      <c r="K8" s="22"/>
      <c r="L8" s="20"/>
      <c r="M8" s="32" t="str">
        <f>IMAGE("https://assets.tcgdex.net/de/swsh/swsh12.5/006/low.jpg", 1)</f>
        <v/>
      </c>
      <c r="N8" s="22"/>
      <c r="O8" s="20"/>
    </row>
    <row r="9" ht="22.5" customHeight="1">
      <c r="A9" s="35" t="b">
        <v>1</v>
      </c>
      <c r="B9" s="35" t="b">
        <v>0</v>
      </c>
      <c r="C9" s="36" t="str">
        <f>HYPERLINK("https://prices.pokemontcg.io/cardmarket/swsh12pt5-1", "CM")</f>
        <v>CM</v>
      </c>
      <c r="D9" s="35" t="b">
        <v>1</v>
      </c>
      <c r="E9" s="35" t="b">
        <v>0</v>
      </c>
      <c r="F9" s="36" t="str">
        <f>HYPERLINK("https://prices.pokemontcg.io/cardmarket/swsh12pt5-2", "CM")</f>
        <v>CM</v>
      </c>
      <c r="G9" s="35" t="b">
        <v>1</v>
      </c>
      <c r="H9" s="35" t="b">
        <v>0</v>
      </c>
      <c r="I9" s="36" t="str">
        <f>HYPERLINK("https://prices.pokemontcg.io/cardmarket/swsh12pt5-3", "CM")</f>
        <v>CM</v>
      </c>
      <c r="J9" s="35" t="b">
        <v>1</v>
      </c>
      <c r="K9" s="35" t="b">
        <v>0</v>
      </c>
      <c r="L9" s="36" t="str">
        <f>HYPERLINK("https://prices.pokemontcg.io/cardmarket/swsh12pt5-4", "CM")</f>
        <v>CM</v>
      </c>
      <c r="M9" s="35" t="b">
        <v>1</v>
      </c>
      <c r="N9" s="35" t="b">
        <v>0</v>
      </c>
      <c r="O9" s="36" t="str">
        <f>HYPERLINK("https://prices.pokemontcg.io/cardmarket/swsh12pt5-6", "CM")</f>
        <v>CM</v>
      </c>
    </row>
    <row r="10" ht="7.5" customHeight="1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</row>
    <row r="11" ht="18.75" customHeight="1">
      <c r="A11" s="29" t="s">
        <v>744</v>
      </c>
      <c r="B11" s="30" t="s">
        <v>912</v>
      </c>
      <c r="C11" s="20"/>
      <c r="D11" s="29" t="s">
        <v>531</v>
      </c>
      <c r="E11" s="30" t="s">
        <v>710</v>
      </c>
      <c r="F11" s="20"/>
      <c r="G11" s="29" t="s">
        <v>750</v>
      </c>
      <c r="H11" s="30" t="s">
        <v>913</v>
      </c>
      <c r="I11" s="20"/>
      <c r="J11" s="29" t="s">
        <v>537</v>
      </c>
      <c r="K11" s="30" t="s">
        <v>914</v>
      </c>
      <c r="L11" s="20"/>
      <c r="M11" s="29" t="s">
        <v>760</v>
      </c>
      <c r="N11" s="30" t="s">
        <v>915</v>
      </c>
      <c r="O11" s="20"/>
    </row>
    <row r="12" ht="180.0" customHeight="1">
      <c r="A12" s="32" t="str">
        <f>IMAGE("https://assets.tcgdex.net/de/swsh/swsh12.5/007/low.jpg", 1)</f>
        <v/>
      </c>
      <c r="B12" s="22"/>
      <c r="C12" s="20"/>
      <c r="D12" s="32" t="str">
        <f>IMAGE("https://assets.tcgdex.net/de/swsh/swsh12.5/008/low.jpg", 1)</f>
        <v/>
      </c>
      <c r="E12" s="22"/>
      <c r="F12" s="20"/>
      <c r="G12" s="32" t="str">
        <f>IMAGE("https://assets.tcgdex.net/de/swsh/swsh12.5/011/low.jpg", 1)</f>
        <v/>
      </c>
      <c r="H12" s="22"/>
      <c r="I12" s="20"/>
      <c r="J12" s="32" t="str">
        <f>IMAGE("https://assets.tcgdex.net/de/swsh/swsh12.5/017/low.jpg", 1)</f>
        <v/>
      </c>
      <c r="K12" s="22"/>
      <c r="L12" s="20"/>
      <c r="M12" s="32" t="str">
        <f>IMAGE("https://assets.tcgdex.net/de/swsh/swsh12.5/026/low.jpg", 1)</f>
        <v/>
      </c>
      <c r="N12" s="22"/>
      <c r="O12" s="20"/>
    </row>
    <row r="13" ht="22.5" customHeight="1">
      <c r="A13" s="35" t="b">
        <v>1</v>
      </c>
      <c r="B13" s="35" t="b">
        <v>0</v>
      </c>
      <c r="C13" s="36" t="str">
        <f>HYPERLINK("https://prices.pokemontcg.io/cardmarket/swsh12pt5-7", "CM")</f>
        <v>CM</v>
      </c>
      <c r="D13" s="35" t="b">
        <v>1</v>
      </c>
      <c r="E13" s="35" t="b">
        <v>0</v>
      </c>
      <c r="F13" s="36" t="str">
        <f>HYPERLINK("https://prices.pokemontcg.io/cardmarket/swsh12pt5-8", "CM")</f>
        <v>CM</v>
      </c>
      <c r="G13" s="35" t="b">
        <v>1</v>
      </c>
      <c r="H13" s="35" t="b">
        <v>0</v>
      </c>
      <c r="I13" s="36" t="str">
        <f>HYPERLINK("https://prices.pokemontcg.io/cardmarket/swsh12pt5-11", "CM")</f>
        <v>CM</v>
      </c>
      <c r="J13" s="35" t="b">
        <v>1</v>
      </c>
      <c r="K13" s="35" t="b">
        <v>0</v>
      </c>
      <c r="L13" s="36" t="str">
        <f>HYPERLINK("https://prices.pokemontcg.io/cardmarket/swsh12pt5-17", "CM")</f>
        <v>CM</v>
      </c>
      <c r="M13" s="35" t="b">
        <v>1</v>
      </c>
      <c r="N13" s="35" t="b">
        <v>0</v>
      </c>
      <c r="O13" s="36" t="str">
        <f>HYPERLINK("https://prices.pokemontcg.io/cardmarket/swsh12pt5-26", "CM")</f>
        <v>CM</v>
      </c>
    </row>
    <row r="14" ht="7.5" customHeight="1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</row>
    <row r="15" ht="18.75" customHeight="1">
      <c r="A15" s="29" t="s">
        <v>762</v>
      </c>
      <c r="B15" s="30" t="s">
        <v>916</v>
      </c>
      <c r="C15" s="20"/>
      <c r="D15" s="29" t="s">
        <v>553</v>
      </c>
      <c r="E15" s="30" t="s">
        <v>917</v>
      </c>
      <c r="F15" s="20"/>
      <c r="G15" s="29" t="s">
        <v>555</v>
      </c>
      <c r="H15" s="30" t="s">
        <v>918</v>
      </c>
      <c r="I15" s="20"/>
      <c r="J15" s="29" t="s">
        <v>559</v>
      </c>
      <c r="K15" s="30" t="s">
        <v>919</v>
      </c>
      <c r="L15" s="20"/>
      <c r="M15" s="29" t="s">
        <v>567</v>
      </c>
      <c r="N15" s="30" t="s">
        <v>920</v>
      </c>
      <c r="O15" s="20"/>
    </row>
    <row r="16" ht="180.0" customHeight="1">
      <c r="A16" s="32" t="str">
        <f>IMAGE("https://assets.tcgdex.net/de/swsh/swsh12.5/027/low.jpg", 1)</f>
        <v/>
      </c>
      <c r="B16" s="22"/>
      <c r="C16" s="20"/>
      <c r="D16" s="32" t="str">
        <f>IMAGE("https://assets.tcgdex.net/de/swsh/swsh12.5/029/low.jpg", 1)</f>
        <v/>
      </c>
      <c r="E16" s="22"/>
      <c r="F16" s="20"/>
      <c r="G16" s="32" t="str">
        <f>IMAGE("https://assets.tcgdex.net/de/swsh/swsh12.5/030/low.jpg", 1)</f>
        <v/>
      </c>
      <c r="H16" s="22"/>
      <c r="I16" s="20"/>
      <c r="J16" s="32" t="str">
        <f>IMAGE("https://assets.tcgdex.net/de/swsh/swsh12.5/032/low.jpg", 1)</f>
        <v/>
      </c>
      <c r="K16" s="22"/>
      <c r="L16" s="20"/>
      <c r="M16" s="32" t="str">
        <f>IMAGE("https://assets.tcgdex.net/de/swsh/swsh12.5/036/low.jpg", 1)</f>
        <v/>
      </c>
      <c r="N16" s="22"/>
      <c r="O16" s="20"/>
    </row>
    <row r="17" ht="22.5" customHeight="1">
      <c r="A17" s="35" t="b">
        <v>1</v>
      </c>
      <c r="B17" s="35" t="b">
        <v>0</v>
      </c>
      <c r="C17" s="36" t="str">
        <f>HYPERLINK("https://prices.pokemontcg.io/cardmarket/swsh12pt5-27", "CM")</f>
        <v>CM</v>
      </c>
      <c r="D17" s="35" t="b">
        <v>1</v>
      </c>
      <c r="E17" s="35" t="b">
        <v>0</v>
      </c>
      <c r="F17" s="36" t="str">
        <f>HYPERLINK("https://prices.pokemontcg.io/cardmarket/swsh12pt5-29", "CM")</f>
        <v>CM</v>
      </c>
      <c r="G17" s="35" t="b">
        <v>1</v>
      </c>
      <c r="H17" s="35" t="b">
        <v>0</v>
      </c>
      <c r="I17" s="36" t="str">
        <f>HYPERLINK("https://prices.pokemontcg.io/cardmarket/swsh12pt5-30", "CM")</f>
        <v>CM</v>
      </c>
      <c r="J17" s="35" t="b">
        <v>1</v>
      </c>
      <c r="K17" s="35" t="b">
        <v>0</v>
      </c>
      <c r="L17" s="36" t="str">
        <f>HYPERLINK("https://prices.pokemontcg.io/cardmarket/swsh12pt5-32", "CM")</f>
        <v>CM</v>
      </c>
      <c r="M17" s="35" t="b">
        <v>1</v>
      </c>
      <c r="N17" s="35" t="b">
        <v>0</v>
      </c>
      <c r="O17" s="36" t="str">
        <f>HYPERLINK("https://prices.pokemontcg.io/cardmarket/swsh12pt5-36", "CM")</f>
        <v>CM</v>
      </c>
    </row>
    <row r="18" ht="7.5" customHeight="1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</row>
    <row r="19" ht="18.75" customHeight="1">
      <c r="A19" s="29" t="s">
        <v>573</v>
      </c>
      <c r="B19" s="30" t="s">
        <v>921</v>
      </c>
      <c r="C19" s="20"/>
      <c r="D19" s="29" t="s">
        <v>577</v>
      </c>
      <c r="E19" s="30" t="s">
        <v>922</v>
      </c>
      <c r="F19" s="20"/>
      <c r="G19" s="29" t="s">
        <v>763</v>
      </c>
      <c r="H19" s="30" t="s">
        <v>923</v>
      </c>
      <c r="I19" s="20"/>
      <c r="J19" s="29" t="s">
        <v>765</v>
      </c>
      <c r="K19" s="30" t="s">
        <v>923</v>
      </c>
      <c r="L19" s="20"/>
      <c r="M19" s="29" t="s">
        <v>770</v>
      </c>
      <c r="N19" s="30" t="s">
        <v>924</v>
      </c>
      <c r="O19" s="20"/>
    </row>
    <row r="20" ht="180.0" customHeight="1">
      <c r="A20" s="32" t="str">
        <f>IMAGE("https://assets.tcgdex.net/de/swsh/swsh12.5/039/low.jpg", 1)</f>
        <v/>
      </c>
      <c r="B20" s="22"/>
      <c r="C20" s="20"/>
      <c r="D20" s="32" t="str">
        <f>IMAGE("https://assets.tcgdex.net/de/swsh/swsh12.5/041/low.jpg", 1)</f>
        <v/>
      </c>
      <c r="E20" s="22"/>
      <c r="F20" s="20"/>
      <c r="G20" s="32" t="str">
        <f>IMAGE("https://assets.tcgdex.net/de/swsh/swsh12.5/043/low.jpg", 1)</f>
        <v/>
      </c>
      <c r="H20" s="22"/>
      <c r="I20" s="20"/>
      <c r="J20" s="32" t="str">
        <f>IMAGE("https://assets.tcgdex.net/de/swsh/swsh12.5/044/low.jpg", 1)</f>
        <v/>
      </c>
      <c r="K20" s="22"/>
      <c r="L20" s="20"/>
      <c r="M20" s="32" t="str">
        <f>IMAGE("https://assets.tcgdex.net/de/swsh/swsh12.5/048/low.jpg", 1)</f>
        <v/>
      </c>
      <c r="N20" s="22"/>
      <c r="O20" s="20"/>
    </row>
    <row r="21" ht="22.5" customHeight="1">
      <c r="A21" s="35" t="b">
        <v>1</v>
      </c>
      <c r="B21" s="35" t="b">
        <v>0</v>
      </c>
      <c r="C21" s="36" t="str">
        <f>HYPERLINK("https://prices.pokemontcg.io/cardmarket/swsh12pt5-39", "CM")</f>
        <v>CM</v>
      </c>
      <c r="D21" s="35" t="b">
        <v>1</v>
      </c>
      <c r="E21" s="35" t="b">
        <v>0</v>
      </c>
      <c r="F21" s="36" t="str">
        <f>HYPERLINK("https://prices.pokemontcg.io/cardmarket/swsh12pt5-41", "CM")</f>
        <v>CM</v>
      </c>
      <c r="G21" s="35" t="b">
        <v>1</v>
      </c>
      <c r="H21" s="35" t="b">
        <v>0</v>
      </c>
      <c r="I21" s="36" t="str">
        <f>HYPERLINK("https://prices.pokemontcg.io/cardmarket/swsh12pt5-43", "CM")</f>
        <v>CM</v>
      </c>
      <c r="J21" s="35" t="b">
        <v>1</v>
      </c>
      <c r="K21" s="35" t="b">
        <v>0</v>
      </c>
      <c r="L21" s="36" t="str">
        <f>HYPERLINK("https://prices.pokemontcg.io/cardmarket/swsh12pt5-44", "CM")</f>
        <v>CM</v>
      </c>
      <c r="M21" s="35" t="b">
        <v>1</v>
      </c>
      <c r="N21" s="35" t="b">
        <v>0</v>
      </c>
      <c r="O21" s="36" t="str">
        <f>HYPERLINK("https://prices.pokemontcg.io/cardmarket/swsh12pt5-48", "CM")</f>
        <v>CM</v>
      </c>
    </row>
    <row r="22" ht="7.5" customHeight="1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</row>
    <row r="23" ht="18.75" customHeight="1">
      <c r="A23" s="29" t="s">
        <v>778</v>
      </c>
      <c r="B23" s="30" t="s">
        <v>925</v>
      </c>
      <c r="C23" s="20"/>
      <c r="D23" s="29" t="s">
        <v>587</v>
      </c>
      <c r="E23" s="30" t="s">
        <v>926</v>
      </c>
      <c r="F23" s="20"/>
      <c r="G23" s="29" t="s">
        <v>589</v>
      </c>
      <c r="H23" s="30" t="s">
        <v>927</v>
      </c>
      <c r="I23" s="20"/>
      <c r="J23" s="29" t="s">
        <v>595</v>
      </c>
      <c r="K23" s="30" t="s">
        <v>928</v>
      </c>
      <c r="L23" s="20"/>
      <c r="M23" s="29" t="s">
        <v>597</v>
      </c>
      <c r="N23" s="30" t="s">
        <v>929</v>
      </c>
      <c r="O23" s="20"/>
    </row>
    <row r="24" ht="180.0" customHeight="1">
      <c r="A24" s="32" t="str">
        <f>IMAGE("https://assets.tcgdex.net/de/swsh/swsh12.5/052/low.jpg", 1)</f>
        <v/>
      </c>
      <c r="B24" s="22"/>
      <c r="C24" s="20"/>
      <c r="D24" s="32" t="str">
        <f>IMAGE("https://assets.tcgdex.net/de/swsh/swsh12.5/057/low.jpg", 1)</f>
        <v/>
      </c>
      <c r="E24" s="22"/>
      <c r="F24" s="20"/>
      <c r="G24" s="32" t="str">
        <f>IMAGE("https://assets.tcgdex.net/de/swsh/swsh12.5/058/low.jpg", 1)</f>
        <v/>
      </c>
      <c r="H24" s="22"/>
      <c r="I24" s="20"/>
      <c r="J24" s="32" t="str">
        <f>IMAGE("https://assets.tcgdex.net/de/swsh/swsh12.5/061/low.jpg", 1)</f>
        <v/>
      </c>
      <c r="K24" s="22"/>
      <c r="L24" s="20"/>
      <c r="M24" s="32" t="str">
        <f>IMAGE("https://assets.tcgdex.net/de/swsh/swsh12.5/062/low.jpg", 1)</f>
        <v/>
      </c>
      <c r="N24" s="22"/>
      <c r="O24" s="20"/>
    </row>
    <row r="25" ht="22.5" customHeight="1">
      <c r="A25" s="35" t="b">
        <v>1</v>
      </c>
      <c r="B25" s="35" t="b">
        <v>0</v>
      </c>
      <c r="C25" s="36" t="str">
        <f>HYPERLINK("https://prices.pokemontcg.io/cardmarket/swsh12pt5-52", "CM")</f>
        <v>CM</v>
      </c>
      <c r="D25" s="35" t="b">
        <v>1</v>
      </c>
      <c r="E25" s="35" t="b">
        <v>0</v>
      </c>
      <c r="F25" s="36" t="str">
        <f>HYPERLINK("https://prices.pokemontcg.io/cardmarket/swsh12pt5-57", "CM")</f>
        <v>CM</v>
      </c>
      <c r="G25" s="35" t="b">
        <v>1</v>
      </c>
      <c r="H25" s="35" t="b">
        <v>0</v>
      </c>
      <c r="I25" s="36" t="str">
        <f>HYPERLINK("https://prices.pokemontcg.io/cardmarket/swsh12pt5-58", "CM")</f>
        <v>CM</v>
      </c>
      <c r="J25" s="35" t="b">
        <v>1</v>
      </c>
      <c r="K25" s="35" t="b">
        <v>0</v>
      </c>
      <c r="L25" s="36" t="str">
        <f>HYPERLINK("https://prices.pokemontcg.io/cardmarket/swsh12pt5-61", "CM")</f>
        <v>CM</v>
      </c>
      <c r="M25" s="35" t="b">
        <v>1</v>
      </c>
      <c r="N25" s="35" t="b">
        <v>0</v>
      </c>
      <c r="O25" s="36" t="str">
        <f>HYPERLINK("https://prices.pokemontcg.io/cardmarket/swsh12pt5-62", "CM")</f>
        <v>CM</v>
      </c>
    </row>
    <row r="26" ht="7.5" customHeight="1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</row>
    <row r="27" ht="18.75" customHeight="1">
      <c r="A27" s="29" t="s">
        <v>784</v>
      </c>
      <c r="B27" s="30" t="s">
        <v>930</v>
      </c>
      <c r="C27" s="20"/>
      <c r="D27" s="29" t="s">
        <v>797</v>
      </c>
      <c r="E27" s="30" t="s">
        <v>931</v>
      </c>
      <c r="F27" s="20"/>
      <c r="G27" s="29" t="s">
        <v>601</v>
      </c>
      <c r="H27" s="30" t="s">
        <v>932</v>
      </c>
      <c r="I27" s="20"/>
      <c r="J27" s="29" t="s">
        <v>603</v>
      </c>
      <c r="K27" s="30" t="s">
        <v>933</v>
      </c>
      <c r="L27" s="20"/>
      <c r="M27" s="29" t="s">
        <v>604</v>
      </c>
      <c r="N27" s="30" t="s">
        <v>934</v>
      </c>
      <c r="O27" s="20"/>
    </row>
    <row r="28" ht="180.0" customHeight="1">
      <c r="A28" s="32" t="str">
        <f>IMAGE("https://assets.tcgdex.net/de/swsh/swsh12.5/063/low.jpg", 1)</f>
        <v/>
      </c>
      <c r="B28" s="22"/>
      <c r="C28" s="20"/>
      <c r="D28" s="32" t="str">
        <f>IMAGE("https://assets.tcgdex.net/de/swsh/swsh12.5/070/low.jpg", 1)</f>
        <v/>
      </c>
      <c r="E28" s="22"/>
      <c r="F28" s="20"/>
      <c r="G28" s="32" t="str">
        <f>IMAGE("https://assets.tcgdex.net/de/swsh/swsh12.5/080/low.jpg", 1)</f>
        <v/>
      </c>
      <c r="H28" s="22"/>
      <c r="I28" s="20"/>
      <c r="J28" s="32" t="str">
        <f>IMAGE("https://assets.tcgdex.net/de/swsh/swsh12.5/081/low.jpg", 1)</f>
        <v/>
      </c>
      <c r="K28" s="22"/>
      <c r="L28" s="20"/>
      <c r="M28" s="32" t="str">
        <f>IMAGE("https://assets.tcgdex.net/de/swsh/swsh12.5/082/low.jpg", 1)</f>
        <v/>
      </c>
      <c r="N28" s="22"/>
      <c r="O28" s="20"/>
    </row>
    <row r="29" ht="22.5" customHeight="1">
      <c r="A29" s="35" t="b">
        <v>1</v>
      </c>
      <c r="B29" s="35" t="b">
        <v>0</v>
      </c>
      <c r="C29" s="36" t="str">
        <f>HYPERLINK("https://prices.pokemontcg.io/cardmarket/swsh12pt5-63", "CM")</f>
        <v>CM</v>
      </c>
      <c r="D29" s="35" t="b">
        <v>1</v>
      </c>
      <c r="E29" s="35" t="b">
        <v>0</v>
      </c>
      <c r="F29" s="36" t="str">
        <f>HYPERLINK("https://prices.pokemontcg.io/cardmarket/swsh12pt5-70", "CM")</f>
        <v>CM</v>
      </c>
      <c r="G29" s="35" t="b">
        <v>1</v>
      </c>
      <c r="H29" s="35" t="b">
        <v>0</v>
      </c>
      <c r="I29" s="36" t="str">
        <f>HYPERLINK("https://prices.pokemontcg.io/cardmarket/swsh12pt5-80", "CM")</f>
        <v>CM</v>
      </c>
      <c r="J29" s="35" t="b">
        <v>1</v>
      </c>
      <c r="K29" s="35" t="b">
        <v>0</v>
      </c>
      <c r="L29" s="36" t="str">
        <f>HYPERLINK("https://prices.pokemontcg.io/cardmarket/swsh12pt5-81", "CM")</f>
        <v>CM</v>
      </c>
      <c r="M29" s="35" t="b">
        <v>1</v>
      </c>
      <c r="N29" s="35" t="b">
        <v>0</v>
      </c>
      <c r="O29" s="36" t="str">
        <f>HYPERLINK("https://prices.pokemontcg.io/cardmarket/swsh12pt5-82", "CM")</f>
        <v>CM</v>
      </c>
    </row>
    <row r="30" ht="7.5" customHeight="1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</row>
    <row r="31" ht="18.75" customHeight="1">
      <c r="A31" s="29" t="s">
        <v>606</v>
      </c>
      <c r="B31" s="30" t="s">
        <v>935</v>
      </c>
      <c r="C31" s="20"/>
      <c r="D31" s="29" t="s">
        <v>611</v>
      </c>
      <c r="E31" s="30" t="s">
        <v>936</v>
      </c>
      <c r="F31" s="20"/>
      <c r="G31" s="29" t="s">
        <v>613</v>
      </c>
      <c r="H31" s="30" t="s">
        <v>937</v>
      </c>
      <c r="I31" s="20"/>
      <c r="J31" s="29" t="s">
        <v>615</v>
      </c>
      <c r="K31" s="30" t="s">
        <v>938</v>
      </c>
      <c r="L31" s="20"/>
      <c r="M31" s="29" t="s">
        <v>619</v>
      </c>
      <c r="N31" s="30" t="s">
        <v>620</v>
      </c>
      <c r="O31" s="20"/>
    </row>
    <row r="32" ht="180.0" customHeight="1">
      <c r="A32" s="32" t="str">
        <f>IMAGE("https://assets.tcgdex.net/de/swsh/swsh12.5/083/low.jpg", 1)</f>
        <v/>
      </c>
      <c r="B32" s="22"/>
      <c r="C32" s="20"/>
      <c r="D32" s="32" t="str">
        <f>IMAGE("https://assets.tcgdex.net/de/swsh/swsh12.5/086/low.jpg", 1)</f>
        <v/>
      </c>
      <c r="E32" s="22"/>
      <c r="F32" s="20"/>
      <c r="G32" s="32" t="str">
        <f>IMAGE("https://assets.tcgdex.net/de/swsh/swsh12.5/087/low.jpg", 1)</f>
        <v/>
      </c>
      <c r="H32" s="22"/>
      <c r="I32" s="20"/>
      <c r="J32" s="32" t="str">
        <f>IMAGE("https://assets.tcgdex.net/de/swsh/swsh12.5/088/low.jpg", 1)</f>
        <v/>
      </c>
      <c r="K32" s="22"/>
      <c r="L32" s="20"/>
      <c r="M32" s="32" t="str">
        <f>IMAGE("https://assets.tcgdex.net/de/swsh/swsh12.5/090/low.jpg", 1)</f>
        <v/>
      </c>
      <c r="N32" s="22"/>
      <c r="O32" s="20"/>
    </row>
    <row r="33" ht="22.5" customHeight="1">
      <c r="A33" s="35" t="b">
        <v>1</v>
      </c>
      <c r="B33" s="35" t="b">
        <v>0</v>
      </c>
      <c r="C33" s="36" t="str">
        <f>HYPERLINK("https://prices.pokemontcg.io/cardmarket/swsh12pt5-83", "CM")</f>
        <v>CM</v>
      </c>
      <c r="D33" s="35" t="b">
        <v>1</v>
      </c>
      <c r="E33" s="35" t="b">
        <v>0</v>
      </c>
      <c r="F33" s="36" t="str">
        <f>HYPERLINK("https://prices.pokemontcg.io/cardmarket/swsh12pt5-86", "CM")</f>
        <v>CM</v>
      </c>
      <c r="G33" s="35" t="b">
        <v>1</v>
      </c>
      <c r="H33" s="35" t="b">
        <v>0</v>
      </c>
      <c r="I33" s="36" t="str">
        <f>HYPERLINK("https://prices.pokemontcg.io/cardmarket/swsh12pt5-87", "CM")</f>
        <v>CM</v>
      </c>
      <c r="J33" s="35" t="b">
        <v>1</v>
      </c>
      <c r="K33" s="35" t="b">
        <v>0</v>
      </c>
      <c r="L33" s="36" t="str">
        <f>HYPERLINK("https://prices.pokemontcg.io/cardmarket/swsh12pt5-88", "CM")</f>
        <v>CM</v>
      </c>
      <c r="M33" s="35" t="b">
        <v>1</v>
      </c>
      <c r="N33" s="35" t="b">
        <v>0</v>
      </c>
      <c r="O33" s="36" t="str">
        <f>HYPERLINK("https://prices.pokemontcg.io/cardmarket/swsh12pt5-90", "CM")</f>
        <v>CM</v>
      </c>
    </row>
    <row r="34" ht="7.5" customHeight="1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</row>
    <row r="35" ht="18.75" customHeight="1">
      <c r="A35" s="29" t="s">
        <v>621</v>
      </c>
      <c r="B35" s="30" t="s">
        <v>648</v>
      </c>
      <c r="C35" s="20"/>
      <c r="D35" s="29" t="s">
        <v>627</v>
      </c>
      <c r="E35" s="30" t="s">
        <v>939</v>
      </c>
      <c r="F35" s="20"/>
      <c r="G35" s="29" t="s">
        <v>815</v>
      </c>
      <c r="H35" s="30" t="s">
        <v>940</v>
      </c>
      <c r="I35" s="20"/>
      <c r="J35" s="29" t="s">
        <v>640</v>
      </c>
      <c r="K35" s="30" t="s">
        <v>941</v>
      </c>
      <c r="L35" s="20"/>
      <c r="M35" s="29" t="s">
        <v>643</v>
      </c>
      <c r="N35" s="30" t="s">
        <v>777</v>
      </c>
      <c r="O35" s="20"/>
    </row>
    <row r="36" ht="180.0" customHeight="1">
      <c r="A36" s="32" t="str">
        <f>IMAGE("https://assets.tcgdex.net/de/swsh/swsh12.5/091/low.jpg", 1)</f>
        <v/>
      </c>
      <c r="B36" s="22"/>
      <c r="C36" s="20"/>
      <c r="D36" s="32" t="str">
        <f>IMAGE("https://assets.tcgdex.net/de/swsh/swsh12.5/094/low.jpg", 1)</f>
        <v/>
      </c>
      <c r="E36" s="22"/>
      <c r="F36" s="20"/>
      <c r="G36" s="32" t="str">
        <f>IMAGE("https://assets.tcgdex.net/de/swsh/swsh12.5/097/low.jpg", 1)</f>
        <v/>
      </c>
      <c r="H36" s="22"/>
      <c r="I36" s="20"/>
      <c r="J36" s="32" t="str">
        <f>IMAGE("https://assets.tcgdex.net/de/swsh/swsh12.5/107/low.jpg", 1)</f>
        <v/>
      </c>
      <c r="K36" s="22"/>
      <c r="L36" s="20"/>
      <c r="M36" s="32" t="str">
        <f>IMAGE("https://assets.tcgdex.net/de/swsh/swsh12.5/109/low.jpg", 1)</f>
        <v/>
      </c>
      <c r="N36" s="22"/>
      <c r="O36" s="20"/>
    </row>
    <row r="37" ht="22.5" customHeight="1">
      <c r="A37" s="35" t="b">
        <v>1</v>
      </c>
      <c r="B37" s="35" t="b">
        <v>0</v>
      </c>
      <c r="C37" s="36" t="str">
        <f>HYPERLINK("https://prices.pokemontcg.io/cardmarket/swsh12pt5-91", "CM")</f>
        <v>CM</v>
      </c>
      <c r="D37" s="35" t="b">
        <v>1</v>
      </c>
      <c r="E37" s="35" t="b">
        <v>0</v>
      </c>
      <c r="F37" s="36" t="str">
        <f>HYPERLINK("https://prices.pokemontcg.io/cardmarket/swsh12pt5-94", "CM")</f>
        <v>CM</v>
      </c>
      <c r="G37" s="35" t="b">
        <v>1</v>
      </c>
      <c r="H37" s="35" t="b">
        <v>0</v>
      </c>
      <c r="I37" s="36" t="str">
        <f>HYPERLINK("https://prices.pokemontcg.io/cardmarket/swsh12pt5-97", "CM")</f>
        <v>CM</v>
      </c>
      <c r="J37" s="35" t="b">
        <v>1</v>
      </c>
      <c r="K37" s="35" t="b">
        <v>0</v>
      </c>
      <c r="L37" s="36" t="str">
        <f>HYPERLINK("https://prices.pokemontcg.io/cardmarket/swsh12pt5-107", "CM")</f>
        <v>CM</v>
      </c>
      <c r="M37" s="35" t="b">
        <v>1</v>
      </c>
      <c r="N37" s="35" t="b">
        <v>0</v>
      </c>
      <c r="O37" s="36" t="str">
        <f>HYPERLINK("https://prices.pokemontcg.io/cardmarket/swsh12pt5-109", "CM")</f>
        <v>CM</v>
      </c>
    </row>
    <row r="38" ht="7.5" customHeight="1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</row>
    <row r="39" ht="18.75" customHeight="1">
      <c r="A39" s="29" t="s">
        <v>645</v>
      </c>
      <c r="B39" s="30" t="s">
        <v>942</v>
      </c>
      <c r="C39" s="20"/>
      <c r="D39" s="29" t="s">
        <v>649</v>
      </c>
      <c r="E39" s="30" t="s">
        <v>943</v>
      </c>
      <c r="F39" s="20"/>
      <c r="G39" s="29" t="s">
        <v>657</v>
      </c>
      <c r="H39" s="30" t="s">
        <v>944</v>
      </c>
      <c r="I39" s="20"/>
      <c r="J39" s="29" t="s">
        <v>831</v>
      </c>
      <c r="K39" s="30" t="s">
        <v>945</v>
      </c>
      <c r="L39" s="20"/>
      <c r="M39" s="29" t="s">
        <v>661</v>
      </c>
      <c r="N39" s="30" t="s">
        <v>946</v>
      </c>
      <c r="O39" s="20"/>
    </row>
    <row r="40" ht="180.0" customHeight="1">
      <c r="A40" s="32" t="str">
        <f>IMAGE("https://assets.tcgdex.net/de/swsh/swsh12.5/110/low.jpg", 1)</f>
        <v/>
      </c>
      <c r="B40" s="22"/>
      <c r="C40" s="20"/>
      <c r="D40" s="32" t="str">
        <f>IMAGE("https://assets.tcgdex.net/de/swsh/swsh12.5/112/low.jpg", 1)</f>
        <v/>
      </c>
      <c r="E40" s="22"/>
      <c r="F40" s="20"/>
      <c r="G40" s="32" t="str">
        <f>IMAGE("https://assets.tcgdex.net/de/swsh/swsh12.5/119/low.jpg", 1)</f>
        <v/>
      </c>
      <c r="H40" s="22"/>
      <c r="I40" s="20"/>
      <c r="J40" s="32" t="str">
        <f>IMAGE("https://assets.tcgdex.net/de/swsh/swsh12.5/123/low.jpg", 1)</f>
        <v/>
      </c>
      <c r="K40" s="22"/>
      <c r="L40" s="20"/>
      <c r="M40" s="32" t="str">
        <f>IMAGE("https://assets.tcgdex.net/de/swsh/swsh12.5/125/low.jpg", 1)</f>
        <v/>
      </c>
      <c r="N40" s="22"/>
      <c r="O40" s="20"/>
    </row>
    <row r="41" ht="22.5" customHeight="1">
      <c r="A41" s="35" t="b">
        <v>1</v>
      </c>
      <c r="B41" s="35" t="b">
        <v>0</v>
      </c>
      <c r="C41" s="36" t="str">
        <f>HYPERLINK("https://prices.pokemontcg.io/cardmarket/swsh12pt5-110", "CM")</f>
        <v>CM</v>
      </c>
      <c r="D41" s="35" t="b">
        <v>1</v>
      </c>
      <c r="E41" s="35" t="b">
        <v>0</v>
      </c>
      <c r="F41" s="36" t="str">
        <f>HYPERLINK("https://prices.pokemontcg.io/cardmarket/swsh12pt5-112", "CM")</f>
        <v>CM</v>
      </c>
      <c r="G41" s="35" t="b">
        <v>1</v>
      </c>
      <c r="H41" s="35" t="b">
        <v>0</v>
      </c>
      <c r="I41" s="36" t="str">
        <f>HYPERLINK("https://prices.pokemontcg.io/cardmarket/swsh12pt5-119", "CM")</f>
        <v>CM</v>
      </c>
      <c r="J41" s="35" t="b">
        <v>1</v>
      </c>
      <c r="K41" s="35" t="b">
        <v>0</v>
      </c>
      <c r="L41" s="36" t="str">
        <f>HYPERLINK("https://prices.pokemontcg.io/cardmarket/swsh12pt5-123", "CM")</f>
        <v>CM</v>
      </c>
      <c r="M41" s="35" t="b">
        <v>1</v>
      </c>
      <c r="N41" s="35" t="b">
        <v>0</v>
      </c>
      <c r="O41" s="36" t="str">
        <f>HYPERLINK("https://prices.pokemontcg.io/cardmarket/swsh12pt5-125", "CM")</f>
        <v>CM</v>
      </c>
    </row>
    <row r="42" ht="7.5" customHeight="1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</row>
    <row r="43" ht="18.75" customHeight="1">
      <c r="A43" s="29" t="s">
        <v>835</v>
      </c>
      <c r="B43" s="30" t="s">
        <v>947</v>
      </c>
      <c r="C43" s="20"/>
      <c r="D43" s="29" t="s">
        <v>662</v>
      </c>
      <c r="E43" s="30" t="s">
        <v>948</v>
      </c>
      <c r="F43" s="20"/>
      <c r="G43" s="29" t="s">
        <v>837</v>
      </c>
      <c r="H43" s="30" t="s">
        <v>949</v>
      </c>
      <c r="I43" s="20"/>
      <c r="J43" s="29" t="s">
        <v>841</v>
      </c>
      <c r="K43" s="30" t="s">
        <v>902</v>
      </c>
      <c r="L43" s="20"/>
      <c r="M43" s="29" t="s">
        <v>842</v>
      </c>
      <c r="N43" s="30" t="s">
        <v>950</v>
      </c>
      <c r="O43" s="20"/>
    </row>
    <row r="44" ht="180.0" customHeight="1">
      <c r="A44" s="32" t="str">
        <f>IMAGE("https://assets.tcgdex.net/de/swsh/swsh12.5/126/low.jpg", 1)</f>
        <v/>
      </c>
      <c r="B44" s="22"/>
      <c r="C44" s="20"/>
      <c r="D44" s="32" t="str">
        <f>IMAGE("https://assets.tcgdex.net/de/swsh/swsh12.5/127/low.jpg", 1)</f>
        <v/>
      </c>
      <c r="E44" s="22"/>
      <c r="F44" s="20"/>
      <c r="G44" s="32" t="str">
        <f>IMAGE("https://assets.tcgdex.net/de/swsh/swsh12.5/128/low.jpg", 1)</f>
        <v/>
      </c>
      <c r="H44" s="22"/>
      <c r="I44" s="20"/>
      <c r="J44" s="32" t="str">
        <f>IMAGE("https://assets.tcgdex.net/de/swsh/swsh12.5/130/low.jpg", 1)</f>
        <v/>
      </c>
      <c r="K44" s="22"/>
      <c r="L44" s="20"/>
      <c r="M44" s="32" t="str">
        <f>IMAGE("https://assets.tcgdex.net/de/swsh/swsh12.5/131/low.jpg", 1)</f>
        <v/>
      </c>
      <c r="N44" s="22"/>
      <c r="O44" s="20"/>
    </row>
    <row r="45" ht="22.5" customHeight="1">
      <c r="A45" s="35" t="b">
        <v>1</v>
      </c>
      <c r="B45" s="35" t="b">
        <v>0</v>
      </c>
      <c r="C45" s="36" t="str">
        <f>HYPERLINK("https://prices.pokemontcg.io/cardmarket/swsh12pt5-126", "CM")</f>
        <v>CM</v>
      </c>
      <c r="D45" s="35" t="b">
        <v>1</v>
      </c>
      <c r="E45" s="35" t="b">
        <v>0</v>
      </c>
      <c r="F45" s="36" t="str">
        <f>HYPERLINK("https://prices.pokemontcg.io/cardmarket/swsh12pt5-127", "CM")</f>
        <v>CM</v>
      </c>
      <c r="G45" s="35" t="b">
        <v>1</v>
      </c>
      <c r="H45" s="35" t="b">
        <v>0</v>
      </c>
      <c r="I45" s="36" t="str">
        <f>HYPERLINK("https://prices.pokemontcg.io/cardmarket/swsh12pt5-128", "CM")</f>
        <v>CM</v>
      </c>
      <c r="J45" s="35" t="b">
        <v>1</v>
      </c>
      <c r="K45" s="35" t="b">
        <v>0</v>
      </c>
      <c r="L45" s="36" t="str">
        <f>HYPERLINK("https://prices.pokemontcg.io/cardmarket/swsh12pt5-130", "CM")</f>
        <v>CM</v>
      </c>
      <c r="M45" s="35" t="b">
        <v>1</v>
      </c>
      <c r="N45" s="35" t="b">
        <v>0</v>
      </c>
      <c r="O45" s="36" t="str">
        <f>HYPERLINK("https://prices.pokemontcg.io/cardmarket/swsh12pt5-131", "CM")</f>
        <v>CM</v>
      </c>
    </row>
    <row r="46" ht="7.5" customHeight="1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</row>
    <row r="47" ht="18.75" customHeight="1">
      <c r="A47" s="29" t="s">
        <v>844</v>
      </c>
      <c r="B47" s="30" t="s">
        <v>951</v>
      </c>
      <c r="C47" s="20"/>
      <c r="D47" s="29" t="s">
        <v>664</v>
      </c>
      <c r="E47" s="30" t="s">
        <v>952</v>
      </c>
      <c r="F47" s="20"/>
      <c r="G47" s="29" t="s">
        <v>666</v>
      </c>
      <c r="H47" s="30" t="s">
        <v>953</v>
      </c>
      <c r="I47" s="20"/>
      <c r="J47" s="29" t="s">
        <v>845</v>
      </c>
      <c r="K47" s="30" t="s">
        <v>954</v>
      </c>
      <c r="L47" s="20"/>
      <c r="M47" s="29" t="s">
        <v>670</v>
      </c>
      <c r="N47" s="30" t="s">
        <v>955</v>
      </c>
      <c r="O47" s="20"/>
    </row>
    <row r="48" ht="180.0" customHeight="1">
      <c r="A48" s="32" t="str">
        <f>IMAGE("https://assets.tcgdex.net/de/swsh/swsh12.5/132/low.jpg", 1)</f>
        <v/>
      </c>
      <c r="B48" s="22"/>
      <c r="C48" s="20"/>
      <c r="D48" s="32" t="str">
        <f>IMAGE("https://assets.tcgdex.net/de/swsh/swsh12.5/133/low.jpg", 1)</f>
        <v/>
      </c>
      <c r="E48" s="22"/>
      <c r="F48" s="20"/>
      <c r="G48" s="32" t="str">
        <f>IMAGE("https://assets.tcgdex.net/de/swsh/swsh12.5/134/low.jpg", 1)</f>
        <v/>
      </c>
      <c r="H48" s="22"/>
      <c r="I48" s="20"/>
      <c r="J48" s="32" t="str">
        <f>IMAGE("https://assets.tcgdex.net/de/swsh/swsh12.5/135/low.jpg", 1)</f>
        <v/>
      </c>
      <c r="K48" s="22"/>
      <c r="L48" s="20"/>
      <c r="M48" s="32" t="str">
        <f>IMAGE("https://assets.tcgdex.net/de/swsh/swsh12.5/137/low.jpg", 1)</f>
        <v/>
      </c>
      <c r="N48" s="22"/>
      <c r="O48" s="20"/>
    </row>
    <row r="49" ht="22.5" customHeight="1">
      <c r="A49" s="35" t="b">
        <v>1</v>
      </c>
      <c r="B49" s="35" t="b">
        <v>0</v>
      </c>
      <c r="C49" s="36" t="str">
        <f>HYPERLINK("https://prices.pokemontcg.io/cardmarket/swsh12pt5-132", "CM")</f>
        <v>CM</v>
      </c>
      <c r="D49" s="35" t="b">
        <v>1</v>
      </c>
      <c r="E49" s="35" t="b">
        <v>0</v>
      </c>
      <c r="F49" s="36" t="str">
        <f>HYPERLINK("https://prices.pokemontcg.io/cardmarket/swsh12pt5-133", "CM")</f>
        <v>CM</v>
      </c>
      <c r="G49" s="35" t="b">
        <v>1</v>
      </c>
      <c r="H49" s="35" t="b">
        <v>0</v>
      </c>
      <c r="I49" s="36" t="str">
        <f>HYPERLINK("https://prices.pokemontcg.io/cardmarket/swsh12pt5-134", "CM")</f>
        <v>CM</v>
      </c>
      <c r="J49" s="35" t="b">
        <v>1</v>
      </c>
      <c r="K49" s="35" t="b">
        <v>0</v>
      </c>
      <c r="L49" s="36" t="str">
        <f>HYPERLINK("https://prices.pokemontcg.io/cardmarket/swsh12pt5-135", "CM")</f>
        <v>CM</v>
      </c>
      <c r="M49" s="35" t="b">
        <v>1</v>
      </c>
      <c r="N49" s="35" t="b">
        <v>0</v>
      </c>
      <c r="O49" s="36" t="str">
        <f>HYPERLINK("https://prices.pokemontcg.io/cardmarket/swsh12pt5-137", "CM")</f>
        <v>CM</v>
      </c>
    </row>
    <row r="50" ht="7.5" customHeight="1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</row>
    <row r="51" ht="18.75" customHeight="1">
      <c r="A51" s="29" t="s">
        <v>674</v>
      </c>
      <c r="B51" s="30" t="s">
        <v>956</v>
      </c>
      <c r="C51" s="20"/>
      <c r="D51" s="29" t="s">
        <v>847</v>
      </c>
      <c r="E51" s="30" t="s">
        <v>957</v>
      </c>
      <c r="F51" s="20"/>
      <c r="G51" s="29" t="s">
        <v>678</v>
      </c>
      <c r="H51" s="30" t="s">
        <v>958</v>
      </c>
      <c r="I51" s="20"/>
      <c r="J51" s="29" t="s">
        <v>679</v>
      </c>
      <c r="K51" s="30" t="s">
        <v>959</v>
      </c>
      <c r="L51" s="20"/>
      <c r="M51" s="27" t="s">
        <v>742</v>
      </c>
      <c r="N51" s="28" t="s">
        <v>960</v>
      </c>
      <c r="O51" s="20"/>
    </row>
    <row r="52" ht="180.0" customHeight="1">
      <c r="A52" s="32" t="str">
        <f>IMAGE("https://assets.tcgdex.net/de/swsh/swsh12.5/139/low.jpg", 1)</f>
        <v/>
      </c>
      <c r="B52" s="22"/>
      <c r="C52" s="20"/>
      <c r="D52" s="32" t="str">
        <f>IMAGE("https://assets.tcgdex.net/de/swsh/swsh12.5/140/low.jpg", 1)</f>
        <v/>
      </c>
      <c r="E52" s="22"/>
      <c r="F52" s="20"/>
      <c r="G52" s="32" t="str">
        <f>IMAGE("https://assets.tcgdex.net/de/swsh/swsh12.5/143/low.jpg", 1)</f>
        <v/>
      </c>
      <c r="H52" s="22"/>
      <c r="I52" s="20"/>
      <c r="J52" s="32" t="str">
        <f>IMAGE("https://assets.tcgdex.net/de/swsh/swsh12.5/144/low.jpg", 1)</f>
        <v/>
      </c>
      <c r="K52" s="22"/>
      <c r="L52" s="20"/>
      <c r="M52" s="31" t="str">
        <f>IMAGE("https://assets.tcgdex.net/de/swsh/swsh12.5/005/low.jpg", 1)</f>
        <v/>
      </c>
      <c r="N52" s="22"/>
      <c r="O52" s="20"/>
    </row>
    <row r="53" ht="22.5" customHeight="1">
      <c r="A53" s="35" t="b">
        <v>1</v>
      </c>
      <c r="B53" s="35" t="b">
        <v>0</v>
      </c>
      <c r="C53" s="36" t="str">
        <f>HYPERLINK("https://prices.pokemontcg.io/cardmarket/swsh12pt5-139", "CM")</f>
        <v>CM</v>
      </c>
      <c r="D53" s="35" t="b">
        <v>1</v>
      </c>
      <c r="E53" s="35" t="b">
        <v>0</v>
      </c>
      <c r="F53" s="36" t="str">
        <f>HYPERLINK("https://prices.pokemontcg.io/cardmarket/swsh12pt5-140", "CM")</f>
        <v>CM</v>
      </c>
      <c r="G53" s="35" t="b">
        <v>1</v>
      </c>
      <c r="H53" s="35" t="b">
        <v>0</v>
      </c>
      <c r="I53" s="36" t="str">
        <f>HYPERLINK("https://prices.pokemontcg.io/cardmarket/swsh12pt5-143", "CM")</f>
        <v>CM</v>
      </c>
      <c r="J53" s="35" t="b">
        <v>1</v>
      </c>
      <c r="K53" s="35" t="b">
        <v>0</v>
      </c>
      <c r="L53" s="36" t="str">
        <f>HYPERLINK("https://prices.pokemontcg.io/cardmarket/swsh12pt5-144", "CM")</f>
        <v>CM</v>
      </c>
      <c r="M53" s="33" t="b">
        <v>1</v>
      </c>
      <c r="N53" s="33" t="b">
        <v>1</v>
      </c>
      <c r="O53" s="34" t="str">
        <f>HYPERLINK("https://prices.pokemontcg.io/cardmarket/swsh12pt5-5", "CM")</f>
        <v>CM</v>
      </c>
    </row>
    <row r="54" ht="7.5" customHeight="1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</row>
    <row r="55" ht="18.75" customHeight="1">
      <c r="A55" s="27" t="s">
        <v>746</v>
      </c>
      <c r="B55" s="28" t="s">
        <v>893</v>
      </c>
      <c r="C55" s="20"/>
      <c r="D55" s="27" t="s">
        <v>748</v>
      </c>
      <c r="E55" s="28" t="s">
        <v>961</v>
      </c>
      <c r="F55" s="20"/>
      <c r="G55" s="27" t="s">
        <v>752</v>
      </c>
      <c r="H55" s="28" t="s">
        <v>962</v>
      </c>
      <c r="I55" s="20"/>
      <c r="J55" s="27" t="s">
        <v>754</v>
      </c>
      <c r="K55" s="28" t="s">
        <v>963</v>
      </c>
      <c r="L55" s="20"/>
      <c r="M55" s="27" t="s">
        <v>755</v>
      </c>
      <c r="N55" s="28" t="s">
        <v>964</v>
      </c>
      <c r="O55" s="20"/>
    </row>
    <row r="56" ht="180.0" customHeight="1">
      <c r="A56" s="31" t="str">
        <f>IMAGE("https://assets.tcgdex.net/de/swsh/swsh12.5/009/low.jpg", 1)</f>
        <v/>
      </c>
      <c r="B56" s="22"/>
      <c r="C56" s="20"/>
      <c r="D56" s="31" t="str">
        <f>IMAGE("https://assets.tcgdex.net/de/swsh/swsh12.5/010/low.jpg", 1)</f>
        <v/>
      </c>
      <c r="E56" s="22"/>
      <c r="F56" s="20"/>
      <c r="G56" s="31" t="str">
        <f>IMAGE("https://assets.tcgdex.net/de/swsh/swsh12.5/012/low.jpg", 1)</f>
        <v/>
      </c>
      <c r="H56" s="22"/>
      <c r="I56" s="20"/>
      <c r="J56" s="31" t="str">
        <f>IMAGE("https://assets.tcgdex.net/de/swsh/swsh12.5/013/low.jpg", 1)</f>
        <v/>
      </c>
      <c r="K56" s="22"/>
      <c r="L56" s="20"/>
      <c r="M56" s="31" t="str">
        <f>IMAGE("https://assets.tcgdex.net/de/swsh/swsh12.5/014/low.jpg", 1)</f>
        <v/>
      </c>
      <c r="N56" s="22"/>
      <c r="O56" s="20"/>
    </row>
    <row r="57" ht="22.5" customHeight="1">
      <c r="A57" s="33" t="b">
        <v>1</v>
      </c>
      <c r="B57" s="33" t="b">
        <v>1</v>
      </c>
      <c r="C57" s="34" t="str">
        <f>HYPERLINK("https://prices.pokemontcg.io/cardmarket/swsh12pt5-9", "CM")</f>
        <v>CM</v>
      </c>
      <c r="D57" s="33" t="b">
        <v>1</v>
      </c>
      <c r="E57" s="33" t="b">
        <v>1</v>
      </c>
      <c r="F57" s="34" t="str">
        <f>HYPERLINK("https://prices.pokemontcg.io/cardmarket/swsh12pt5-10", "CM")</f>
        <v>CM</v>
      </c>
      <c r="G57" s="33" t="b">
        <v>1</v>
      </c>
      <c r="H57" s="33" t="b">
        <v>1</v>
      </c>
      <c r="I57" s="34" t="str">
        <f>HYPERLINK("https://prices.pokemontcg.io/cardmarket/swsh12pt5-12", "CM")</f>
        <v>CM</v>
      </c>
      <c r="J57" s="33" t="b">
        <v>1</v>
      </c>
      <c r="K57" s="33" t="b">
        <v>1</v>
      </c>
      <c r="L57" s="34" t="str">
        <f>HYPERLINK("https://prices.pokemontcg.io/cardmarket/swsh12pt5-13", "CM")</f>
        <v>CM</v>
      </c>
      <c r="M57" s="33" t="b">
        <v>1</v>
      </c>
      <c r="N57" s="33" t="b">
        <v>1</v>
      </c>
      <c r="O57" s="34" t="str">
        <f>HYPERLINK("https://prices.pokemontcg.io/cardmarket/swsh12pt5-14", "CM")</f>
        <v>CM</v>
      </c>
    </row>
    <row r="58" ht="7.5" customHeight="1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</row>
    <row r="59" ht="18.75" customHeight="1">
      <c r="A59" s="27" t="s">
        <v>533</v>
      </c>
      <c r="B59" s="28" t="s">
        <v>965</v>
      </c>
      <c r="C59" s="20"/>
      <c r="D59" s="27" t="s">
        <v>535</v>
      </c>
      <c r="E59" s="28" t="s">
        <v>723</v>
      </c>
      <c r="F59" s="20"/>
      <c r="G59" s="27" t="s">
        <v>756</v>
      </c>
      <c r="H59" s="28" t="s">
        <v>966</v>
      </c>
      <c r="I59" s="20"/>
      <c r="J59" s="27" t="s">
        <v>539</v>
      </c>
      <c r="K59" s="28" t="s">
        <v>967</v>
      </c>
      <c r="L59" s="20"/>
      <c r="M59" s="27" t="s">
        <v>541</v>
      </c>
      <c r="N59" s="28" t="s">
        <v>968</v>
      </c>
      <c r="O59" s="20"/>
    </row>
    <row r="60" ht="180.0" customHeight="1">
      <c r="A60" s="31" t="str">
        <f>IMAGE("https://assets.tcgdex.net/de/swsh/swsh12.5/015/low.jpg", 1)</f>
        <v/>
      </c>
      <c r="B60" s="22"/>
      <c r="C60" s="20"/>
      <c r="D60" s="31" t="str">
        <f>IMAGE("https://assets.tcgdex.net/de/swsh/swsh12.5/016/low.jpg", 1)</f>
        <v/>
      </c>
      <c r="E60" s="22"/>
      <c r="F60" s="20"/>
      <c r="G60" s="31" t="str">
        <f>IMAGE("https://assets.tcgdex.net/de/swsh/swsh12.5/018/low.jpg", 1)</f>
        <v/>
      </c>
      <c r="H60" s="22"/>
      <c r="I60" s="20"/>
      <c r="J60" s="31" t="str">
        <f>IMAGE("https://assets.tcgdex.net/de/swsh/swsh12.5/019/low.jpg", 1)</f>
        <v/>
      </c>
      <c r="K60" s="22"/>
      <c r="L60" s="20"/>
      <c r="M60" s="31" t="str">
        <f>IMAGE("https://assets.tcgdex.net/de/swsh/swsh12.5/020/low.jpg", 1)</f>
        <v/>
      </c>
      <c r="N60" s="22"/>
      <c r="O60" s="20"/>
    </row>
    <row r="61" ht="22.5" customHeight="1">
      <c r="A61" s="33" t="b">
        <v>1</v>
      </c>
      <c r="B61" s="33" t="b">
        <v>1</v>
      </c>
      <c r="C61" s="34" t="str">
        <f>HYPERLINK("https://prices.pokemontcg.io/cardmarket/swsh12pt5-15", "CM")</f>
        <v>CM</v>
      </c>
      <c r="D61" s="33" t="b">
        <v>1</v>
      </c>
      <c r="E61" s="33" t="b">
        <v>1</v>
      </c>
      <c r="F61" s="34" t="str">
        <f>HYPERLINK("https://prices.pokemontcg.io/cardmarket/swsh12pt5-16", "CM")</f>
        <v>CM</v>
      </c>
      <c r="G61" s="33" t="b">
        <v>1</v>
      </c>
      <c r="H61" s="33" t="b">
        <v>1</v>
      </c>
      <c r="I61" s="34" t="str">
        <f>HYPERLINK("https://prices.pokemontcg.io/cardmarket/swsh12pt5-18", "CM")</f>
        <v>CM</v>
      </c>
      <c r="J61" s="33" t="b">
        <v>1</v>
      </c>
      <c r="K61" s="33" t="b">
        <v>1</v>
      </c>
      <c r="L61" s="34" t="str">
        <f>HYPERLINK("https://prices.pokemontcg.io/cardmarket/swsh12pt5-19", "CM")</f>
        <v>CM</v>
      </c>
      <c r="M61" s="33" t="b">
        <v>1</v>
      </c>
      <c r="N61" s="33" t="b">
        <v>1</v>
      </c>
      <c r="O61" s="34" t="str">
        <f>HYPERLINK("https://prices.pokemontcg.io/cardmarket/swsh12pt5-20", "CM")</f>
        <v>CM</v>
      </c>
    </row>
    <row r="62" ht="7.5" customHeight="1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</row>
    <row r="63" ht="18.75" customHeight="1">
      <c r="A63" s="27" t="s">
        <v>543</v>
      </c>
      <c r="B63" s="28" t="s">
        <v>969</v>
      </c>
      <c r="C63" s="20"/>
      <c r="D63" s="27" t="s">
        <v>545</v>
      </c>
      <c r="E63" s="28" t="s">
        <v>970</v>
      </c>
      <c r="F63" s="20"/>
      <c r="G63" s="27" t="s">
        <v>547</v>
      </c>
      <c r="H63" s="28" t="s">
        <v>971</v>
      </c>
      <c r="I63" s="20"/>
      <c r="J63" s="27" t="s">
        <v>549</v>
      </c>
      <c r="K63" s="28" t="s">
        <v>972</v>
      </c>
      <c r="L63" s="20"/>
      <c r="M63" s="27" t="s">
        <v>758</v>
      </c>
      <c r="N63" s="28" t="s">
        <v>973</v>
      </c>
      <c r="O63" s="20"/>
    </row>
    <row r="64" ht="180.0" customHeight="1">
      <c r="A64" s="31" t="str">
        <f>IMAGE("https://assets.tcgdex.net/de/swsh/swsh12.5/021/low.jpg", 1)</f>
        <v/>
      </c>
      <c r="B64" s="22"/>
      <c r="C64" s="20"/>
      <c r="D64" s="31" t="str">
        <f>IMAGE("https://assets.tcgdex.net/de/swsh/swsh12.5/022/low.jpg", 1)</f>
        <v/>
      </c>
      <c r="E64" s="22"/>
      <c r="F64" s="20"/>
      <c r="G64" s="31" t="str">
        <f>IMAGE("https://assets.tcgdex.net/de/swsh/swsh12.5/023/low.jpg", 1)</f>
        <v/>
      </c>
      <c r="H64" s="22"/>
      <c r="I64" s="20"/>
      <c r="J64" s="31" t="str">
        <f>IMAGE("https://assets.tcgdex.net/de/swsh/swsh12.5/024/low.jpg", 1)</f>
        <v/>
      </c>
      <c r="K64" s="22"/>
      <c r="L64" s="20"/>
      <c r="M64" s="31" t="str">
        <f>IMAGE("https://assets.tcgdex.net/de/swsh/swsh12.5/025/low.jpg", 1)</f>
        <v/>
      </c>
      <c r="N64" s="22"/>
      <c r="O64" s="20"/>
    </row>
    <row r="65" ht="22.5" customHeight="1">
      <c r="A65" s="33" t="b">
        <v>1</v>
      </c>
      <c r="B65" s="33" t="b">
        <v>1</v>
      </c>
      <c r="C65" s="34" t="str">
        <f>HYPERLINK("https://prices.pokemontcg.io/cardmarket/swsh12pt5-21", "CM")</f>
        <v>CM</v>
      </c>
      <c r="D65" s="33" t="b">
        <v>1</v>
      </c>
      <c r="E65" s="33" t="b">
        <v>1</v>
      </c>
      <c r="F65" s="34" t="str">
        <f>HYPERLINK("https://prices.pokemontcg.io/cardmarket/swsh12pt5-22", "CM")</f>
        <v>CM</v>
      </c>
      <c r="G65" s="33" t="b">
        <v>1</v>
      </c>
      <c r="H65" s="33" t="b">
        <v>1</v>
      </c>
      <c r="I65" s="34" t="str">
        <f>HYPERLINK("https://prices.pokemontcg.io/cardmarket/swsh12pt5-23", "CM")</f>
        <v>CM</v>
      </c>
      <c r="J65" s="33" t="b">
        <v>1</v>
      </c>
      <c r="K65" s="33" t="b">
        <v>1</v>
      </c>
      <c r="L65" s="34" t="str">
        <f>HYPERLINK("https://prices.pokemontcg.io/cardmarket/swsh12pt5-24", "CM")</f>
        <v>CM</v>
      </c>
      <c r="M65" s="33" t="b">
        <v>1</v>
      </c>
      <c r="N65" s="33" t="b">
        <v>1</v>
      </c>
      <c r="O65" s="34" t="str">
        <f>HYPERLINK("https://prices.pokemontcg.io/cardmarket/swsh12pt5-25", "CM")</f>
        <v>CM</v>
      </c>
    </row>
    <row r="66" ht="7.5" customHeight="1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</row>
    <row r="67" ht="18.75" customHeight="1">
      <c r="A67" s="27" t="s">
        <v>551</v>
      </c>
      <c r="B67" s="28" t="s">
        <v>974</v>
      </c>
      <c r="C67" s="20"/>
      <c r="D67" s="27" t="s">
        <v>557</v>
      </c>
      <c r="E67" s="28" t="s">
        <v>975</v>
      </c>
      <c r="F67" s="20"/>
      <c r="G67" s="27" t="s">
        <v>561</v>
      </c>
      <c r="H67" s="28" t="s">
        <v>976</v>
      </c>
      <c r="I67" s="20"/>
      <c r="J67" s="27" t="s">
        <v>563</v>
      </c>
      <c r="K67" s="28" t="s">
        <v>977</v>
      </c>
      <c r="L67" s="20"/>
      <c r="M67" s="27" t="s">
        <v>565</v>
      </c>
      <c r="N67" s="28" t="s">
        <v>978</v>
      </c>
      <c r="O67" s="20"/>
    </row>
    <row r="68" ht="180.0" customHeight="1">
      <c r="A68" s="31" t="str">
        <f>IMAGE("https://assets.tcgdex.net/de/swsh/swsh12.5/028/low.jpg", 1)</f>
        <v/>
      </c>
      <c r="B68" s="22"/>
      <c r="C68" s="20"/>
      <c r="D68" s="31" t="str">
        <f>IMAGE("https://assets.tcgdex.net/de/swsh/swsh12.5/031/low.jpg", 1)</f>
        <v/>
      </c>
      <c r="E68" s="22"/>
      <c r="F68" s="20"/>
      <c r="G68" s="31" t="str">
        <f>IMAGE("https://assets.tcgdex.net/de/swsh/swsh12.5/033/low.jpg", 1)</f>
        <v/>
      </c>
      <c r="H68" s="22"/>
      <c r="I68" s="20"/>
      <c r="J68" s="31" t="str">
        <f>IMAGE("https://assets.tcgdex.net/de/swsh/swsh12.5/034/low.jpg", 1)</f>
        <v/>
      </c>
      <c r="K68" s="22"/>
      <c r="L68" s="20"/>
      <c r="M68" s="31" t="str">
        <f>IMAGE("https://assets.tcgdex.net/de/swsh/swsh12.5/035/low.jpg", 1)</f>
        <v/>
      </c>
      <c r="N68" s="22"/>
      <c r="O68" s="20"/>
    </row>
    <row r="69" ht="22.5" customHeight="1">
      <c r="A69" s="33" t="b">
        <v>1</v>
      </c>
      <c r="B69" s="33" t="b">
        <v>1</v>
      </c>
      <c r="C69" s="34" t="str">
        <f>HYPERLINK("https://prices.pokemontcg.io/cardmarket/swsh12pt5-28", "CM")</f>
        <v>CM</v>
      </c>
      <c r="D69" s="33" t="b">
        <v>1</v>
      </c>
      <c r="E69" s="33" t="b">
        <v>1</v>
      </c>
      <c r="F69" s="34" t="str">
        <f>HYPERLINK("https://prices.pokemontcg.io/cardmarket/swsh12pt5-31", "CM")</f>
        <v>CM</v>
      </c>
      <c r="G69" s="33" t="b">
        <v>1</v>
      </c>
      <c r="H69" s="33" t="b">
        <v>1</v>
      </c>
      <c r="I69" s="34" t="str">
        <f>HYPERLINK("https://prices.pokemontcg.io/cardmarket/swsh12pt5-33", "CM")</f>
        <v>CM</v>
      </c>
      <c r="J69" s="33" t="b">
        <v>1</v>
      </c>
      <c r="K69" s="33" t="b">
        <v>1</v>
      </c>
      <c r="L69" s="34" t="str">
        <f>HYPERLINK("https://prices.pokemontcg.io/cardmarket/swsh12pt5-34", "CM")</f>
        <v>CM</v>
      </c>
      <c r="M69" s="33" t="b">
        <v>1</v>
      </c>
      <c r="N69" s="33" t="b">
        <v>1</v>
      </c>
      <c r="O69" s="34" t="str">
        <f>HYPERLINK("https://prices.pokemontcg.io/cardmarket/swsh12pt5-35", "CM")</f>
        <v>CM</v>
      </c>
    </row>
    <row r="70" ht="7.5" customHeight="1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</row>
    <row r="71" ht="18.75" customHeight="1">
      <c r="A71" s="27" t="s">
        <v>569</v>
      </c>
      <c r="B71" s="28" t="s">
        <v>979</v>
      </c>
      <c r="C71" s="20"/>
      <c r="D71" s="27" t="s">
        <v>571</v>
      </c>
      <c r="E71" s="28" t="s">
        <v>980</v>
      </c>
      <c r="F71" s="20"/>
      <c r="G71" s="27" t="s">
        <v>575</v>
      </c>
      <c r="H71" s="28" t="s">
        <v>921</v>
      </c>
      <c r="I71" s="20"/>
      <c r="J71" s="27" t="s">
        <v>579</v>
      </c>
      <c r="K71" s="28" t="s">
        <v>922</v>
      </c>
      <c r="L71" s="20"/>
      <c r="M71" s="27" t="s">
        <v>581</v>
      </c>
      <c r="N71" s="28" t="s">
        <v>981</v>
      </c>
      <c r="O71" s="20"/>
    </row>
    <row r="72" ht="180.0" customHeight="1">
      <c r="A72" s="31" t="str">
        <f>IMAGE("https://assets.tcgdex.net/de/swsh/swsh12.5/037/low.jpg", 1)</f>
        <v/>
      </c>
      <c r="B72" s="22"/>
      <c r="C72" s="20"/>
      <c r="D72" s="31" t="str">
        <f>IMAGE("https://assets.tcgdex.net/de/swsh/swsh12.5/038/low.jpg", 1)</f>
        <v/>
      </c>
      <c r="E72" s="22"/>
      <c r="F72" s="20"/>
      <c r="G72" s="31" t="str">
        <f>IMAGE("https://assets.tcgdex.net/de/swsh/swsh12.5/040/low.jpg", 1)</f>
        <v/>
      </c>
      <c r="H72" s="22"/>
      <c r="I72" s="20"/>
      <c r="J72" s="31" t="str">
        <f>IMAGE("https://assets.tcgdex.net/de/swsh/swsh12.5/042/low.jpg", 1)</f>
        <v/>
      </c>
      <c r="K72" s="22"/>
      <c r="L72" s="20"/>
      <c r="M72" s="31" t="str">
        <f>IMAGE("https://assets.tcgdex.net/de/swsh/swsh12.5/045/low.jpg", 1)</f>
        <v/>
      </c>
      <c r="N72" s="22"/>
      <c r="O72" s="20"/>
    </row>
    <row r="73" ht="22.5" customHeight="1">
      <c r="A73" s="33" t="b">
        <v>1</v>
      </c>
      <c r="B73" s="33" t="b">
        <v>1</v>
      </c>
      <c r="C73" s="34" t="str">
        <f>HYPERLINK("https://prices.pokemontcg.io/cardmarket/swsh12pt5-37", "CM")</f>
        <v>CM</v>
      </c>
      <c r="D73" s="33" t="b">
        <v>1</v>
      </c>
      <c r="E73" s="33" t="b">
        <v>1</v>
      </c>
      <c r="F73" s="34" t="str">
        <f>HYPERLINK("https://prices.pokemontcg.io/cardmarket/swsh12pt5-38", "CM")</f>
        <v>CM</v>
      </c>
      <c r="G73" s="33" t="b">
        <v>1</v>
      </c>
      <c r="H73" s="33" t="b">
        <v>1</v>
      </c>
      <c r="I73" s="34" t="str">
        <f>HYPERLINK("https://prices.pokemontcg.io/cardmarket/swsh12pt5-40", "CM")</f>
        <v>CM</v>
      </c>
      <c r="J73" s="33" t="b">
        <v>1</v>
      </c>
      <c r="K73" s="33" t="b">
        <v>1</v>
      </c>
      <c r="L73" s="34" t="str">
        <f>HYPERLINK("https://prices.pokemontcg.io/cardmarket/swsh12pt5-42", "CM")</f>
        <v>CM</v>
      </c>
      <c r="M73" s="33" t="b">
        <v>1</v>
      </c>
      <c r="N73" s="33" t="b">
        <v>1</v>
      </c>
      <c r="O73" s="34" t="str">
        <f>HYPERLINK("https://prices.pokemontcg.io/cardmarket/swsh12pt5-45", "CM")</f>
        <v>CM</v>
      </c>
    </row>
    <row r="74" ht="7.5" customHeight="1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</row>
    <row r="75" ht="18.75" customHeight="1">
      <c r="A75" s="27" t="s">
        <v>767</v>
      </c>
      <c r="B75" s="28" t="s">
        <v>982</v>
      </c>
      <c r="C75" s="20"/>
      <c r="D75" s="27" t="s">
        <v>769</v>
      </c>
      <c r="E75" s="28" t="s">
        <v>983</v>
      </c>
      <c r="F75" s="20"/>
      <c r="G75" s="27" t="s">
        <v>772</v>
      </c>
      <c r="H75" s="28" t="s">
        <v>984</v>
      </c>
      <c r="I75" s="20"/>
      <c r="J75" s="27" t="s">
        <v>774</v>
      </c>
      <c r="K75" s="28" t="s">
        <v>985</v>
      </c>
      <c r="L75" s="20"/>
      <c r="M75" s="27" t="s">
        <v>776</v>
      </c>
      <c r="N75" s="28" t="s">
        <v>986</v>
      </c>
      <c r="O75" s="20"/>
    </row>
    <row r="76" ht="180.0" customHeight="1">
      <c r="A76" s="31" t="str">
        <f>IMAGE("https://assets.tcgdex.net/de/swsh/swsh12.5/046/low.jpg", 1)</f>
        <v/>
      </c>
      <c r="B76" s="22"/>
      <c r="C76" s="20"/>
      <c r="D76" s="31" t="str">
        <f>IMAGE("https://assets.tcgdex.net/de/swsh/swsh12.5/047/low.jpg", 1)</f>
        <v/>
      </c>
      <c r="E76" s="22"/>
      <c r="F76" s="20"/>
      <c r="G76" s="31" t="str">
        <f>IMAGE("https://assets.tcgdex.net/de/swsh/swsh12.5/049/low.jpg", 1)</f>
        <v/>
      </c>
      <c r="H76" s="22"/>
      <c r="I76" s="20"/>
      <c r="J76" s="31" t="str">
        <f>IMAGE("https://assets.tcgdex.net/de/swsh/swsh12.5/050/low.jpg", 1)</f>
        <v/>
      </c>
      <c r="K76" s="22"/>
      <c r="L76" s="20"/>
      <c r="M76" s="31" t="str">
        <f>IMAGE("https://assets.tcgdex.net/de/swsh/swsh12.5/051/low.jpg", 1)</f>
        <v/>
      </c>
      <c r="N76" s="22"/>
      <c r="O76" s="20"/>
    </row>
    <row r="77" ht="22.5" customHeight="1">
      <c r="A77" s="33" t="b">
        <v>1</v>
      </c>
      <c r="B77" s="33" t="b">
        <v>1</v>
      </c>
      <c r="C77" s="34" t="str">
        <f>HYPERLINK("https://prices.pokemontcg.io/cardmarket/swsh12pt5-46", "CM")</f>
        <v>CM</v>
      </c>
      <c r="D77" s="33" t="b">
        <v>1</v>
      </c>
      <c r="E77" s="33" t="b">
        <v>1</v>
      </c>
      <c r="F77" s="34" t="str">
        <f>HYPERLINK("https://prices.pokemontcg.io/cardmarket/swsh12pt5-47", "CM")</f>
        <v>CM</v>
      </c>
      <c r="G77" s="33" t="b">
        <v>1</v>
      </c>
      <c r="H77" s="33" t="b">
        <v>1</v>
      </c>
      <c r="I77" s="34" t="str">
        <f>HYPERLINK("https://prices.pokemontcg.io/cardmarket/swsh12pt5-49", "CM")</f>
        <v>CM</v>
      </c>
      <c r="J77" s="33" t="b">
        <v>1</v>
      </c>
      <c r="K77" s="33" t="b">
        <v>1</v>
      </c>
      <c r="L77" s="34" t="str">
        <f>HYPERLINK("https://prices.pokemontcg.io/cardmarket/swsh12pt5-50", "CM")</f>
        <v>CM</v>
      </c>
      <c r="M77" s="33" t="b">
        <v>1</v>
      </c>
      <c r="N77" s="33" t="b">
        <v>1</v>
      </c>
      <c r="O77" s="34" t="str">
        <f>HYPERLINK("https://prices.pokemontcg.io/cardmarket/swsh12pt5-51", "CM")</f>
        <v>CM</v>
      </c>
    </row>
    <row r="78" ht="7.5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</row>
    <row r="79" ht="18.75" customHeight="1">
      <c r="A79" s="27" t="s">
        <v>780</v>
      </c>
      <c r="B79" s="28" t="s">
        <v>987</v>
      </c>
      <c r="C79" s="20"/>
      <c r="D79" s="27" t="s">
        <v>583</v>
      </c>
      <c r="E79" s="28" t="s">
        <v>988</v>
      </c>
      <c r="F79" s="20"/>
      <c r="G79" s="27" t="s">
        <v>585</v>
      </c>
      <c r="H79" s="28" t="s">
        <v>989</v>
      </c>
      <c r="I79" s="20"/>
      <c r="J79" s="27" t="s">
        <v>782</v>
      </c>
      <c r="K79" s="28" t="s">
        <v>990</v>
      </c>
      <c r="L79" s="20"/>
      <c r="M79" s="27" t="s">
        <v>591</v>
      </c>
      <c r="N79" s="28" t="s">
        <v>779</v>
      </c>
      <c r="O79" s="20"/>
    </row>
    <row r="80" ht="180.0" customHeight="1">
      <c r="A80" s="31" t="str">
        <f>IMAGE("https://assets.tcgdex.net/de/swsh/swsh12.5/053/low.jpg", 1)</f>
        <v/>
      </c>
      <c r="B80" s="22"/>
      <c r="C80" s="20"/>
      <c r="D80" s="31" t="str">
        <f>IMAGE("https://assets.tcgdex.net/de/swsh/swsh12.5/054/low.jpg", 1)</f>
        <v/>
      </c>
      <c r="E80" s="22"/>
      <c r="F80" s="20"/>
      <c r="G80" s="31" t="str">
        <f>IMAGE("https://assets.tcgdex.net/de/swsh/swsh12.5/055/low.jpg", 1)</f>
        <v/>
      </c>
      <c r="H80" s="22"/>
      <c r="I80" s="20"/>
      <c r="J80" s="31" t="str">
        <f>IMAGE("https://assets.tcgdex.net/de/swsh/swsh12.5/056/low.jpg", 1)</f>
        <v/>
      </c>
      <c r="K80" s="22"/>
      <c r="L80" s="20"/>
      <c r="M80" s="31" t="str">
        <f>IMAGE("https://assets.tcgdex.net/de/swsh/swsh12.5/059/low.jpg", 1)</f>
        <v/>
      </c>
      <c r="N80" s="22"/>
      <c r="O80" s="20"/>
    </row>
    <row r="81" ht="22.5" customHeight="1">
      <c r="A81" s="33" t="b">
        <v>1</v>
      </c>
      <c r="B81" s="33" t="b">
        <v>1</v>
      </c>
      <c r="C81" s="34" t="str">
        <f>HYPERLINK("https://prices.pokemontcg.io/cardmarket/swsh12pt5-53", "CM")</f>
        <v>CM</v>
      </c>
      <c r="D81" s="33" t="b">
        <v>1</v>
      </c>
      <c r="E81" s="33" t="b">
        <v>1</v>
      </c>
      <c r="F81" s="34" t="str">
        <f>HYPERLINK("https://prices.pokemontcg.io/cardmarket/swsh12pt5-54", "CM")</f>
        <v>CM</v>
      </c>
      <c r="G81" s="33" t="b">
        <v>1</v>
      </c>
      <c r="H81" s="33" t="b">
        <v>1</v>
      </c>
      <c r="I81" s="34" t="str">
        <f>HYPERLINK("https://prices.pokemontcg.io/cardmarket/swsh12pt5-55", "CM")</f>
        <v>CM</v>
      </c>
      <c r="J81" s="33" t="b">
        <v>1</v>
      </c>
      <c r="K81" s="33" t="b">
        <v>1</v>
      </c>
      <c r="L81" s="34" t="str">
        <f>HYPERLINK("https://prices.pokemontcg.io/cardmarket/swsh12pt5-56", "CM")</f>
        <v>CM</v>
      </c>
      <c r="M81" s="33" t="b">
        <v>1</v>
      </c>
      <c r="N81" s="33" t="b">
        <v>1</v>
      </c>
      <c r="O81" s="34" t="str">
        <f>HYPERLINK("https://prices.pokemontcg.io/cardmarket/swsh12pt5-59", "CM")</f>
        <v>CM</v>
      </c>
    </row>
    <row r="82" ht="7.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</row>
    <row r="83" ht="18.75" customHeight="1">
      <c r="A83" s="27" t="s">
        <v>593</v>
      </c>
      <c r="B83" s="28" t="s">
        <v>991</v>
      </c>
      <c r="C83" s="20"/>
      <c r="D83" s="27" t="s">
        <v>786</v>
      </c>
      <c r="E83" s="28" t="s">
        <v>992</v>
      </c>
      <c r="F83" s="20"/>
      <c r="G83" s="27" t="s">
        <v>788</v>
      </c>
      <c r="H83" s="28" t="s">
        <v>993</v>
      </c>
      <c r="I83" s="20"/>
      <c r="J83" s="27" t="s">
        <v>790</v>
      </c>
      <c r="K83" s="28" t="s">
        <v>994</v>
      </c>
      <c r="L83" s="20"/>
      <c r="M83" s="27" t="s">
        <v>791</v>
      </c>
      <c r="N83" s="28" t="s">
        <v>995</v>
      </c>
      <c r="O83" s="20"/>
    </row>
    <row r="84" ht="180.0" customHeight="1">
      <c r="A84" s="31" t="str">
        <f>IMAGE("https://assets.tcgdex.net/de/swsh/swsh12.5/060/low.jpg", 1)</f>
        <v/>
      </c>
      <c r="B84" s="22"/>
      <c r="C84" s="20"/>
      <c r="D84" s="31" t="str">
        <f>IMAGE("https://assets.tcgdex.net/de/swsh/swsh12.5/064/low.jpg", 1)</f>
        <v/>
      </c>
      <c r="E84" s="22"/>
      <c r="F84" s="20"/>
      <c r="G84" s="31" t="str">
        <f>IMAGE("https://assets.tcgdex.net/de/swsh/swsh12.5/065/low.jpg", 1)</f>
        <v/>
      </c>
      <c r="H84" s="22"/>
      <c r="I84" s="20"/>
      <c r="J84" s="31" t="str">
        <f>IMAGE("https://assets.tcgdex.net/de/swsh/swsh12.5/066/low.jpg", 1)</f>
        <v/>
      </c>
      <c r="K84" s="22"/>
      <c r="L84" s="20"/>
      <c r="M84" s="31" t="str">
        <f>IMAGE("https://assets.tcgdex.net/de/swsh/swsh12.5/067/low.jpg", 1)</f>
        <v/>
      </c>
      <c r="N84" s="22"/>
      <c r="O84" s="20"/>
    </row>
    <row r="85" ht="22.5" customHeight="1">
      <c r="A85" s="33" t="b">
        <v>1</v>
      </c>
      <c r="B85" s="33" t="b">
        <v>1</v>
      </c>
      <c r="C85" s="34" t="str">
        <f>HYPERLINK("https://prices.pokemontcg.io/cardmarket/swsh12pt5-60", "CM")</f>
        <v>CM</v>
      </c>
      <c r="D85" s="33" t="b">
        <v>1</v>
      </c>
      <c r="E85" s="33" t="b">
        <v>1</v>
      </c>
      <c r="F85" s="34" t="str">
        <f>HYPERLINK("https://prices.pokemontcg.io/cardmarket/swsh12pt5-64", "CM")</f>
        <v>CM</v>
      </c>
      <c r="G85" s="33" t="b">
        <v>1</v>
      </c>
      <c r="H85" s="33" t="b">
        <v>1</v>
      </c>
      <c r="I85" s="34" t="str">
        <f>HYPERLINK("https://prices.pokemontcg.io/cardmarket/swsh12pt5-65", "CM")</f>
        <v>CM</v>
      </c>
      <c r="J85" s="33" t="b">
        <v>1</v>
      </c>
      <c r="K85" s="33" t="b">
        <v>1</v>
      </c>
      <c r="L85" s="34" t="str">
        <f>HYPERLINK("https://prices.pokemontcg.io/cardmarket/swsh12pt5-66", "CM")</f>
        <v>CM</v>
      </c>
      <c r="M85" s="33" t="b">
        <v>1</v>
      </c>
      <c r="N85" s="33" t="b">
        <v>1</v>
      </c>
      <c r="O85" s="34" t="str">
        <f>HYPERLINK("https://prices.pokemontcg.io/cardmarket/swsh12pt5-67", "CM")</f>
        <v>CM</v>
      </c>
    </row>
    <row r="86" ht="7.5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</row>
    <row r="87" ht="18.75" customHeight="1">
      <c r="A87" s="27" t="s">
        <v>793</v>
      </c>
      <c r="B87" s="28" t="s">
        <v>996</v>
      </c>
      <c r="C87" s="20"/>
      <c r="D87" s="27" t="s">
        <v>795</v>
      </c>
      <c r="E87" s="28" t="s">
        <v>997</v>
      </c>
      <c r="F87" s="20"/>
      <c r="G87" s="27" t="s">
        <v>799</v>
      </c>
      <c r="H87" s="28" t="s">
        <v>998</v>
      </c>
      <c r="I87" s="20"/>
      <c r="J87" s="27" t="s">
        <v>801</v>
      </c>
      <c r="K87" s="28" t="s">
        <v>999</v>
      </c>
      <c r="L87" s="20"/>
      <c r="M87" s="27" t="s">
        <v>803</v>
      </c>
      <c r="N87" s="28" t="s">
        <v>1000</v>
      </c>
      <c r="O87" s="20"/>
    </row>
    <row r="88" ht="180.0" customHeight="1">
      <c r="A88" s="31" t="str">
        <f>IMAGE("https://assets.tcgdex.net/de/swsh/swsh12.5/068/low.jpg", 1)</f>
        <v/>
      </c>
      <c r="B88" s="22"/>
      <c r="C88" s="20"/>
      <c r="D88" s="31" t="str">
        <f>IMAGE("https://assets.tcgdex.net/de/swsh/swsh12.5/069/low.jpg", 1)</f>
        <v/>
      </c>
      <c r="E88" s="22"/>
      <c r="F88" s="20"/>
      <c r="G88" s="31" t="str">
        <f>IMAGE("https://assets.tcgdex.net/de/swsh/swsh12.5/071/low.jpg", 1)</f>
        <v/>
      </c>
      <c r="H88" s="22"/>
      <c r="I88" s="20"/>
      <c r="J88" s="31" t="str">
        <f>IMAGE("https://assets.tcgdex.net/de/swsh/swsh12.5/072/low.jpg", 1)</f>
        <v/>
      </c>
      <c r="K88" s="22"/>
      <c r="L88" s="20"/>
      <c r="M88" s="31" t="str">
        <f>IMAGE("https://assets.tcgdex.net/de/swsh/swsh12.5/073/low.jpg", 1)</f>
        <v/>
      </c>
      <c r="N88" s="22"/>
      <c r="O88" s="20"/>
    </row>
    <row r="89" ht="22.5" customHeight="1">
      <c r="A89" s="33" t="b">
        <v>1</v>
      </c>
      <c r="B89" s="33" t="b">
        <v>1</v>
      </c>
      <c r="C89" s="34" t="str">
        <f>HYPERLINK("https://prices.pokemontcg.io/cardmarket/swsh12pt5-68", "CM")</f>
        <v>CM</v>
      </c>
      <c r="D89" s="33" t="b">
        <v>1</v>
      </c>
      <c r="E89" s="33" t="b">
        <v>1</v>
      </c>
      <c r="F89" s="34" t="str">
        <f>HYPERLINK("https://prices.pokemontcg.io/cardmarket/swsh12pt5-69", "CM")</f>
        <v>CM</v>
      </c>
      <c r="G89" s="33" t="b">
        <v>1</v>
      </c>
      <c r="H89" s="33" t="b">
        <v>1</v>
      </c>
      <c r="I89" s="34" t="str">
        <f>HYPERLINK("https://prices.pokemontcg.io/cardmarket/swsh12pt5-71", "CM")</f>
        <v>CM</v>
      </c>
      <c r="J89" s="33" t="b">
        <v>1</v>
      </c>
      <c r="K89" s="33" t="b">
        <v>1</v>
      </c>
      <c r="L89" s="34" t="str">
        <f>HYPERLINK("https://prices.pokemontcg.io/cardmarket/swsh12pt5-72", "CM")</f>
        <v>CM</v>
      </c>
      <c r="M89" s="33" t="b">
        <v>1</v>
      </c>
      <c r="N89" s="33" t="b">
        <v>1</v>
      </c>
      <c r="O89" s="34" t="str">
        <f>HYPERLINK("https://prices.pokemontcg.io/cardmarket/swsh12pt5-73", "CM")</f>
        <v>CM</v>
      </c>
    </row>
    <row r="90" ht="7.5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</row>
    <row r="91" ht="18.75" customHeight="1">
      <c r="A91" s="27" t="s">
        <v>805</v>
      </c>
      <c r="B91" s="28" t="s">
        <v>1001</v>
      </c>
      <c r="C91" s="20"/>
      <c r="D91" s="27" t="s">
        <v>806</v>
      </c>
      <c r="E91" s="28" t="s">
        <v>1002</v>
      </c>
      <c r="F91" s="20"/>
      <c r="G91" s="27" t="s">
        <v>808</v>
      </c>
      <c r="H91" s="28" t="s">
        <v>1003</v>
      </c>
      <c r="I91" s="20"/>
      <c r="J91" s="27" t="s">
        <v>809</v>
      </c>
      <c r="K91" s="28" t="s">
        <v>1004</v>
      </c>
      <c r="L91" s="20"/>
      <c r="M91" s="27" t="s">
        <v>811</v>
      </c>
      <c r="N91" s="28" t="s">
        <v>1005</v>
      </c>
      <c r="O91" s="20"/>
    </row>
    <row r="92" ht="180.0" customHeight="1">
      <c r="A92" s="31" t="str">
        <f>IMAGE("https://assets.tcgdex.net/de/swsh/swsh12.5/074/low.jpg", 1)</f>
        <v/>
      </c>
      <c r="B92" s="22"/>
      <c r="C92" s="20"/>
      <c r="D92" s="31" t="str">
        <f>IMAGE("https://assets.tcgdex.net/de/swsh/swsh12.5/075/low.jpg", 1)</f>
        <v/>
      </c>
      <c r="E92" s="22"/>
      <c r="F92" s="20"/>
      <c r="G92" s="31" t="str">
        <f>IMAGE("https://assets.tcgdex.net/de/swsh/swsh12.5/076/low.jpg", 1)</f>
        <v/>
      </c>
      <c r="H92" s="22"/>
      <c r="I92" s="20"/>
      <c r="J92" s="31" t="str">
        <f>IMAGE("https://assets.tcgdex.net/de/swsh/swsh12.5/077/low.jpg", 1)</f>
        <v/>
      </c>
      <c r="K92" s="22"/>
      <c r="L92" s="20"/>
      <c r="M92" s="31" t="str">
        <f>IMAGE("https://assets.tcgdex.net/de/swsh/swsh12.5/078/low.jpg", 1)</f>
        <v/>
      </c>
      <c r="N92" s="22"/>
      <c r="O92" s="20"/>
    </row>
    <row r="93" ht="22.5" customHeight="1">
      <c r="A93" s="33" t="b">
        <v>1</v>
      </c>
      <c r="B93" s="33" t="b">
        <v>1</v>
      </c>
      <c r="C93" s="34" t="str">
        <f>HYPERLINK("https://prices.pokemontcg.io/cardmarket/swsh12pt5-74", "CM")</f>
        <v>CM</v>
      </c>
      <c r="D93" s="33" t="b">
        <v>1</v>
      </c>
      <c r="E93" s="33" t="b">
        <v>1</v>
      </c>
      <c r="F93" s="34" t="str">
        <f>HYPERLINK("https://prices.pokemontcg.io/cardmarket/swsh12pt5-75", "CM")</f>
        <v>CM</v>
      </c>
      <c r="G93" s="33" t="b">
        <v>1</v>
      </c>
      <c r="H93" s="33" t="b">
        <v>1</v>
      </c>
      <c r="I93" s="34" t="str">
        <f>HYPERLINK("https://prices.pokemontcg.io/cardmarket/swsh12pt5-76", "CM")</f>
        <v>CM</v>
      </c>
      <c r="J93" s="33" t="b">
        <v>1</v>
      </c>
      <c r="K93" s="33" t="b">
        <v>1</v>
      </c>
      <c r="L93" s="34" t="str">
        <f>HYPERLINK("https://prices.pokemontcg.io/cardmarket/swsh12pt5-77", "CM")</f>
        <v>CM</v>
      </c>
      <c r="M93" s="33" t="b">
        <v>1</v>
      </c>
      <c r="N93" s="33" t="b">
        <v>1</v>
      </c>
      <c r="O93" s="34" t="str">
        <f>HYPERLINK("https://prices.pokemontcg.io/cardmarket/swsh12pt5-78", "CM")</f>
        <v>CM</v>
      </c>
    </row>
    <row r="94" ht="7.5" customHeigh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</row>
    <row r="95" ht="18.75" customHeight="1">
      <c r="A95" s="27" t="s">
        <v>599</v>
      </c>
      <c r="B95" s="28" t="s">
        <v>1006</v>
      </c>
      <c r="C95" s="20"/>
      <c r="D95" s="27" t="s">
        <v>608</v>
      </c>
      <c r="E95" s="28" t="s">
        <v>1007</v>
      </c>
      <c r="F95" s="20"/>
      <c r="G95" s="27" t="s">
        <v>609</v>
      </c>
      <c r="H95" s="28" t="s">
        <v>1008</v>
      </c>
      <c r="I95" s="20"/>
      <c r="J95" s="27" t="s">
        <v>617</v>
      </c>
      <c r="K95" s="28" t="s">
        <v>1009</v>
      </c>
      <c r="L95" s="20"/>
      <c r="M95" s="27" t="s">
        <v>623</v>
      </c>
      <c r="N95" s="28" t="s">
        <v>648</v>
      </c>
      <c r="O95" s="20"/>
    </row>
    <row r="96" ht="180.0" customHeight="1">
      <c r="A96" s="31" t="str">
        <f>IMAGE("https://assets.tcgdex.net/de/swsh/swsh12.5/079/low.jpg", 1)</f>
        <v/>
      </c>
      <c r="B96" s="22"/>
      <c r="C96" s="20"/>
      <c r="D96" s="31" t="str">
        <f>IMAGE("https://assets.tcgdex.net/de/swsh/swsh12.5/084/low.jpg", 1)</f>
        <v/>
      </c>
      <c r="E96" s="22"/>
      <c r="F96" s="20"/>
      <c r="G96" s="31" t="str">
        <f>IMAGE("https://assets.tcgdex.net/de/swsh/swsh12.5/085/low.jpg", 1)</f>
        <v/>
      </c>
      <c r="H96" s="22"/>
      <c r="I96" s="20"/>
      <c r="J96" s="31" t="str">
        <f>IMAGE("https://assets.tcgdex.net/de/swsh/swsh12.5/089/low.jpg", 1)</f>
        <v/>
      </c>
      <c r="K96" s="22"/>
      <c r="L96" s="20"/>
      <c r="M96" s="31" t="str">
        <f>IMAGE("https://assets.tcgdex.net/de/swsh/swsh12.5/092/low.jpg", 1)</f>
        <v/>
      </c>
      <c r="N96" s="22"/>
      <c r="O96" s="20"/>
    </row>
    <row r="97" ht="22.5" customHeight="1">
      <c r="A97" s="33" t="b">
        <v>1</v>
      </c>
      <c r="B97" s="33" t="b">
        <v>1</v>
      </c>
      <c r="C97" s="34" t="str">
        <f>HYPERLINK("https://prices.pokemontcg.io/cardmarket/swsh12pt5-79", "CM")</f>
        <v>CM</v>
      </c>
      <c r="D97" s="33" t="b">
        <v>1</v>
      </c>
      <c r="E97" s="33" t="b">
        <v>1</v>
      </c>
      <c r="F97" s="34" t="str">
        <f>HYPERLINK("https://prices.pokemontcg.io/cardmarket/swsh12pt5-84", "CM")</f>
        <v>CM</v>
      </c>
      <c r="G97" s="33" t="b">
        <v>1</v>
      </c>
      <c r="H97" s="33" t="b">
        <v>1</v>
      </c>
      <c r="I97" s="34" t="str">
        <f>HYPERLINK("https://prices.pokemontcg.io/cardmarket/swsh12pt5-85", "CM")</f>
        <v>CM</v>
      </c>
      <c r="J97" s="33" t="b">
        <v>1</v>
      </c>
      <c r="K97" s="33" t="b">
        <v>1</v>
      </c>
      <c r="L97" s="34" t="str">
        <f>HYPERLINK("https://prices.pokemontcg.io/cardmarket/swsh12pt5-89", "CM")</f>
        <v>CM</v>
      </c>
      <c r="M97" s="33" t="b">
        <v>1</v>
      </c>
      <c r="N97" s="33" t="b">
        <v>1</v>
      </c>
      <c r="O97" s="34" t="str">
        <f>HYPERLINK("https://prices.pokemontcg.io/cardmarket/swsh12pt5-92", "CM")</f>
        <v>CM</v>
      </c>
    </row>
    <row r="98" ht="7.5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</row>
    <row r="99" ht="18.75" customHeight="1">
      <c r="A99" s="27" t="s">
        <v>625</v>
      </c>
      <c r="B99" s="28" t="s">
        <v>650</v>
      </c>
      <c r="C99" s="20"/>
      <c r="D99" s="27" t="s">
        <v>812</v>
      </c>
      <c r="E99" s="28" t="s">
        <v>1010</v>
      </c>
      <c r="F99" s="20"/>
      <c r="G99" s="27" t="s">
        <v>813</v>
      </c>
      <c r="H99" s="28" t="s">
        <v>1011</v>
      </c>
      <c r="I99" s="20"/>
      <c r="J99" s="27" t="s">
        <v>817</v>
      </c>
      <c r="K99" s="28" t="s">
        <v>1012</v>
      </c>
      <c r="L99" s="20"/>
      <c r="M99" s="27" t="s">
        <v>819</v>
      </c>
      <c r="N99" s="28" t="s">
        <v>1013</v>
      </c>
      <c r="O99" s="20"/>
    </row>
    <row r="100" ht="180.0" customHeight="1">
      <c r="A100" s="31" t="str">
        <f>IMAGE("https://assets.tcgdex.net/de/swsh/swsh12.5/093/low.jpg", 1)</f>
        <v/>
      </c>
      <c r="B100" s="22"/>
      <c r="C100" s="20"/>
      <c r="D100" s="31" t="str">
        <f>IMAGE("https://assets.tcgdex.net/de/swsh/swsh12.5/095/low.jpg", 1)</f>
        <v/>
      </c>
      <c r="E100" s="22"/>
      <c r="F100" s="20"/>
      <c r="G100" s="31" t="str">
        <f>IMAGE("https://assets.tcgdex.net/de/swsh/swsh12.5/096/low.jpg", 1)</f>
        <v/>
      </c>
      <c r="H100" s="22"/>
      <c r="I100" s="20"/>
      <c r="J100" s="31" t="str">
        <f>IMAGE("https://assets.tcgdex.net/de/swsh/swsh12.5/098/low.jpg", 1)</f>
        <v/>
      </c>
      <c r="K100" s="22"/>
      <c r="L100" s="20"/>
      <c r="M100" s="31" t="str">
        <f>IMAGE("https://assets.tcgdex.net/de/swsh/swsh12.5/099/low.jpg", 1)</f>
        <v/>
      </c>
      <c r="N100" s="22"/>
      <c r="O100" s="20"/>
    </row>
    <row r="101" ht="22.5" customHeight="1">
      <c r="A101" s="33" t="b">
        <v>1</v>
      </c>
      <c r="B101" s="33" t="b">
        <v>1</v>
      </c>
      <c r="C101" s="34" t="str">
        <f>HYPERLINK("https://prices.pokemontcg.io/cardmarket/swsh12pt5-93", "CM")</f>
        <v>CM</v>
      </c>
      <c r="D101" s="33" t="b">
        <v>1</v>
      </c>
      <c r="E101" s="33" t="b">
        <v>1</v>
      </c>
      <c r="F101" s="34" t="str">
        <f>HYPERLINK("https://prices.pokemontcg.io/cardmarket/swsh12pt5-95", "CM")</f>
        <v>CM</v>
      </c>
      <c r="G101" s="33" t="b">
        <v>1</v>
      </c>
      <c r="H101" s="33" t="b">
        <v>1</v>
      </c>
      <c r="I101" s="34" t="str">
        <f>HYPERLINK("https://prices.pokemontcg.io/cardmarket/swsh12pt5-96", "CM")</f>
        <v>CM</v>
      </c>
      <c r="J101" s="33" t="b">
        <v>1</v>
      </c>
      <c r="K101" s="33" t="b">
        <v>1</v>
      </c>
      <c r="L101" s="34" t="str">
        <f>HYPERLINK("https://prices.pokemontcg.io/cardmarket/swsh12pt5-98", "CM")</f>
        <v>CM</v>
      </c>
      <c r="M101" s="33" t="b">
        <v>1</v>
      </c>
      <c r="N101" s="33" t="b">
        <v>1</v>
      </c>
      <c r="O101" s="34" t="str">
        <f>HYPERLINK("https://prices.pokemontcg.io/cardmarket/swsh12pt5-99", "CM")</f>
        <v>CM</v>
      </c>
    </row>
    <row r="102" ht="7.5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</row>
    <row r="103" ht="18.75" customHeight="1">
      <c r="A103" s="27" t="s">
        <v>821</v>
      </c>
      <c r="B103" s="28" t="s">
        <v>1014</v>
      </c>
      <c r="C103" s="20"/>
      <c r="D103" s="27" t="s">
        <v>629</v>
      </c>
      <c r="E103" s="28" t="s">
        <v>1015</v>
      </c>
      <c r="F103" s="20"/>
      <c r="G103" s="27" t="s">
        <v>630</v>
      </c>
      <c r="H103" s="28" t="s">
        <v>1015</v>
      </c>
      <c r="I103" s="20"/>
      <c r="J103" s="27" t="s">
        <v>632</v>
      </c>
      <c r="K103" s="28" t="s">
        <v>1016</v>
      </c>
      <c r="L103" s="20"/>
      <c r="M103" s="27" t="s">
        <v>634</v>
      </c>
      <c r="N103" s="28" t="s">
        <v>1017</v>
      </c>
      <c r="O103" s="20"/>
    </row>
    <row r="104" ht="180.0" customHeight="1">
      <c r="A104" s="31" t="str">
        <f>IMAGE("https://assets.tcgdex.net/de/swsh/swsh12.5/100/low.jpg", 1)</f>
        <v/>
      </c>
      <c r="B104" s="22"/>
      <c r="C104" s="20"/>
      <c r="D104" s="31" t="str">
        <f>IMAGE("https://assets.tcgdex.net/de/swsh/swsh12.5/101/low.jpg", 1)</f>
        <v/>
      </c>
      <c r="E104" s="22"/>
      <c r="F104" s="20"/>
      <c r="G104" s="31" t="str">
        <f>IMAGE("https://assets.tcgdex.net/de/swsh/swsh12.5/102/low.jpg", 1)</f>
        <v/>
      </c>
      <c r="H104" s="22"/>
      <c r="I104" s="20"/>
      <c r="J104" s="31" t="str">
        <f>IMAGE("https://assets.tcgdex.net/de/swsh/swsh12.5/103/low.jpg", 1)</f>
        <v/>
      </c>
      <c r="K104" s="22"/>
      <c r="L104" s="20"/>
      <c r="M104" s="31" t="str">
        <f>IMAGE("https://assets.tcgdex.net/de/swsh/swsh12.5/104/low.jpg", 1)</f>
        <v/>
      </c>
      <c r="N104" s="22"/>
      <c r="O104" s="20"/>
    </row>
    <row r="105" ht="22.5" customHeight="1">
      <c r="A105" s="33" t="b">
        <v>1</v>
      </c>
      <c r="B105" s="33" t="b">
        <v>1</v>
      </c>
      <c r="C105" s="34" t="str">
        <f>HYPERLINK("https://prices.pokemontcg.io/cardmarket/swsh12pt5-100", "CM")</f>
        <v>CM</v>
      </c>
      <c r="D105" s="33" t="b">
        <v>1</v>
      </c>
      <c r="E105" s="33" t="b">
        <v>1</v>
      </c>
      <c r="F105" s="34" t="str">
        <f>HYPERLINK("https://prices.pokemontcg.io/cardmarket/swsh12pt5-101", "CM")</f>
        <v>CM</v>
      </c>
      <c r="G105" s="33" t="b">
        <v>1</v>
      </c>
      <c r="H105" s="33" t="b">
        <v>1</v>
      </c>
      <c r="I105" s="34" t="str">
        <f>HYPERLINK("https://prices.pokemontcg.io/cardmarket/swsh12pt5-102", "CM")</f>
        <v>CM</v>
      </c>
      <c r="J105" s="33" t="b">
        <v>1</v>
      </c>
      <c r="K105" s="33" t="b">
        <v>1</v>
      </c>
      <c r="L105" s="34" t="str">
        <f>HYPERLINK("https://prices.pokemontcg.io/cardmarket/swsh12pt5-103", "CM")</f>
        <v>CM</v>
      </c>
      <c r="M105" s="33" t="b">
        <v>1</v>
      </c>
      <c r="N105" s="33" t="b">
        <v>1</v>
      </c>
      <c r="O105" s="34" t="str">
        <f>HYPERLINK("https://prices.pokemontcg.io/cardmarket/swsh12pt5-104", "CM")</f>
        <v>CM</v>
      </c>
    </row>
    <row r="106" ht="7.5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</row>
    <row r="107" ht="18.75" customHeight="1">
      <c r="A107" s="27" t="s">
        <v>636</v>
      </c>
      <c r="B107" s="28" t="s">
        <v>1018</v>
      </c>
      <c r="C107" s="20"/>
      <c r="D107" s="27" t="s">
        <v>638</v>
      </c>
      <c r="E107" s="28" t="s">
        <v>1019</v>
      </c>
      <c r="F107" s="20"/>
      <c r="G107" s="27" t="s">
        <v>642</v>
      </c>
      <c r="H107" s="28" t="s">
        <v>1020</v>
      </c>
      <c r="I107" s="20"/>
      <c r="J107" s="27" t="s">
        <v>647</v>
      </c>
      <c r="K107" s="28" t="s">
        <v>1021</v>
      </c>
      <c r="L107" s="20"/>
      <c r="M107" s="27" t="s">
        <v>651</v>
      </c>
      <c r="N107" s="28" t="s">
        <v>1022</v>
      </c>
      <c r="O107" s="20"/>
    </row>
    <row r="108" ht="180.0" customHeight="1">
      <c r="A108" s="31" t="str">
        <f>IMAGE("https://assets.tcgdex.net/de/swsh/swsh12.5/105/low.jpg", 1)</f>
        <v/>
      </c>
      <c r="B108" s="22"/>
      <c r="C108" s="20"/>
      <c r="D108" s="31" t="str">
        <f>IMAGE("https://assets.tcgdex.net/de/swsh/swsh12.5/106/low.jpg", 1)</f>
        <v/>
      </c>
      <c r="E108" s="22"/>
      <c r="F108" s="20"/>
      <c r="G108" s="31" t="str">
        <f>IMAGE("https://assets.tcgdex.net/de/swsh/swsh12.5/108/low.jpg", 1)</f>
        <v/>
      </c>
      <c r="H108" s="22"/>
      <c r="I108" s="20"/>
      <c r="J108" s="31" t="str">
        <f>IMAGE("https://assets.tcgdex.net/de/swsh/swsh12.5/111/low.jpg", 1)</f>
        <v/>
      </c>
      <c r="K108" s="22"/>
      <c r="L108" s="20"/>
      <c r="M108" s="31" t="str">
        <f>IMAGE("https://assets.tcgdex.net/de/swsh/swsh12.5/113/low.jpg", 1)</f>
        <v/>
      </c>
      <c r="N108" s="22"/>
      <c r="O108" s="20"/>
    </row>
    <row r="109" ht="22.5" customHeight="1">
      <c r="A109" s="33" t="b">
        <v>1</v>
      </c>
      <c r="B109" s="33" t="b">
        <v>1</v>
      </c>
      <c r="C109" s="34" t="str">
        <f>HYPERLINK("https://prices.pokemontcg.io/cardmarket/swsh12pt5-105", "CM")</f>
        <v>CM</v>
      </c>
      <c r="D109" s="33" t="b">
        <v>1</v>
      </c>
      <c r="E109" s="33" t="b">
        <v>1</v>
      </c>
      <c r="F109" s="34" t="str">
        <f>HYPERLINK("https://prices.pokemontcg.io/cardmarket/swsh12pt5-106", "CM")</f>
        <v>CM</v>
      </c>
      <c r="G109" s="33" t="b">
        <v>1</v>
      </c>
      <c r="H109" s="33" t="b">
        <v>1</v>
      </c>
      <c r="I109" s="34" t="str">
        <f>HYPERLINK("https://prices.pokemontcg.io/cardmarket/swsh12pt5-108", "CM")</f>
        <v>CM</v>
      </c>
      <c r="J109" s="33" t="b">
        <v>1</v>
      </c>
      <c r="K109" s="33" t="b">
        <v>1</v>
      </c>
      <c r="L109" s="34" t="str">
        <f>HYPERLINK("https://prices.pokemontcg.io/cardmarket/swsh12pt5-111", "CM")</f>
        <v>CM</v>
      </c>
      <c r="M109" s="33" t="b">
        <v>1</v>
      </c>
      <c r="N109" s="33" t="b">
        <v>1</v>
      </c>
      <c r="O109" s="34" t="str">
        <f>HYPERLINK("https://prices.pokemontcg.io/cardmarket/swsh12pt5-113", "CM")</f>
        <v>CM</v>
      </c>
    </row>
    <row r="110" ht="7.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</row>
    <row r="111" ht="18.75" customHeight="1">
      <c r="A111" s="27" t="s">
        <v>823</v>
      </c>
      <c r="B111" s="28" t="s">
        <v>1023</v>
      </c>
      <c r="C111" s="20"/>
      <c r="D111" s="27" t="s">
        <v>653</v>
      </c>
      <c r="E111" s="28" t="s">
        <v>1024</v>
      </c>
      <c r="F111" s="20"/>
      <c r="G111" s="27" t="s">
        <v>825</v>
      </c>
      <c r="H111" s="28" t="s">
        <v>1025</v>
      </c>
      <c r="I111" s="20"/>
      <c r="J111" s="27" t="s">
        <v>655</v>
      </c>
      <c r="K111" s="28" t="s">
        <v>1026</v>
      </c>
      <c r="L111" s="20"/>
      <c r="M111" s="27" t="s">
        <v>827</v>
      </c>
      <c r="N111" s="28" t="s">
        <v>1027</v>
      </c>
      <c r="O111" s="20"/>
    </row>
    <row r="112" ht="180.0" customHeight="1">
      <c r="A112" s="31" t="str">
        <f>IMAGE("https://assets.tcgdex.net/de/swsh/swsh12.5/114/low.jpg", 1)</f>
        <v/>
      </c>
      <c r="B112" s="22"/>
      <c r="C112" s="20"/>
      <c r="D112" s="31" t="str">
        <f>IMAGE("https://assets.tcgdex.net/de/swsh/swsh12.5/115/low.jpg", 1)</f>
        <v/>
      </c>
      <c r="E112" s="22"/>
      <c r="F112" s="20"/>
      <c r="G112" s="31" t="str">
        <f>IMAGE("https://assets.tcgdex.net/de/swsh/swsh12.5/116/low.jpg", 1)</f>
        <v/>
      </c>
      <c r="H112" s="22"/>
      <c r="I112" s="20"/>
      <c r="J112" s="31" t="str">
        <f>IMAGE("https://assets.tcgdex.net/de/swsh/swsh12.5/117/low.jpg", 1)</f>
        <v/>
      </c>
      <c r="K112" s="22"/>
      <c r="L112" s="20"/>
      <c r="M112" s="31" t="str">
        <f>IMAGE("https://assets.tcgdex.net/de/swsh/swsh12.5/118/low.jpg", 1)</f>
        <v/>
      </c>
      <c r="N112" s="22"/>
      <c r="O112" s="20"/>
    </row>
    <row r="113" ht="22.5" customHeight="1">
      <c r="A113" s="33" t="b">
        <v>1</v>
      </c>
      <c r="B113" s="33" t="b">
        <v>1</v>
      </c>
      <c r="C113" s="34" t="str">
        <f>HYPERLINK("https://prices.pokemontcg.io/cardmarket/swsh12pt5-114", "CM")</f>
        <v>CM</v>
      </c>
      <c r="D113" s="33" t="b">
        <v>1</v>
      </c>
      <c r="E113" s="33" t="b">
        <v>1</v>
      </c>
      <c r="F113" s="34" t="str">
        <f>HYPERLINK("https://prices.pokemontcg.io/cardmarket/swsh12pt5-115", "CM")</f>
        <v>CM</v>
      </c>
      <c r="G113" s="33" t="b">
        <v>1</v>
      </c>
      <c r="H113" s="33" t="b">
        <v>1</v>
      </c>
      <c r="I113" s="34" t="str">
        <f>HYPERLINK("https://prices.pokemontcg.io/cardmarket/swsh12pt5-116", "CM")</f>
        <v>CM</v>
      </c>
      <c r="J113" s="33" t="b">
        <v>1</v>
      </c>
      <c r="K113" s="33" t="b">
        <v>1</v>
      </c>
      <c r="L113" s="34" t="str">
        <f>HYPERLINK("https://prices.pokemontcg.io/cardmarket/swsh12pt5-117", "CM")</f>
        <v>CM</v>
      </c>
      <c r="M113" s="33" t="b">
        <v>1</v>
      </c>
      <c r="N113" s="33" t="b">
        <v>1</v>
      </c>
      <c r="O113" s="34" t="str">
        <f>HYPERLINK("https://prices.pokemontcg.io/cardmarket/swsh12pt5-118", "CM")</f>
        <v>CM</v>
      </c>
    </row>
    <row r="114" ht="7.5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</row>
    <row r="115" ht="18.75" customHeight="1">
      <c r="A115" s="27" t="s">
        <v>659</v>
      </c>
      <c r="B115" s="28" t="s">
        <v>1028</v>
      </c>
      <c r="C115" s="20"/>
      <c r="D115" s="27" t="s">
        <v>829</v>
      </c>
      <c r="E115" s="28" t="s">
        <v>1029</v>
      </c>
      <c r="F115" s="20"/>
      <c r="G115" s="27" t="s">
        <v>830</v>
      </c>
      <c r="H115" s="28" t="s">
        <v>1030</v>
      </c>
      <c r="I115" s="20"/>
      <c r="J115" s="27" t="s">
        <v>833</v>
      </c>
      <c r="K115" s="28" t="s">
        <v>1031</v>
      </c>
      <c r="L115" s="20"/>
      <c r="M115" s="27" t="s">
        <v>839</v>
      </c>
      <c r="N115" s="28" t="s">
        <v>1032</v>
      </c>
      <c r="O115" s="20"/>
    </row>
    <row r="116" ht="180.0" customHeight="1">
      <c r="A116" s="31" t="str">
        <f>IMAGE("https://assets.tcgdex.net/de/swsh/swsh12.5/120/low.jpg", 1)</f>
        <v/>
      </c>
      <c r="B116" s="22"/>
      <c r="C116" s="20"/>
      <c r="D116" s="31" t="str">
        <f>IMAGE("https://assets.tcgdex.net/de/swsh/swsh12.5/121/low.jpg", 1)</f>
        <v/>
      </c>
      <c r="E116" s="22"/>
      <c r="F116" s="20"/>
      <c r="G116" s="31" t="str">
        <f>IMAGE("https://assets.tcgdex.net/de/swsh/swsh12.5/122/low.jpg", 1)</f>
        <v/>
      </c>
      <c r="H116" s="22"/>
      <c r="I116" s="20"/>
      <c r="J116" s="31" t="str">
        <f>IMAGE("https://assets.tcgdex.net/de/swsh/swsh12.5/124/low.jpg", 1)</f>
        <v/>
      </c>
      <c r="K116" s="22"/>
      <c r="L116" s="20"/>
      <c r="M116" s="31" t="str">
        <f>IMAGE("https://assets.tcgdex.net/de/swsh/swsh12.5/129/low.jpg", 1)</f>
        <v/>
      </c>
      <c r="N116" s="22"/>
      <c r="O116" s="20"/>
    </row>
    <row r="117" ht="22.5" customHeight="1">
      <c r="A117" s="33" t="b">
        <v>1</v>
      </c>
      <c r="B117" s="33" t="b">
        <v>1</v>
      </c>
      <c r="C117" s="34" t="str">
        <f>HYPERLINK("https://prices.pokemontcg.io/cardmarket/swsh12pt5-120", "CM")</f>
        <v>CM</v>
      </c>
      <c r="D117" s="33" t="b">
        <v>1</v>
      </c>
      <c r="E117" s="33" t="b">
        <v>1</v>
      </c>
      <c r="F117" s="34" t="str">
        <f>HYPERLINK("https://prices.pokemontcg.io/cardmarket/swsh12pt5-121", "CM")</f>
        <v>CM</v>
      </c>
      <c r="G117" s="33" t="b">
        <v>1</v>
      </c>
      <c r="H117" s="33" t="b">
        <v>1</v>
      </c>
      <c r="I117" s="34" t="str">
        <f>HYPERLINK("https://prices.pokemontcg.io/cardmarket/swsh12pt5-122", "CM")</f>
        <v>CM</v>
      </c>
      <c r="J117" s="33" t="b">
        <v>1</v>
      </c>
      <c r="K117" s="33" t="b">
        <v>1</v>
      </c>
      <c r="L117" s="34" t="str">
        <f>HYPERLINK("https://prices.pokemontcg.io/cardmarket/swsh12pt5-124", "CM")</f>
        <v>CM</v>
      </c>
      <c r="M117" s="33" t="b">
        <v>1</v>
      </c>
      <c r="N117" s="33" t="b">
        <v>1</v>
      </c>
      <c r="O117" s="34" t="str">
        <f>HYPERLINK("https://prices.pokemontcg.io/cardmarket/swsh12pt5-129", "CM")</f>
        <v>CM</v>
      </c>
    </row>
    <row r="118" ht="7.5" customHeigh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</row>
    <row r="119" ht="18.75" customHeight="1">
      <c r="A119" s="27" t="s">
        <v>668</v>
      </c>
      <c r="B119" s="28" t="s">
        <v>1033</v>
      </c>
      <c r="C119" s="20"/>
      <c r="D119" s="27" t="s">
        <v>672</v>
      </c>
      <c r="E119" s="28" t="s">
        <v>1034</v>
      </c>
      <c r="F119" s="20"/>
      <c r="G119" s="27" t="s">
        <v>848</v>
      </c>
      <c r="H119" s="28" t="s">
        <v>1035</v>
      </c>
      <c r="I119" s="20"/>
      <c r="J119" s="27" t="s">
        <v>676</v>
      </c>
      <c r="K119" s="28" t="s">
        <v>1036</v>
      </c>
      <c r="L119" s="20"/>
      <c r="M119" s="27" t="s">
        <v>850</v>
      </c>
      <c r="N119" s="28" t="s">
        <v>1037</v>
      </c>
      <c r="O119" s="20"/>
    </row>
    <row r="120" ht="180.0" customHeight="1">
      <c r="A120" s="31" t="str">
        <f>IMAGE("https://assets.tcgdex.net/de/swsh/swsh12.5/136/low.jpg", 1)</f>
        <v/>
      </c>
      <c r="B120" s="22"/>
      <c r="C120" s="20"/>
      <c r="D120" s="31" t="str">
        <f>IMAGE("https://assets.tcgdex.net/de/swsh/swsh12.5/138/low.jpg", 1)</f>
        <v/>
      </c>
      <c r="E120" s="22"/>
      <c r="F120" s="20"/>
      <c r="G120" s="31" t="str">
        <f>IMAGE("https://assets.tcgdex.net/de/swsh/swsh12.5/141/low.jpg", 1)</f>
        <v/>
      </c>
      <c r="H120" s="22"/>
      <c r="I120" s="20"/>
      <c r="J120" s="31" t="str">
        <f>IMAGE("https://assets.tcgdex.net/de/swsh/swsh12.5/142/low.jpg", 1)</f>
        <v/>
      </c>
      <c r="K120" s="22"/>
      <c r="L120" s="20"/>
      <c r="M120" s="31" t="str">
        <f>IMAGE("https://assets.tcgdex.net/de/swsh/swsh12.5/145/low.jpg", 1)</f>
        <v/>
      </c>
      <c r="N120" s="22"/>
      <c r="O120" s="20"/>
    </row>
    <row r="121" ht="22.5" customHeight="1">
      <c r="A121" s="33" t="b">
        <v>1</v>
      </c>
      <c r="B121" s="33" t="b">
        <v>1</v>
      </c>
      <c r="C121" s="34" t="str">
        <f>HYPERLINK("https://prices.pokemontcg.io/cardmarket/swsh12pt5-136", "CM")</f>
        <v>CM</v>
      </c>
      <c r="D121" s="33" t="b">
        <v>1</v>
      </c>
      <c r="E121" s="33" t="b">
        <v>1</v>
      </c>
      <c r="F121" s="34" t="str">
        <f>HYPERLINK("https://prices.pokemontcg.io/cardmarket/swsh12pt5-138", "CM")</f>
        <v>CM</v>
      </c>
      <c r="G121" s="33" t="b">
        <v>1</v>
      </c>
      <c r="H121" s="33" t="b">
        <v>1</v>
      </c>
      <c r="I121" s="34" t="str">
        <f>HYPERLINK("https://prices.pokemontcg.io/cardmarket/swsh12pt5-141", "CM")</f>
        <v>CM</v>
      </c>
      <c r="J121" s="33" t="b">
        <v>1</v>
      </c>
      <c r="K121" s="33" t="b">
        <v>1</v>
      </c>
      <c r="L121" s="34" t="str">
        <f>HYPERLINK("https://prices.pokemontcg.io/cardmarket/swsh12pt5-142", "CM")</f>
        <v>CM</v>
      </c>
      <c r="M121" s="33" t="b">
        <v>1</v>
      </c>
      <c r="N121" s="33" t="b">
        <v>1</v>
      </c>
      <c r="O121" s="34" t="str">
        <f>HYPERLINK("https://prices.pokemontcg.io/cardmarket/swsh12pt5-145", "CM")</f>
        <v>CM</v>
      </c>
    </row>
    <row r="122" ht="7.5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</row>
    <row r="123" ht="18.75" customHeight="1">
      <c r="A123" s="27" t="s">
        <v>681</v>
      </c>
      <c r="B123" s="28" t="s">
        <v>1038</v>
      </c>
      <c r="C123" s="20"/>
      <c r="D123" s="27" t="s">
        <v>683</v>
      </c>
      <c r="E123" s="28" t="s">
        <v>1039</v>
      </c>
      <c r="F123" s="20"/>
      <c r="G123" s="27" t="s">
        <v>852</v>
      </c>
      <c r="H123" s="28" t="s">
        <v>950</v>
      </c>
      <c r="I123" s="20"/>
      <c r="J123" s="27" t="s">
        <v>686</v>
      </c>
      <c r="K123" s="28" t="s">
        <v>1040</v>
      </c>
      <c r="L123" s="20"/>
      <c r="M123" s="27" t="s">
        <v>853</v>
      </c>
      <c r="N123" s="28" t="s">
        <v>1041</v>
      </c>
      <c r="O123" s="20"/>
    </row>
    <row r="124" ht="180.0" customHeight="1">
      <c r="A124" s="31" t="str">
        <f>IMAGE("https://assets.tcgdex.net/de/swsh/swsh12.5/146/low.jpg", 1)</f>
        <v/>
      </c>
      <c r="B124" s="22"/>
      <c r="C124" s="20"/>
      <c r="D124" s="31" t="str">
        <f>IMAGE("https://assets.tcgdex.net/de/swsh/swsh12.5/147/low.jpg", 1)</f>
        <v/>
      </c>
      <c r="E124" s="22"/>
      <c r="F124" s="20"/>
      <c r="G124" s="31" t="str">
        <f>IMAGE("https://assets.tcgdex.net/de/swsh/swsh12.5/149/low.jpg", 1)</f>
        <v/>
      </c>
      <c r="H124" s="22"/>
      <c r="I124" s="20"/>
      <c r="J124" s="31" t="str">
        <f>IMAGE("https://assets.tcgdex.net/de/swsh/swsh12.5/150/low.jpg", 1)</f>
        <v/>
      </c>
      <c r="K124" s="22"/>
      <c r="L124" s="20"/>
      <c r="M124" s="31" t="str">
        <f>IMAGE("https://assets.tcgdex.net/de/swsh/swsh12.5/151/low.jpg", 1)</f>
        <v/>
      </c>
      <c r="N124" s="22"/>
      <c r="O124" s="20"/>
    </row>
    <row r="125" ht="22.5" customHeight="1">
      <c r="A125" s="33" t="b">
        <v>1</v>
      </c>
      <c r="B125" s="33" t="b">
        <v>1</v>
      </c>
      <c r="C125" s="34" t="str">
        <f>HYPERLINK("https://prices.pokemontcg.io/cardmarket/swsh12pt5-146", "CM")</f>
        <v>CM</v>
      </c>
      <c r="D125" s="33" t="b">
        <v>1</v>
      </c>
      <c r="E125" s="33" t="b">
        <v>1</v>
      </c>
      <c r="F125" s="34" t="str">
        <f>HYPERLINK("https://prices.pokemontcg.io/cardmarket/swsh12pt5-147", "CM")</f>
        <v>CM</v>
      </c>
      <c r="G125" s="33" t="b">
        <v>1</v>
      </c>
      <c r="H125" s="33" t="b">
        <v>1</v>
      </c>
      <c r="I125" s="34" t="str">
        <f>HYPERLINK("https://prices.pokemontcg.io/cardmarket/swsh12pt5-149", "CM")</f>
        <v>CM</v>
      </c>
      <c r="J125" s="33" t="b">
        <v>1</v>
      </c>
      <c r="K125" s="33" t="b">
        <v>1</v>
      </c>
      <c r="L125" s="34" t="str">
        <f>HYPERLINK("https://prices.pokemontcg.io/cardmarket/swsh12pt5-150", "CM")</f>
        <v>CM</v>
      </c>
      <c r="M125" s="33" t="b">
        <v>1</v>
      </c>
      <c r="N125" s="33" t="b">
        <v>1</v>
      </c>
      <c r="O125" s="34" t="str">
        <f>HYPERLINK("https://prices.pokemontcg.io/cardmarket/swsh12pt5-151", "CM")</f>
        <v>CM</v>
      </c>
    </row>
    <row r="126" ht="7.5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</row>
    <row r="127" ht="18.75" customHeight="1">
      <c r="A127" s="27" t="s">
        <v>855</v>
      </c>
      <c r="B127" s="28" t="s">
        <v>1042</v>
      </c>
      <c r="C127" s="20"/>
      <c r="D127" s="27" t="s">
        <v>687</v>
      </c>
      <c r="E127" s="28" t="s">
        <v>1043</v>
      </c>
      <c r="F127" s="20"/>
      <c r="G127" s="27" t="s">
        <v>857</v>
      </c>
      <c r="H127" s="28" t="s">
        <v>1044</v>
      </c>
      <c r="I127" s="20"/>
      <c r="J127" s="27" t="s">
        <v>693</v>
      </c>
      <c r="K127" s="28" t="s">
        <v>1045</v>
      </c>
      <c r="L127" s="20"/>
      <c r="M127" s="27" t="s">
        <v>695</v>
      </c>
      <c r="N127" s="28" t="s">
        <v>616</v>
      </c>
      <c r="O127" s="20"/>
    </row>
    <row r="128" ht="180.0" customHeight="1">
      <c r="A128" s="31" t="str">
        <f>IMAGE("https://assets.tcgdex.net/de/swsh/swsh12.5/152/low.jpg", 1)</f>
        <v/>
      </c>
      <c r="B128" s="22"/>
      <c r="C128" s="20"/>
      <c r="D128" s="31" t="str">
        <f>IMAGE("https://assets.tcgdex.net/de/swsh/swsh12.5/153/low.jpg", 1)</f>
        <v/>
      </c>
      <c r="E128" s="22"/>
      <c r="F128" s="20"/>
      <c r="G128" s="31" t="str">
        <f>IMAGE("https://assets.tcgdex.net/de/swsh/swsh12.5/156/low.jpg", 1)</f>
        <v/>
      </c>
      <c r="H128" s="22"/>
      <c r="I128" s="20"/>
      <c r="J128" s="31" t="str">
        <f>IMAGE("https://assets.tcgdex.net/de/swsh/swsh12.5/158/low.jpg", 1)</f>
        <v/>
      </c>
      <c r="K128" s="22"/>
      <c r="L128" s="20"/>
      <c r="M128" s="31" t="str">
        <f>IMAGE("https://assets.tcgdex.net/de/swsh/swsh12.5/160/low.jpg", 1)</f>
        <v/>
      </c>
      <c r="N128" s="22"/>
      <c r="O128" s="20"/>
    </row>
    <row r="129" ht="22.5" customHeight="1">
      <c r="A129" s="33" t="b">
        <v>1</v>
      </c>
      <c r="B129" s="33" t="b">
        <v>1</v>
      </c>
      <c r="C129" s="34" t="str">
        <f>HYPERLINK("https://prices.pokemontcg.io/cardmarket/swsh12pt5-152", "CM")</f>
        <v>CM</v>
      </c>
      <c r="D129" s="33" t="b">
        <v>1</v>
      </c>
      <c r="E129" s="33" t="b">
        <v>1</v>
      </c>
      <c r="F129" s="34" t="str">
        <f>HYPERLINK("https://prices.pokemontcg.io/cardmarket/swsh12pt5-153", "CM")</f>
        <v>CM</v>
      </c>
      <c r="G129" s="33" t="b">
        <v>1</v>
      </c>
      <c r="H129" s="33" t="b">
        <v>1</v>
      </c>
      <c r="I129" s="34" t="str">
        <f>HYPERLINK("https://prices.pokemontcg.io/cardmarket/swsh12pt5-156", "CM")</f>
        <v>CM</v>
      </c>
      <c r="J129" s="33" t="b">
        <v>1</v>
      </c>
      <c r="K129" s="33" t="b">
        <v>1</v>
      </c>
      <c r="L129" s="34" t="str">
        <f>HYPERLINK("https://prices.pokemontcg.io/cardmarket/swsh12pt5-158", "CM")</f>
        <v>CM</v>
      </c>
      <c r="M129" s="33" t="b">
        <v>1</v>
      </c>
      <c r="N129" s="33" t="b">
        <v>1</v>
      </c>
      <c r="O129" s="34" t="str">
        <f>HYPERLINK("https://prices.pokemontcg.io/cardmarket/swsh12pt5-160", "CM")</f>
        <v>CM</v>
      </c>
    </row>
    <row r="130" ht="7.5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</row>
  </sheetData>
  <mergeCells count="322">
    <mergeCell ref="B79:C79"/>
    <mergeCell ref="E79:F79"/>
    <mergeCell ref="H79:I79"/>
    <mergeCell ref="K79:L79"/>
    <mergeCell ref="N79:O79"/>
    <mergeCell ref="A80:C80"/>
    <mergeCell ref="D80:F80"/>
    <mergeCell ref="M80:O80"/>
    <mergeCell ref="G80:I80"/>
    <mergeCell ref="J80:L80"/>
    <mergeCell ref="B83:C83"/>
    <mergeCell ref="E83:F83"/>
    <mergeCell ref="H83:I83"/>
    <mergeCell ref="K83:L83"/>
    <mergeCell ref="N83:O83"/>
    <mergeCell ref="H87:I87"/>
    <mergeCell ref="K87:L87"/>
    <mergeCell ref="J88:L88"/>
    <mergeCell ref="M88:O88"/>
    <mergeCell ref="A84:C84"/>
    <mergeCell ref="D84:F84"/>
    <mergeCell ref="G84:I84"/>
    <mergeCell ref="J84:L84"/>
    <mergeCell ref="M84:O84"/>
    <mergeCell ref="E87:F87"/>
    <mergeCell ref="N87:O87"/>
    <mergeCell ref="K91:L91"/>
    <mergeCell ref="N91:O91"/>
    <mergeCell ref="A92:C92"/>
    <mergeCell ref="D92:F92"/>
    <mergeCell ref="G92:I92"/>
    <mergeCell ref="J92:L92"/>
    <mergeCell ref="M92:O92"/>
    <mergeCell ref="B87:C87"/>
    <mergeCell ref="A88:C88"/>
    <mergeCell ref="D88:F88"/>
    <mergeCell ref="G88:I88"/>
    <mergeCell ref="B91:C91"/>
    <mergeCell ref="E91:F91"/>
    <mergeCell ref="H91:I91"/>
    <mergeCell ref="B95:C95"/>
    <mergeCell ref="E95:F95"/>
    <mergeCell ref="H95:I95"/>
    <mergeCell ref="K95:L95"/>
    <mergeCell ref="N95:O95"/>
    <mergeCell ref="A96:C96"/>
    <mergeCell ref="D96:F96"/>
    <mergeCell ref="M96:O96"/>
    <mergeCell ref="G96:I96"/>
    <mergeCell ref="J96:L96"/>
    <mergeCell ref="B99:C99"/>
    <mergeCell ref="E99:F99"/>
    <mergeCell ref="H99:I99"/>
    <mergeCell ref="K99:L99"/>
    <mergeCell ref="N99:O99"/>
    <mergeCell ref="H103:I103"/>
    <mergeCell ref="K103:L103"/>
    <mergeCell ref="J104:L104"/>
    <mergeCell ref="M104:O104"/>
    <mergeCell ref="A100:C100"/>
    <mergeCell ref="D100:F100"/>
    <mergeCell ref="G100:I100"/>
    <mergeCell ref="J100:L100"/>
    <mergeCell ref="M100:O100"/>
    <mergeCell ref="E103:F103"/>
    <mergeCell ref="N103:O103"/>
    <mergeCell ref="K107:L107"/>
    <mergeCell ref="N107:O107"/>
    <mergeCell ref="A108:C108"/>
    <mergeCell ref="D108:F108"/>
    <mergeCell ref="G108:I108"/>
    <mergeCell ref="J108:L108"/>
    <mergeCell ref="M108:O108"/>
    <mergeCell ref="B103:C103"/>
    <mergeCell ref="A104:C104"/>
    <mergeCell ref="D104:F104"/>
    <mergeCell ref="G104:I104"/>
    <mergeCell ref="B107:C107"/>
    <mergeCell ref="E107:F107"/>
    <mergeCell ref="H107:I107"/>
    <mergeCell ref="G128:I128"/>
    <mergeCell ref="J128:L128"/>
    <mergeCell ref="B127:C127"/>
    <mergeCell ref="E127:F127"/>
    <mergeCell ref="H127:I127"/>
    <mergeCell ref="K127:L127"/>
    <mergeCell ref="N127:O127"/>
    <mergeCell ref="A128:C128"/>
    <mergeCell ref="D128:F128"/>
    <mergeCell ref="M128:O128"/>
    <mergeCell ref="B111:C111"/>
    <mergeCell ref="E111:F111"/>
    <mergeCell ref="H111:I111"/>
    <mergeCell ref="K111:L111"/>
    <mergeCell ref="N111:O111"/>
    <mergeCell ref="A112:C112"/>
    <mergeCell ref="D112:F112"/>
    <mergeCell ref="M112:O112"/>
    <mergeCell ref="G112:I112"/>
    <mergeCell ref="J112:L112"/>
    <mergeCell ref="B115:C115"/>
    <mergeCell ref="E115:F115"/>
    <mergeCell ref="H115:I115"/>
    <mergeCell ref="K115:L115"/>
    <mergeCell ref="N115:O115"/>
    <mergeCell ref="H119:I119"/>
    <mergeCell ref="K119:L119"/>
    <mergeCell ref="J120:L120"/>
    <mergeCell ref="M120:O120"/>
    <mergeCell ref="A116:C116"/>
    <mergeCell ref="D116:F116"/>
    <mergeCell ref="G116:I116"/>
    <mergeCell ref="J116:L116"/>
    <mergeCell ref="M116:O116"/>
    <mergeCell ref="E119:F119"/>
    <mergeCell ref="N119:O119"/>
    <mergeCell ref="K123:L123"/>
    <mergeCell ref="N123:O123"/>
    <mergeCell ref="A124:C124"/>
    <mergeCell ref="D124:F124"/>
    <mergeCell ref="G124:I124"/>
    <mergeCell ref="J124:L124"/>
    <mergeCell ref="M124:O124"/>
    <mergeCell ref="B119:C119"/>
    <mergeCell ref="A120:C120"/>
    <mergeCell ref="D120:F120"/>
    <mergeCell ref="G120:I120"/>
    <mergeCell ref="B123:C123"/>
    <mergeCell ref="E123:F123"/>
    <mergeCell ref="H123:I123"/>
    <mergeCell ref="B15:C15"/>
    <mergeCell ref="E15:F15"/>
    <mergeCell ref="H15:I15"/>
    <mergeCell ref="K15:L15"/>
    <mergeCell ref="N15:O15"/>
    <mergeCell ref="A16:C16"/>
    <mergeCell ref="D16:F16"/>
    <mergeCell ref="M16:O16"/>
    <mergeCell ref="G16:I16"/>
    <mergeCell ref="J16:L16"/>
    <mergeCell ref="B19:C19"/>
    <mergeCell ref="E19:F19"/>
    <mergeCell ref="H19:I19"/>
    <mergeCell ref="K19:L19"/>
    <mergeCell ref="N19:O19"/>
    <mergeCell ref="H23:I23"/>
    <mergeCell ref="K23:L23"/>
    <mergeCell ref="A20:C20"/>
    <mergeCell ref="D20:F20"/>
    <mergeCell ref="G20:I20"/>
    <mergeCell ref="J20:L20"/>
    <mergeCell ref="M20:O20"/>
    <mergeCell ref="E23:F23"/>
    <mergeCell ref="N23:O23"/>
    <mergeCell ref="K27:L27"/>
    <mergeCell ref="N27:O27"/>
    <mergeCell ref="B23:C23"/>
    <mergeCell ref="A24:C24"/>
    <mergeCell ref="D24:F24"/>
    <mergeCell ref="G24:I24"/>
    <mergeCell ref="J24:L24"/>
    <mergeCell ref="M24:O24"/>
    <mergeCell ref="B27:C27"/>
    <mergeCell ref="A1:N1"/>
    <mergeCell ref="A2:O2"/>
    <mergeCell ref="B3:C3"/>
    <mergeCell ref="E3:F3"/>
    <mergeCell ref="H3:I3"/>
    <mergeCell ref="K3:L3"/>
    <mergeCell ref="N3:O3"/>
    <mergeCell ref="H7:I7"/>
    <mergeCell ref="K7:L7"/>
    <mergeCell ref="J8:L8"/>
    <mergeCell ref="M8:O8"/>
    <mergeCell ref="A4:C4"/>
    <mergeCell ref="D4:F4"/>
    <mergeCell ref="G4:I4"/>
    <mergeCell ref="J4:L4"/>
    <mergeCell ref="M4:O4"/>
    <mergeCell ref="E7:F7"/>
    <mergeCell ref="N7:O7"/>
    <mergeCell ref="K11:L11"/>
    <mergeCell ref="N11:O11"/>
    <mergeCell ref="A12:C12"/>
    <mergeCell ref="D12:F12"/>
    <mergeCell ref="G12:I12"/>
    <mergeCell ref="J12:L12"/>
    <mergeCell ref="M12:O12"/>
    <mergeCell ref="B7:C7"/>
    <mergeCell ref="A8:C8"/>
    <mergeCell ref="D8:F8"/>
    <mergeCell ref="G8:I8"/>
    <mergeCell ref="B11:C11"/>
    <mergeCell ref="E11:F11"/>
    <mergeCell ref="H11:I11"/>
    <mergeCell ref="E27:F27"/>
    <mergeCell ref="H27:I27"/>
    <mergeCell ref="A28:C28"/>
    <mergeCell ref="D28:F28"/>
    <mergeCell ref="G28:I28"/>
    <mergeCell ref="J28:L28"/>
    <mergeCell ref="M28:O28"/>
    <mergeCell ref="B31:C31"/>
    <mergeCell ref="E31:F31"/>
    <mergeCell ref="H31:I31"/>
    <mergeCell ref="K31:L31"/>
    <mergeCell ref="N31:O31"/>
    <mergeCell ref="A32:C32"/>
    <mergeCell ref="D32:F32"/>
    <mergeCell ref="M32:O32"/>
    <mergeCell ref="G32:I32"/>
    <mergeCell ref="J32:L32"/>
    <mergeCell ref="B35:C35"/>
    <mergeCell ref="E35:F35"/>
    <mergeCell ref="H35:I35"/>
    <mergeCell ref="K35:L35"/>
    <mergeCell ref="N35:O35"/>
    <mergeCell ref="H39:I39"/>
    <mergeCell ref="K39:L39"/>
    <mergeCell ref="J40:L40"/>
    <mergeCell ref="M40:O40"/>
    <mergeCell ref="A36:C36"/>
    <mergeCell ref="D36:F36"/>
    <mergeCell ref="G36:I36"/>
    <mergeCell ref="J36:L36"/>
    <mergeCell ref="M36:O36"/>
    <mergeCell ref="E39:F39"/>
    <mergeCell ref="N39:O39"/>
    <mergeCell ref="K43:L43"/>
    <mergeCell ref="N43:O43"/>
    <mergeCell ref="A44:C44"/>
    <mergeCell ref="D44:F44"/>
    <mergeCell ref="G44:I44"/>
    <mergeCell ref="J44:L44"/>
    <mergeCell ref="M44:O44"/>
    <mergeCell ref="B39:C39"/>
    <mergeCell ref="A40:C40"/>
    <mergeCell ref="D40:F40"/>
    <mergeCell ref="G40:I40"/>
    <mergeCell ref="B43:C43"/>
    <mergeCell ref="E43:F43"/>
    <mergeCell ref="H43:I43"/>
    <mergeCell ref="B47:C47"/>
    <mergeCell ref="E47:F47"/>
    <mergeCell ref="H47:I47"/>
    <mergeCell ref="K47:L47"/>
    <mergeCell ref="N47:O47"/>
    <mergeCell ref="A48:C48"/>
    <mergeCell ref="D48:F48"/>
    <mergeCell ref="M48:O48"/>
    <mergeCell ref="G48:I48"/>
    <mergeCell ref="J48:L48"/>
    <mergeCell ref="B51:C51"/>
    <mergeCell ref="E51:F51"/>
    <mergeCell ref="H51:I51"/>
    <mergeCell ref="K51:L51"/>
    <mergeCell ref="N51:O51"/>
    <mergeCell ref="H55:I55"/>
    <mergeCell ref="K55:L55"/>
    <mergeCell ref="J56:L56"/>
    <mergeCell ref="M56:O56"/>
    <mergeCell ref="A52:C52"/>
    <mergeCell ref="D52:F52"/>
    <mergeCell ref="G52:I52"/>
    <mergeCell ref="J52:L52"/>
    <mergeCell ref="M52:O52"/>
    <mergeCell ref="E55:F55"/>
    <mergeCell ref="N55:O55"/>
    <mergeCell ref="K59:L59"/>
    <mergeCell ref="N59:O59"/>
    <mergeCell ref="A60:C60"/>
    <mergeCell ref="D60:F60"/>
    <mergeCell ref="G60:I60"/>
    <mergeCell ref="J60:L60"/>
    <mergeCell ref="M60:O60"/>
    <mergeCell ref="B55:C55"/>
    <mergeCell ref="A56:C56"/>
    <mergeCell ref="D56:F56"/>
    <mergeCell ref="G56:I56"/>
    <mergeCell ref="B59:C59"/>
    <mergeCell ref="E59:F59"/>
    <mergeCell ref="H59:I59"/>
    <mergeCell ref="B63:C63"/>
    <mergeCell ref="E63:F63"/>
    <mergeCell ref="H63:I63"/>
    <mergeCell ref="K63:L63"/>
    <mergeCell ref="N63:O63"/>
    <mergeCell ref="A64:C64"/>
    <mergeCell ref="D64:F64"/>
    <mergeCell ref="M64:O64"/>
    <mergeCell ref="G64:I64"/>
    <mergeCell ref="J64:L64"/>
    <mergeCell ref="B67:C67"/>
    <mergeCell ref="E67:F67"/>
    <mergeCell ref="H67:I67"/>
    <mergeCell ref="K67:L67"/>
    <mergeCell ref="N67:O67"/>
    <mergeCell ref="H71:I71"/>
    <mergeCell ref="K71:L71"/>
    <mergeCell ref="J72:L72"/>
    <mergeCell ref="M72:O72"/>
    <mergeCell ref="A68:C68"/>
    <mergeCell ref="D68:F68"/>
    <mergeCell ref="G68:I68"/>
    <mergeCell ref="J68:L68"/>
    <mergeCell ref="M68:O68"/>
    <mergeCell ref="E71:F71"/>
    <mergeCell ref="N71:O71"/>
    <mergeCell ref="K75:L75"/>
    <mergeCell ref="N75:O75"/>
    <mergeCell ref="A76:C76"/>
    <mergeCell ref="D76:F76"/>
    <mergeCell ref="G76:I76"/>
    <mergeCell ref="J76:L76"/>
    <mergeCell ref="M76:O76"/>
    <mergeCell ref="B71:C71"/>
    <mergeCell ref="A72:C72"/>
    <mergeCell ref="D72:F72"/>
    <mergeCell ref="G72:I72"/>
    <mergeCell ref="B75:C75"/>
    <mergeCell ref="E75:F75"/>
    <mergeCell ref="H75:I75"/>
  </mergeCell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.13"/>
    <col customWidth="1" min="3" max="3" width="12.63"/>
    <col customWidth="1" min="4" max="5" width="5.13"/>
    <col customWidth="1" min="6" max="6" width="12.63"/>
    <col customWidth="1" min="7" max="8" width="5.13"/>
    <col customWidth="1" min="9" max="9" width="12.63"/>
    <col customWidth="1" min="10" max="11" width="5.13"/>
    <col customWidth="1" min="12" max="12" width="12.63"/>
    <col customWidth="1" min="13" max="14" width="5.13"/>
    <col customWidth="1" min="15" max="15" width="12.63"/>
  </cols>
  <sheetData>
    <row r="1" ht="18.75" customHeight="1">
      <c r="A1" s="16" t="s">
        <v>1046</v>
      </c>
      <c r="O1" s="17" t="b">
        <v>0</v>
      </c>
    </row>
    <row r="2" ht="18.75" customHeight="1">
      <c r="A2" s="3" t="s">
        <v>1047</v>
      </c>
    </row>
    <row r="3" ht="18.75" customHeight="1">
      <c r="A3" s="18" t="s">
        <v>1048</v>
      </c>
      <c r="B3" s="19" t="s">
        <v>988</v>
      </c>
      <c r="C3" s="20"/>
      <c r="D3" s="18" t="s">
        <v>1049</v>
      </c>
      <c r="E3" s="19" t="s">
        <v>1050</v>
      </c>
      <c r="F3" s="20"/>
      <c r="G3" s="18" t="s">
        <v>1051</v>
      </c>
      <c r="H3" s="19" t="s">
        <v>1052</v>
      </c>
      <c r="I3" s="20"/>
      <c r="J3" s="18" t="s">
        <v>1053</v>
      </c>
      <c r="K3" s="19" t="s">
        <v>1054</v>
      </c>
      <c r="L3" s="20"/>
      <c r="M3" s="18" t="s">
        <v>1055</v>
      </c>
      <c r="N3" s="19" t="s">
        <v>1056</v>
      </c>
      <c r="O3" s="20"/>
    </row>
    <row r="4" ht="180.0" customHeight="1">
      <c r="A4" s="21" t="str">
        <f>IMAGE("https://images.pokemontcg.io/swsh12pt5gg/GG42.png", 1)</f>
        <v/>
      </c>
      <c r="B4" s="22"/>
      <c r="C4" s="20"/>
      <c r="D4" s="21" t="str">
        <f>IMAGE("https://images.pokemontcg.io/swsh12pt5gg/GG44.png", 1)</f>
        <v/>
      </c>
      <c r="E4" s="22"/>
      <c r="F4" s="20"/>
      <c r="G4" s="21" t="str">
        <f>IMAGE("https://images.pokemontcg.io/swsh12pt5gg/GG46.png", 1)</f>
        <v/>
      </c>
      <c r="H4" s="22"/>
      <c r="I4" s="20"/>
      <c r="J4" s="21" t="str">
        <f>IMAGE("https://images.pokemontcg.io/swsh12pt5gg/GG64.png", 1)</f>
        <v/>
      </c>
      <c r="K4" s="22"/>
      <c r="L4" s="20"/>
      <c r="M4" s="21" t="str">
        <f>IMAGE("https://images.pokemontcg.io/swsh12pt5gg/GG65.png", 1)</f>
        <v/>
      </c>
      <c r="N4" s="22"/>
      <c r="O4" s="20"/>
    </row>
    <row r="5" ht="22.5" customHeight="1">
      <c r="A5" s="23" t="b">
        <v>0</v>
      </c>
      <c r="B5" s="24" t="b">
        <v>0</v>
      </c>
      <c r="C5" s="25" t="str">
        <f>HYPERLINK("https://prices.pokemontcg.io/cardmarket/swsh12pt5gg-GG42", "CM")</f>
        <v>CM</v>
      </c>
      <c r="D5" s="23" t="b">
        <v>0</v>
      </c>
      <c r="E5" s="24" t="b">
        <v>0</v>
      </c>
      <c r="F5" s="25" t="str">
        <f>HYPERLINK("https://prices.pokemontcg.io/cardmarket/swsh12pt5gg-GG44", "CM")</f>
        <v>CM</v>
      </c>
      <c r="G5" s="23" t="b">
        <v>0</v>
      </c>
      <c r="H5" s="24" t="b">
        <v>0</v>
      </c>
      <c r="I5" s="25" t="str">
        <f>HYPERLINK("https://prices.pokemontcg.io/cardmarket/swsh12pt5gg-GG46", "CM")</f>
        <v>CM</v>
      </c>
      <c r="J5" s="23" t="b">
        <v>0</v>
      </c>
      <c r="K5" s="24" t="b">
        <v>0</v>
      </c>
      <c r="L5" s="25" t="str">
        <f>HYPERLINK("https://prices.pokemontcg.io/cardmarket/swsh12pt5gg-GG64", "CM")</f>
        <v>CM</v>
      </c>
      <c r="M5" s="23" t="b">
        <v>0</v>
      </c>
      <c r="N5" s="24" t="b">
        <v>0</v>
      </c>
      <c r="O5" s="25" t="str">
        <f>HYPERLINK("https://prices.pokemontcg.io/cardmarket/swsh12pt5gg-GG65", "CM")</f>
        <v>CM</v>
      </c>
    </row>
    <row r="6" ht="7.5" customHeight="1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</row>
    <row r="7" ht="18.75" customHeight="1">
      <c r="A7" s="18" t="s">
        <v>1057</v>
      </c>
      <c r="B7" s="19" t="s">
        <v>1058</v>
      </c>
      <c r="C7" s="20"/>
      <c r="D7" s="18" t="s">
        <v>1059</v>
      </c>
      <c r="E7" s="19" t="s">
        <v>1060</v>
      </c>
      <c r="F7" s="20"/>
      <c r="G7" s="18" t="s">
        <v>1061</v>
      </c>
      <c r="H7" s="19" t="s">
        <v>1062</v>
      </c>
      <c r="I7" s="20"/>
      <c r="J7" s="27" t="s">
        <v>1063</v>
      </c>
      <c r="K7" s="28" t="s">
        <v>1064</v>
      </c>
      <c r="L7" s="20"/>
      <c r="M7" s="27" t="s">
        <v>1065</v>
      </c>
      <c r="N7" s="28" t="s">
        <v>1066</v>
      </c>
      <c r="O7" s="20"/>
    </row>
    <row r="8" ht="180.0" customHeight="1">
      <c r="A8" s="21" t="str">
        <f>IMAGE("https://images.pokemontcg.io/swsh12pt5gg/GG67.png", 1)</f>
        <v/>
      </c>
      <c r="B8" s="22"/>
      <c r="C8" s="20"/>
      <c r="D8" s="21" t="str">
        <f>IMAGE("https://images.pokemontcg.io/swsh12pt5gg/GG69.png", 1)</f>
        <v/>
      </c>
      <c r="E8" s="22"/>
      <c r="F8" s="20"/>
      <c r="G8" s="21" t="str">
        <f>IMAGE("https://images.pokemontcg.io/swsh12pt5gg/GG70.png", 1)</f>
        <v/>
      </c>
      <c r="H8" s="22"/>
      <c r="I8" s="20"/>
      <c r="J8" s="31" t="str">
        <f>IMAGE("https://images.pokemontcg.io/swsh12pt5gg/GG01.png", 1)</f>
        <v/>
      </c>
      <c r="K8" s="22"/>
      <c r="L8" s="20"/>
      <c r="M8" s="31" t="str">
        <f>IMAGE("https://images.pokemontcg.io/swsh12pt5gg/GG02.png", 1)</f>
        <v/>
      </c>
      <c r="N8" s="22"/>
      <c r="O8" s="20"/>
    </row>
    <row r="9" ht="22.5" customHeight="1">
      <c r="A9" s="23" t="b">
        <v>0</v>
      </c>
      <c r="B9" s="24" t="b">
        <v>0</v>
      </c>
      <c r="C9" s="25" t="str">
        <f>HYPERLINK("https://prices.pokemontcg.io/cardmarket/swsh12pt5gg-GG67", "CM")</f>
        <v>CM</v>
      </c>
      <c r="D9" s="23" t="b">
        <v>0</v>
      </c>
      <c r="E9" s="24" t="b">
        <v>0</v>
      </c>
      <c r="F9" s="25" t="str">
        <f>HYPERLINK("https://prices.pokemontcg.io/cardmarket/swsh12pt5gg-GG69", "CM")</f>
        <v>CM</v>
      </c>
      <c r="G9" s="23" t="b">
        <v>0</v>
      </c>
      <c r="H9" s="24" t="b">
        <v>0</v>
      </c>
      <c r="I9" s="25" t="str">
        <f>HYPERLINK("https://prices.pokemontcg.io/cardmarket/swsh12pt5gg-GG70", "CM")</f>
        <v>CM</v>
      </c>
      <c r="J9" s="33" t="b">
        <v>1</v>
      </c>
      <c r="K9" s="33" t="b">
        <v>1</v>
      </c>
      <c r="L9" s="34" t="str">
        <f>HYPERLINK("https://prices.pokemontcg.io/cardmarket/swsh12pt5gg-GG01", "CM")</f>
        <v>CM</v>
      </c>
      <c r="M9" s="33" t="b">
        <v>1</v>
      </c>
      <c r="N9" s="33" t="b">
        <v>1</v>
      </c>
      <c r="O9" s="34" t="str">
        <f>HYPERLINK("https://prices.pokemontcg.io/cardmarket/swsh12pt5gg-GG02", "CM")</f>
        <v>CM</v>
      </c>
    </row>
    <row r="10" ht="7.5" customHeight="1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</row>
    <row r="11" ht="18.75" customHeight="1">
      <c r="A11" s="27" t="s">
        <v>1067</v>
      </c>
      <c r="B11" s="28" t="s">
        <v>1068</v>
      </c>
      <c r="C11" s="20"/>
      <c r="D11" s="27" t="s">
        <v>1069</v>
      </c>
      <c r="E11" s="28" t="s">
        <v>1070</v>
      </c>
      <c r="F11" s="20"/>
      <c r="G11" s="27" t="s">
        <v>1071</v>
      </c>
      <c r="H11" s="28" t="s">
        <v>1072</v>
      </c>
      <c r="I11" s="20"/>
      <c r="J11" s="27" t="s">
        <v>1073</v>
      </c>
      <c r="K11" s="28" t="s">
        <v>1074</v>
      </c>
      <c r="L11" s="20"/>
      <c r="M11" s="27" t="s">
        <v>1075</v>
      </c>
      <c r="N11" s="28" t="s">
        <v>1076</v>
      </c>
      <c r="O11" s="20"/>
    </row>
    <row r="12" ht="180.0" customHeight="1">
      <c r="A12" s="31" t="str">
        <f>IMAGE("https://images.pokemontcg.io/swsh12pt5gg/GG03.png", 1)</f>
        <v/>
      </c>
      <c r="B12" s="22"/>
      <c r="C12" s="20"/>
      <c r="D12" s="31" t="str">
        <f>IMAGE("https://images.pokemontcg.io/swsh12pt5gg/GG04.png", 1)</f>
        <v/>
      </c>
      <c r="E12" s="22"/>
      <c r="F12" s="20"/>
      <c r="G12" s="31" t="str">
        <f>IMAGE("https://images.pokemontcg.io/swsh12pt5gg/GG05.png", 1)</f>
        <v/>
      </c>
      <c r="H12" s="22"/>
      <c r="I12" s="20"/>
      <c r="J12" s="31" t="str">
        <f>IMAGE("https://images.pokemontcg.io/swsh12pt5gg/GG06.png", 1)</f>
        <v/>
      </c>
      <c r="K12" s="22"/>
      <c r="L12" s="20"/>
      <c r="M12" s="31" t="str">
        <f>IMAGE("https://images.pokemontcg.io/swsh12pt5gg/GG07.png", 1)</f>
        <v/>
      </c>
      <c r="N12" s="22"/>
      <c r="O12" s="20"/>
    </row>
    <row r="13" ht="22.5" customHeight="1">
      <c r="A13" s="33" t="b">
        <v>1</v>
      </c>
      <c r="B13" s="33" t="b">
        <v>1</v>
      </c>
      <c r="C13" s="34" t="str">
        <f>HYPERLINK("https://prices.pokemontcg.io/cardmarket/swsh12pt5gg-GG03", "CM")</f>
        <v>CM</v>
      </c>
      <c r="D13" s="33" t="b">
        <v>1</v>
      </c>
      <c r="E13" s="33" t="b">
        <v>1</v>
      </c>
      <c r="F13" s="34" t="str">
        <f>HYPERLINK("https://prices.pokemontcg.io/cardmarket/swsh12pt5gg-GG04", "CM")</f>
        <v>CM</v>
      </c>
      <c r="G13" s="33" t="b">
        <v>1</v>
      </c>
      <c r="H13" s="33" t="b">
        <v>1</v>
      </c>
      <c r="I13" s="34" t="str">
        <f>HYPERLINK("https://prices.pokemontcg.io/cardmarket/swsh12pt5gg-GG05", "CM")</f>
        <v>CM</v>
      </c>
      <c r="J13" s="33" t="b">
        <v>1</v>
      </c>
      <c r="K13" s="33" t="b">
        <v>1</v>
      </c>
      <c r="L13" s="34" t="str">
        <f>HYPERLINK("https://prices.pokemontcg.io/cardmarket/swsh12pt5gg-GG06", "CM")</f>
        <v>CM</v>
      </c>
      <c r="M13" s="33" t="b">
        <v>1</v>
      </c>
      <c r="N13" s="33" t="b">
        <v>1</v>
      </c>
      <c r="O13" s="34" t="str">
        <f>HYPERLINK("https://prices.pokemontcg.io/cardmarket/swsh12pt5gg-GG07", "CM")</f>
        <v>CM</v>
      </c>
    </row>
    <row r="14" ht="7.5" customHeight="1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</row>
    <row r="15" ht="18.75" customHeight="1">
      <c r="A15" s="27" t="s">
        <v>1077</v>
      </c>
      <c r="B15" s="28" t="s">
        <v>1078</v>
      </c>
      <c r="C15" s="20"/>
      <c r="D15" s="27" t="s">
        <v>1079</v>
      </c>
      <c r="E15" s="28" t="s">
        <v>1080</v>
      </c>
      <c r="F15" s="20"/>
      <c r="G15" s="27" t="s">
        <v>1081</v>
      </c>
      <c r="H15" s="28" t="s">
        <v>1082</v>
      </c>
      <c r="I15" s="20"/>
      <c r="J15" s="27" t="s">
        <v>1083</v>
      </c>
      <c r="K15" s="28" t="s">
        <v>1084</v>
      </c>
      <c r="L15" s="20"/>
      <c r="M15" s="27" t="s">
        <v>1085</v>
      </c>
      <c r="N15" s="28" t="s">
        <v>1086</v>
      </c>
      <c r="O15" s="20"/>
    </row>
    <row r="16" ht="180.0" customHeight="1">
      <c r="A16" s="31" t="str">
        <f>IMAGE("https://images.pokemontcg.io/swsh12pt5gg/GG08.png", 1)</f>
        <v/>
      </c>
      <c r="B16" s="22"/>
      <c r="C16" s="20"/>
      <c r="D16" s="31" t="str">
        <f>IMAGE("https://images.pokemontcg.io/swsh12pt5gg/GG09.png", 1)</f>
        <v/>
      </c>
      <c r="E16" s="22"/>
      <c r="F16" s="20"/>
      <c r="G16" s="31" t="str">
        <f>IMAGE("https://images.pokemontcg.io/swsh12pt5gg/GG10.png", 1)</f>
        <v/>
      </c>
      <c r="H16" s="22"/>
      <c r="I16" s="20"/>
      <c r="J16" s="31" t="str">
        <f>IMAGE("https://images.pokemontcg.io/swsh12pt5gg/GG11.png", 1)</f>
        <v/>
      </c>
      <c r="K16" s="22"/>
      <c r="L16" s="20"/>
      <c r="M16" s="31" t="str">
        <f>IMAGE("https://images.pokemontcg.io/swsh12pt5gg/GG12.png", 1)</f>
        <v/>
      </c>
      <c r="N16" s="22"/>
      <c r="O16" s="20"/>
    </row>
    <row r="17" ht="22.5" customHeight="1">
      <c r="A17" s="33" t="b">
        <v>1</v>
      </c>
      <c r="B17" s="33" t="b">
        <v>1</v>
      </c>
      <c r="C17" s="34" t="str">
        <f>HYPERLINK("https://prices.pokemontcg.io/cardmarket/swsh12pt5gg-GG08", "CM")</f>
        <v>CM</v>
      </c>
      <c r="D17" s="33" t="b">
        <v>1</v>
      </c>
      <c r="E17" s="33" t="b">
        <v>1</v>
      </c>
      <c r="F17" s="34" t="str">
        <f>HYPERLINK("https://prices.pokemontcg.io/cardmarket/swsh12pt5gg-GG09", "CM")</f>
        <v>CM</v>
      </c>
      <c r="G17" s="33" t="b">
        <v>1</v>
      </c>
      <c r="H17" s="33" t="b">
        <v>1</v>
      </c>
      <c r="I17" s="34" t="str">
        <f>HYPERLINK("https://prices.pokemontcg.io/cardmarket/swsh12pt5gg-GG10", "CM")</f>
        <v>CM</v>
      </c>
      <c r="J17" s="33" t="b">
        <v>1</v>
      </c>
      <c r="K17" s="33" t="b">
        <v>1</v>
      </c>
      <c r="L17" s="34" t="str">
        <f>HYPERLINK("https://prices.pokemontcg.io/cardmarket/swsh12pt5gg-GG11", "CM")</f>
        <v>CM</v>
      </c>
      <c r="M17" s="33" t="b">
        <v>1</v>
      </c>
      <c r="N17" s="33" t="b">
        <v>1</v>
      </c>
      <c r="O17" s="34" t="str">
        <f>HYPERLINK("https://prices.pokemontcg.io/cardmarket/swsh12pt5gg-GG12", "CM")</f>
        <v>CM</v>
      </c>
    </row>
    <row r="18" ht="7.5" customHeight="1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</row>
    <row r="19" ht="18.75" customHeight="1">
      <c r="A19" s="27" t="s">
        <v>1087</v>
      </c>
      <c r="B19" s="28" t="s">
        <v>1088</v>
      </c>
      <c r="C19" s="20"/>
      <c r="D19" s="27" t="s">
        <v>1089</v>
      </c>
      <c r="E19" s="28" t="s">
        <v>1090</v>
      </c>
      <c r="F19" s="20"/>
      <c r="G19" s="27" t="s">
        <v>1091</v>
      </c>
      <c r="H19" s="28" t="s">
        <v>1092</v>
      </c>
      <c r="I19" s="20"/>
      <c r="J19" s="27" t="s">
        <v>1093</v>
      </c>
      <c r="K19" s="28" t="s">
        <v>1003</v>
      </c>
      <c r="L19" s="20"/>
      <c r="M19" s="27" t="s">
        <v>1094</v>
      </c>
      <c r="N19" s="28" t="s">
        <v>1095</v>
      </c>
      <c r="O19" s="20"/>
    </row>
    <row r="20" ht="180.0" customHeight="1">
      <c r="A20" s="31" t="str">
        <f>IMAGE("https://images.pokemontcg.io/swsh12pt5gg/GG13.png", 1)</f>
        <v/>
      </c>
      <c r="B20" s="22"/>
      <c r="C20" s="20"/>
      <c r="D20" s="31" t="str">
        <f>IMAGE("https://images.pokemontcg.io/swsh12pt5gg/GG14.png", 1)</f>
        <v/>
      </c>
      <c r="E20" s="22"/>
      <c r="F20" s="20"/>
      <c r="G20" s="31" t="str">
        <f>IMAGE("https://images.pokemontcg.io/swsh12pt5gg/GG15.png", 1)</f>
        <v/>
      </c>
      <c r="H20" s="22"/>
      <c r="I20" s="20"/>
      <c r="J20" s="31" t="str">
        <f>IMAGE("https://images.pokemontcg.io/swsh12pt5gg/GG16.png", 1)</f>
        <v/>
      </c>
      <c r="K20" s="22"/>
      <c r="L20" s="20"/>
      <c r="M20" s="31" t="str">
        <f>IMAGE("https://images.pokemontcg.io/swsh12pt5gg/GG17.png", 1)</f>
        <v/>
      </c>
      <c r="N20" s="22"/>
      <c r="O20" s="20"/>
    </row>
    <row r="21" ht="22.5" customHeight="1">
      <c r="A21" s="33" t="b">
        <v>1</v>
      </c>
      <c r="B21" s="33" t="b">
        <v>1</v>
      </c>
      <c r="C21" s="34" t="str">
        <f>HYPERLINK("https://prices.pokemontcg.io/cardmarket/swsh12pt5gg-GG13", "CM")</f>
        <v>CM</v>
      </c>
      <c r="D21" s="33" t="b">
        <v>1</v>
      </c>
      <c r="E21" s="33" t="b">
        <v>1</v>
      </c>
      <c r="F21" s="34" t="str">
        <f>HYPERLINK("https://prices.pokemontcg.io/cardmarket/swsh12pt5gg-GG14", "CM")</f>
        <v>CM</v>
      </c>
      <c r="G21" s="33" t="b">
        <v>1</v>
      </c>
      <c r="H21" s="33" t="b">
        <v>1</v>
      </c>
      <c r="I21" s="34" t="str">
        <f>HYPERLINK("https://prices.pokemontcg.io/cardmarket/swsh12pt5gg-GG15", "CM")</f>
        <v>CM</v>
      </c>
      <c r="J21" s="33" t="b">
        <v>1</v>
      </c>
      <c r="K21" s="33" t="b">
        <v>1</v>
      </c>
      <c r="L21" s="34" t="str">
        <f>HYPERLINK("https://prices.pokemontcg.io/cardmarket/swsh12pt5gg-GG16", "CM")</f>
        <v>CM</v>
      </c>
      <c r="M21" s="33" t="b">
        <v>1</v>
      </c>
      <c r="N21" s="33" t="b">
        <v>1</v>
      </c>
      <c r="O21" s="34" t="str">
        <f>HYPERLINK("https://prices.pokemontcg.io/cardmarket/swsh12pt5gg-GG17", "CM")</f>
        <v>CM</v>
      </c>
    </row>
    <row r="22" ht="7.5" customHeight="1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</row>
    <row r="23" ht="18.75" customHeight="1">
      <c r="A23" s="27" t="s">
        <v>1096</v>
      </c>
      <c r="B23" s="28" t="s">
        <v>1097</v>
      </c>
      <c r="C23" s="20"/>
      <c r="D23" s="27" t="s">
        <v>1098</v>
      </c>
      <c r="E23" s="28" t="s">
        <v>1099</v>
      </c>
      <c r="F23" s="20"/>
      <c r="G23" s="27" t="s">
        <v>1100</v>
      </c>
      <c r="H23" s="28" t="s">
        <v>675</v>
      </c>
      <c r="I23" s="20"/>
      <c r="J23" s="27" t="s">
        <v>1101</v>
      </c>
      <c r="K23" s="28" t="s">
        <v>1102</v>
      </c>
      <c r="L23" s="20"/>
      <c r="M23" s="27" t="s">
        <v>1103</v>
      </c>
      <c r="N23" s="28" t="s">
        <v>941</v>
      </c>
      <c r="O23" s="20"/>
    </row>
    <row r="24" ht="180.0" customHeight="1">
      <c r="A24" s="31" t="str">
        <f>IMAGE("https://images.pokemontcg.io/swsh12pt5gg/GG18.png", 1)</f>
        <v/>
      </c>
      <c r="B24" s="22"/>
      <c r="C24" s="20"/>
      <c r="D24" s="31" t="str">
        <f>IMAGE("https://images.pokemontcg.io/swsh12pt5gg/GG19.png", 1)</f>
        <v/>
      </c>
      <c r="E24" s="22"/>
      <c r="F24" s="20"/>
      <c r="G24" s="31" t="str">
        <f>IMAGE("https://images.pokemontcg.io/swsh12pt5gg/GG20.png", 1)</f>
        <v/>
      </c>
      <c r="H24" s="22"/>
      <c r="I24" s="20"/>
      <c r="J24" s="31" t="str">
        <f>IMAGE("https://images.pokemontcg.io/swsh12pt5gg/GG21.png", 1)</f>
        <v/>
      </c>
      <c r="K24" s="22"/>
      <c r="L24" s="20"/>
      <c r="M24" s="31" t="str">
        <f>IMAGE("https://images.pokemontcg.io/swsh12pt5gg/GG22.png", 1)</f>
        <v/>
      </c>
      <c r="N24" s="22"/>
      <c r="O24" s="20"/>
    </row>
    <row r="25" ht="22.5" customHeight="1">
      <c r="A25" s="33" t="b">
        <v>1</v>
      </c>
      <c r="B25" s="33" t="b">
        <v>1</v>
      </c>
      <c r="C25" s="34" t="str">
        <f>HYPERLINK("https://prices.pokemontcg.io/cardmarket/swsh12pt5gg-GG18", "CM")</f>
        <v>CM</v>
      </c>
      <c r="D25" s="33" t="b">
        <v>1</v>
      </c>
      <c r="E25" s="33" t="b">
        <v>1</v>
      </c>
      <c r="F25" s="34" t="str">
        <f>HYPERLINK("https://prices.pokemontcg.io/cardmarket/swsh12pt5gg-GG19", "CM")</f>
        <v>CM</v>
      </c>
      <c r="G25" s="33" t="b">
        <v>1</v>
      </c>
      <c r="H25" s="33" t="b">
        <v>1</v>
      </c>
      <c r="I25" s="34" t="str">
        <f>HYPERLINK("https://prices.pokemontcg.io/cardmarket/swsh12pt5gg-GG20", "CM")</f>
        <v>CM</v>
      </c>
      <c r="J25" s="33" t="b">
        <v>1</v>
      </c>
      <c r="K25" s="33" t="b">
        <v>1</v>
      </c>
      <c r="L25" s="34" t="str">
        <f>HYPERLINK("https://prices.pokemontcg.io/cardmarket/swsh12pt5gg-GG21", "CM")</f>
        <v>CM</v>
      </c>
      <c r="M25" s="33" t="b">
        <v>1</v>
      </c>
      <c r="N25" s="33" t="b">
        <v>1</v>
      </c>
      <c r="O25" s="34" t="str">
        <f>HYPERLINK("https://prices.pokemontcg.io/cardmarket/swsh12pt5gg-GG22", "CM")</f>
        <v>CM</v>
      </c>
    </row>
    <row r="26" ht="7.5" customHeight="1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</row>
    <row r="27" ht="18.75" customHeight="1">
      <c r="A27" s="27" t="s">
        <v>1104</v>
      </c>
      <c r="B27" s="28" t="s">
        <v>1105</v>
      </c>
      <c r="C27" s="20"/>
      <c r="D27" s="27" t="s">
        <v>1106</v>
      </c>
      <c r="E27" s="28" t="s">
        <v>1107</v>
      </c>
      <c r="F27" s="20"/>
      <c r="G27" s="27" t="s">
        <v>1108</v>
      </c>
      <c r="H27" s="28" t="s">
        <v>1109</v>
      </c>
      <c r="I27" s="20"/>
      <c r="J27" s="27" t="s">
        <v>1110</v>
      </c>
      <c r="K27" s="28" t="s">
        <v>998</v>
      </c>
      <c r="L27" s="20"/>
      <c r="M27" s="27" t="s">
        <v>1111</v>
      </c>
      <c r="N27" s="28" t="s">
        <v>1112</v>
      </c>
      <c r="O27" s="20"/>
    </row>
    <row r="28" ht="180.0" customHeight="1">
      <c r="A28" s="31" t="str">
        <f>IMAGE("https://images.pokemontcg.io/swsh12pt5gg/GG23.png", 1)</f>
        <v/>
      </c>
      <c r="B28" s="22"/>
      <c r="C28" s="20"/>
      <c r="D28" s="31" t="str">
        <f>IMAGE("https://images.pokemontcg.io/swsh12pt5gg/GG24.png", 1)</f>
        <v/>
      </c>
      <c r="E28" s="22"/>
      <c r="F28" s="20"/>
      <c r="G28" s="31" t="str">
        <f>IMAGE("https://images.pokemontcg.io/swsh12pt5gg/GG25.png", 1)</f>
        <v/>
      </c>
      <c r="H28" s="22"/>
      <c r="I28" s="20"/>
      <c r="J28" s="31" t="str">
        <f>IMAGE("https://images.pokemontcg.io/swsh12pt5gg/GG26.png", 1)</f>
        <v/>
      </c>
      <c r="K28" s="22"/>
      <c r="L28" s="20"/>
      <c r="M28" s="31" t="str">
        <f>IMAGE("https://images.pokemontcg.io/swsh12pt5gg/GG27.png", 1)</f>
        <v/>
      </c>
      <c r="N28" s="22"/>
      <c r="O28" s="20"/>
    </row>
    <row r="29" ht="22.5" customHeight="1">
      <c r="A29" s="33" t="b">
        <v>1</v>
      </c>
      <c r="B29" s="33" t="b">
        <v>1</v>
      </c>
      <c r="C29" s="34" t="str">
        <f>HYPERLINK("https://prices.pokemontcg.io/cardmarket/swsh12pt5gg-GG23", "CM")</f>
        <v>CM</v>
      </c>
      <c r="D29" s="33" t="b">
        <v>1</v>
      </c>
      <c r="E29" s="33" t="b">
        <v>1</v>
      </c>
      <c r="F29" s="34" t="str">
        <f>HYPERLINK("https://prices.pokemontcg.io/cardmarket/swsh12pt5gg-GG24", "CM")</f>
        <v>CM</v>
      </c>
      <c r="G29" s="33" t="b">
        <v>1</v>
      </c>
      <c r="H29" s="33" t="b">
        <v>1</v>
      </c>
      <c r="I29" s="34" t="str">
        <f>HYPERLINK("https://prices.pokemontcg.io/cardmarket/swsh12pt5gg-GG25", "CM")</f>
        <v>CM</v>
      </c>
      <c r="J29" s="33" t="b">
        <v>1</v>
      </c>
      <c r="K29" s="33" t="b">
        <v>1</v>
      </c>
      <c r="L29" s="34" t="str">
        <f>HYPERLINK("https://prices.pokemontcg.io/cardmarket/swsh12pt5gg-GG26", "CM")</f>
        <v>CM</v>
      </c>
      <c r="M29" s="33" t="b">
        <v>1</v>
      </c>
      <c r="N29" s="33" t="b">
        <v>1</v>
      </c>
      <c r="O29" s="34" t="str">
        <f>HYPERLINK("https://prices.pokemontcg.io/cardmarket/swsh12pt5gg-GG27", "CM")</f>
        <v>CM</v>
      </c>
    </row>
    <row r="30" ht="7.5" customHeight="1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</row>
    <row r="31" ht="18.75" customHeight="1">
      <c r="A31" s="27" t="s">
        <v>1113</v>
      </c>
      <c r="B31" s="28" t="s">
        <v>1114</v>
      </c>
      <c r="C31" s="20"/>
      <c r="D31" s="27" t="s">
        <v>1115</v>
      </c>
      <c r="E31" s="28" t="s">
        <v>1116</v>
      </c>
      <c r="F31" s="20"/>
      <c r="G31" s="27" t="s">
        <v>1117</v>
      </c>
      <c r="H31" s="28" t="s">
        <v>616</v>
      </c>
      <c r="I31" s="20"/>
      <c r="J31" s="27" t="s">
        <v>1118</v>
      </c>
      <c r="K31" s="28" t="s">
        <v>1119</v>
      </c>
      <c r="L31" s="20"/>
      <c r="M31" s="27" t="s">
        <v>1120</v>
      </c>
      <c r="N31" s="28" t="s">
        <v>1121</v>
      </c>
      <c r="O31" s="20"/>
    </row>
    <row r="32" ht="180.0" customHeight="1">
      <c r="A32" s="31" t="str">
        <f>IMAGE("https://images.pokemontcg.io/swsh12pt5gg/GG28.png", 1)</f>
        <v/>
      </c>
      <c r="B32" s="22"/>
      <c r="C32" s="20"/>
      <c r="D32" s="31" t="str">
        <f>IMAGE("https://images.pokemontcg.io/swsh12pt5gg/GG29.png", 1)</f>
        <v/>
      </c>
      <c r="E32" s="22"/>
      <c r="F32" s="20"/>
      <c r="G32" s="31" t="str">
        <f>IMAGE("https://images.pokemontcg.io/swsh12pt5gg/GG30.png", 1)</f>
        <v/>
      </c>
      <c r="H32" s="22"/>
      <c r="I32" s="20"/>
      <c r="J32" s="31" t="str">
        <f>IMAGE("https://images.pokemontcg.io/swsh12pt5gg/GG31.png", 1)</f>
        <v/>
      </c>
      <c r="K32" s="22"/>
      <c r="L32" s="20"/>
      <c r="M32" s="31" t="str">
        <f>IMAGE("https://images.pokemontcg.io/swsh12pt5gg/GG32.png", 1)</f>
        <v/>
      </c>
      <c r="N32" s="22"/>
      <c r="O32" s="20"/>
    </row>
    <row r="33" ht="22.5" customHeight="1">
      <c r="A33" s="33" t="b">
        <v>1</v>
      </c>
      <c r="B33" s="33" t="b">
        <v>1</v>
      </c>
      <c r="C33" s="34" t="str">
        <f>HYPERLINK("https://prices.pokemontcg.io/cardmarket/swsh12pt5gg-GG28", "CM")</f>
        <v>CM</v>
      </c>
      <c r="D33" s="33" t="b">
        <v>1</v>
      </c>
      <c r="E33" s="33" t="b">
        <v>1</v>
      </c>
      <c r="F33" s="34" t="str">
        <f>HYPERLINK("https://prices.pokemontcg.io/cardmarket/swsh12pt5gg-GG29", "CM")</f>
        <v>CM</v>
      </c>
      <c r="G33" s="33" t="b">
        <v>1</v>
      </c>
      <c r="H33" s="33" t="b">
        <v>1</v>
      </c>
      <c r="I33" s="34" t="str">
        <f>HYPERLINK("https://prices.pokemontcg.io/cardmarket/swsh12pt5gg-GG30", "CM")</f>
        <v>CM</v>
      </c>
      <c r="J33" s="33" t="b">
        <v>1</v>
      </c>
      <c r="K33" s="33" t="b">
        <v>1</v>
      </c>
      <c r="L33" s="34" t="str">
        <f>HYPERLINK("https://prices.pokemontcg.io/cardmarket/swsh12pt5gg-GG31", "CM")</f>
        <v>CM</v>
      </c>
      <c r="M33" s="33" t="b">
        <v>1</v>
      </c>
      <c r="N33" s="33" t="b">
        <v>1</v>
      </c>
      <c r="O33" s="34" t="str">
        <f>HYPERLINK("https://prices.pokemontcg.io/cardmarket/swsh12pt5gg-GG32", "CM")</f>
        <v>CM</v>
      </c>
    </row>
    <row r="34" ht="7.5" customHeight="1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</row>
    <row r="35" ht="18.75" customHeight="1">
      <c r="A35" s="27" t="s">
        <v>1122</v>
      </c>
      <c r="B35" s="28" t="s">
        <v>1123</v>
      </c>
      <c r="C35" s="20"/>
      <c r="D35" s="27" t="s">
        <v>1124</v>
      </c>
      <c r="E35" s="28" t="s">
        <v>1125</v>
      </c>
      <c r="F35" s="20"/>
      <c r="G35" s="27" t="s">
        <v>1126</v>
      </c>
      <c r="H35" s="28" t="s">
        <v>1127</v>
      </c>
      <c r="I35" s="20"/>
      <c r="J35" s="27" t="s">
        <v>1128</v>
      </c>
      <c r="K35" s="28" t="s">
        <v>1129</v>
      </c>
      <c r="L35" s="20"/>
      <c r="M35" s="27" t="s">
        <v>1130</v>
      </c>
      <c r="N35" s="28" t="s">
        <v>1131</v>
      </c>
      <c r="O35" s="20"/>
    </row>
    <row r="36" ht="180.0" customHeight="1">
      <c r="A36" s="31" t="str">
        <f>IMAGE("https://images.pokemontcg.io/swsh12pt5gg/GG33.png", 1)</f>
        <v/>
      </c>
      <c r="B36" s="22"/>
      <c r="C36" s="20"/>
      <c r="D36" s="31" t="str">
        <f>IMAGE("https://images.pokemontcg.io/swsh12pt5gg/GG34.png", 1)</f>
        <v/>
      </c>
      <c r="E36" s="22"/>
      <c r="F36" s="20"/>
      <c r="G36" s="31" t="str">
        <f>IMAGE("https://images.pokemontcg.io/swsh12pt5gg/GG35.png", 1)</f>
        <v/>
      </c>
      <c r="H36" s="22"/>
      <c r="I36" s="20"/>
      <c r="J36" s="31" t="str">
        <f>IMAGE("https://images.pokemontcg.io/swsh12pt5gg/GG36.png", 1)</f>
        <v/>
      </c>
      <c r="K36" s="22"/>
      <c r="L36" s="20"/>
      <c r="M36" s="31" t="str">
        <f>IMAGE("https://images.pokemontcg.io/swsh12pt5gg/GG37.png", 1)</f>
        <v/>
      </c>
      <c r="N36" s="22"/>
      <c r="O36" s="20"/>
    </row>
    <row r="37" ht="22.5" customHeight="1">
      <c r="A37" s="33" t="b">
        <v>1</v>
      </c>
      <c r="B37" s="33" t="b">
        <v>1</v>
      </c>
      <c r="C37" s="34" t="str">
        <f>HYPERLINK("https://prices.pokemontcg.io/cardmarket/swsh12pt5gg-GG33", "CM")</f>
        <v>CM</v>
      </c>
      <c r="D37" s="33" t="b">
        <v>1</v>
      </c>
      <c r="E37" s="33" t="b">
        <v>1</v>
      </c>
      <c r="F37" s="34" t="str">
        <f>HYPERLINK("https://prices.pokemontcg.io/cardmarket/swsh12pt5gg-GG34", "CM")</f>
        <v>CM</v>
      </c>
      <c r="G37" s="33" t="b">
        <v>1</v>
      </c>
      <c r="H37" s="33" t="b">
        <v>1</v>
      </c>
      <c r="I37" s="34" t="str">
        <f>HYPERLINK("https://prices.pokemontcg.io/cardmarket/swsh12pt5gg-GG35", "CM")</f>
        <v>CM</v>
      </c>
      <c r="J37" s="33" t="b">
        <v>1</v>
      </c>
      <c r="K37" s="33" t="b">
        <v>1</v>
      </c>
      <c r="L37" s="34" t="str">
        <f>HYPERLINK("https://prices.pokemontcg.io/cardmarket/swsh12pt5gg-GG36", "CM")</f>
        <v>CM</v>
      </c>
      <c r="M37" s="33" t="b">
        <v>1</v>
      </c>
      <c r="N37" s="33" t="b">
        <v>1</v>
      </c>
      <c r="O37" s="34" t="str">
        <f>HYPERLINK("https://prices.pokemontcg.io/cardmarket/swsh12pt5gg-GG37", "CM")</f>
        <v>CM</v>
      </c>
    </row>
    <row r="38" ht="7.5" customHeight="1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</row>
    <row r="39" ht="18.75" customHeight="1">
      <c r="A39" s="27" t="s">
        <v>1132</v>
      </c>
      <c r="B39" s="28" t="s">
        <v>1133</v>
      </c>
      <c r="C39" s="20"/>
      <c r="D39" s="27" t="s">
        <v>1134</v>
      </c>
      <c r="E39" s="28" t="s">
        <v>1135</v>
      </c>
      <c r="F39" s="20"/>
      <c r="G39" s="27" t="s">
        <v>1136</v>
      </c>
      <c r="H39" s="28" t="s">
        <v>1137</v>
      </c>
      <c r="I39" s="20"/>
      <c r="J39" s="27" t="s">
        <v>1138</v>
      </c>
      <c r="K39" s="28" t="s">
        <v>1139</v>
      </c>
      <c r="L39" s="20"/>
      <c r="M39" s="27" t="s">
        <v>1140</v>
      </c>
      <c r="N39" s="28" t="s">
        <v>989</v>
      </c>
      <c r="O39" s="20"/>
    </row>
    <row r="40" ht="180.0" customHeight="1">
      <c r="A40" s="31" t="str">
        <f>IMAGE("https://images.pokemontcg.io/swsh12pt5gg/GG38.png", 1)</f>
        <v/>
      </c>
      <c r="B40" s="22"/>
      <c r="C40" s="20"/>
      <c r="D40" s="31" t="str">
        <f>IMAGE("https://images.pokemontcg.io/swsh12pt5gg/GG39.png", 1)</f>
        <v/>
      </c>
      <c r="E40" s="22"/>
      <c r="F40" s="20"/>
      <c r="G40" s="31" t="str">
        <f>IMAGE("https://images.pokemontcg.io/swsh12pt5gg/GG40.png", 1)</f>
        <v/>
      </c>
      <c r="H40" s="22"/>
      <c r="I40" s="20"/>
      <c r="J40" s="31" t="str">
        <f>IMAGE("https://images.pokemontcg.io/swsh12pt5gg/GG41.png", 1)</f>
        <v/>
      </c>
      <c r="K40" s="22"/>
      <c r="L40" s="20"/>
      <c r="M40" s="31" t="str">
        <f>IMAGE("https://images.pokemontcg.io/swsh12pt5gg/GG43.png", 1)</f>
        <v/>
      </c>
      <c r="N40" s="22"/>
      <c r="O40" s="20"/>
    </row>
    <row r="41" ht="22.5" customHeight="1">
      <c r="A41" s="33" t="b">
        <v>1</v>
      </c>
      <c r="B41" s="33" t="b">
        <v>1</v>
      </c>
      <c r="C41" s="34" t="str">
        <f>HYPERLINK("https://prices.pokemontcg.io/cardmarket/swsh12pt5gg-GG38", "CM")</f>
        <v>CM</v>
      </c>
      <c r="D41" s="33" t="b">
        <v>1</v>
      </c>
      <c r="E41" s="33" t="b">
        <v>1</v>
      </c>
      <c r="F41" s="34" t="str">
        <f>HYPERLINK("https://prices.pokemontcg.io/cardmarket/swsh12pt5gg-GG39", "CM")</f>
        <v>CM</v>
      </c>
      <c r="G41" s="33" t="b">
        <v>1</v>
      </c>
      <c r="H41" s="33" t="b">
        <v>1</v>
      </c>
      <c r="I41" s="34" t="str">
        <f>HYPERLINK("https://prices.pokemontcg.io/cardmarket/swsh12pt5gg-GG40", "CM")</f>
        <v>CM</v>
      </c>
      <c r="J41" s="33" t="b">
        <v>1</v>
      </c>
      <c r="K41" s="33" t="b">
        <v>1</v>
      </c>
      <c r="L41" s="34" t="str">
        <f>HYPERLINK("https://prices.pokemontcg.io/cardmarket/swsh12pt5gg-GG41", "CM")</f>
        <v>CM</v>
      </c>
      <c r="M41" s="33" t="b">
        <v>1</v>
      </c>
      <c r="N41" s="33" t="b">
        <v>1</v>
      </c>
      <c r="O41" s="34" t="str">
        <f>HYPERLINK("https://prices.pokemontcg.io/cardmarket/swsh12pt5gg-GG43", "CM")</f>
        <v>CM</v>
      </c>
    </row>
    <row r="42" ht="7.5" customHeight="1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</row>
    <row r="43" ht="18.75" customHeight="1">
      <c r="A43" s="27" t="s">
        <v>1141</v>
      </c>
      <c r="B43" s="28" t="s">
        <v>1142</v>
      </c>
      <c r="C43" s="20"/>
      <c r="D43" s="27" t="s">
        <v>1143</v>
      </c>
      <c r="E43" s="28" t="s">
        <v>1144</v>
      </c>
      <c r="F43" s="20"/>
      <c r="G43" s="27" t="s">
        <v>1145</v>
      </c>
      <c r="H43" s="28" t="s">
        <v>1010</v>
      </c>
      <c r="I43" s="20"/>
      <c r="J43" s="27" t="s">
        <v>1146</v>
      </c>
      <c r="K43" s="28" t="s">
        <v>1147</v>
      </c>
      <c r="L43" s="20"/>
      <c r="M43" s="27" t="s">
        <v>1148</v>
      </c>
      <c r="N43" s="28" t="s">
        <v>1149</v>
      </c>
      <c r="O43" s="20"/>
    </row>
    <row r="44" ht="180.0" customHeight="1">
      <c r="A44" s="31" t="str">
        <f>IMAGE("https://images.pokemontcg.io/swsh12pt5gg/GG45.png", 1)</f>
        <v/>
      </c>
      <c r="B44" s="22"/>
      <c r="C44" s="20"/>
      <c r="D44" s="31" t="str">
        <f>IMAGE("https://images.pokemontcg.io/swsh12pt5gg/GG47.png", 1)</f>
        <v/>
      </c>
      <c r="E44" s="22"/>
      <c r="F44" s="20"/>
      <c r="G44" s="31" t="str">
        <f>IMAGE("https://images.pokemontcg.io/swsh12pt5gg/GG48.png", 1)</f>
        <v/>
      </c>
      <c r="H44" s="22"/>
      <c r="I44" s="20"/>
      <c r="J44" s="31" t="str">
        <f>IMAGE("https://images.pokemontcg.io/swsh12pt5gg/GG49.png", 1)</f>
        <v/>
      </c>
      <c r="K44" s="22"/>
      <c r="L44" s="20"/>
      <c r="M44" s="31" t="str">
        <f>IMAGE("https://images.pokemontcg.io/swsh12pt5gg/GG50.png", 1)</f>
        <v/>
      </c>
      <c r="N44" s="22"/>
      <c r="O44" s="20"/>
    </row>
    <row r="45" ht="22.5" customHeight="1">
      <c r="A45" s="33" t="b">
        <v>1</v>
      </c>
      <c r="B45" s="33" t="b">
        <v>1</v>
      </c>
      <c r="C45" s="34" t="str">
        <f>HYPERLINK("https://prices.pokemontcg.io/cardmarket/swsh12pt5gg-GG45", "CM")</f>
        <v>CM</v>
      </c>
      <c r="D45" s="33" t="b">
        <v>1</v>
      </c>
      <c r="E45" s="33" t="b">
        <v>1</v>
      </c>
      <c r="F45" s="34" t="str">
        <f>HYPERLINK("https://prices.pokemontcg.io/cardmarket/swsh12pt5gg-GG47", "CM")</f>
        <v>CM</v>
      </c>
      <c r="G45" s="33" t="b">
        <v>1</v>
      </c>
      <c r="H45" s="33" t="b">
        <v>1</v>
      </c>
      <c r="I45" s="34" t="str">
        <f>HYPERLINK("https://prices.pokemontcg.io/cardmarket/swsh12pt5gg-GG48", "CM")</f>
        <v>CM</v>
      </c>
      <c r="J45" s="33" t="b">
        <v>1</v>
      </c>
      <c r="K45" s="33" t="b">
        <v>1</v>
      </c>
      <c r="L45" s="34" t="str">
        <f>HYPERLINK("https://prices.pokemontcg.io/cardmarket/swsh12pt5gg-GG49", "CM")</f>
        <v>CM</v>
      </c>
      <c r="M45" s="33" t="b">
        <v>1</v>
      </c>
      <c r="N45" s="33" t="b">
        <v>1</v>
      </c>
      <c r="O45" s="34" t="str">
        <f>HYPERLINK("https://prices.pokemontcg.io/cardmarket/swsh12pt5gg-GG50", "CM")</f>
        <v>CM</v>
      </c>
    </row>
    <row r="46" ht="7.5" customHeight="1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</row>
    <row r="47" ht="18.75" customHeight="1">
      <c r="A47" s="27" t="s">
        <v>1150</v>
      </c>
      <c r="B47" s="28" t="s">
        <v>1151</v>
      </c>
      <c r="C47" s="20"/>
      <c r="D47" s="27" t="s">
        <v>1152</v>
      </c>
      <c r="E47" s="28" t="s">
        <v>1153</v>
      </c>
      <c r="F47" s="20"/>
      <c r="G47" s="27" t="s">
        <v>1154</v>
      </c>
      <c r="H47" s="28" t="s">
        <v>1155</v>
      </c>
      <c r="I47" s="20"/>
      <c r="J47" s="27" t="s">
        <v>1156</v>
      </c>
      <c r="K47" s="28" t="s">
        <v>1012</v>
      </c>
      <c r="L47" s="20"/>
      <c r="M47" s="27" t="s">
        <v>1157</v>
      </c>
      <c r="N47" s="28" t="s">
        <v>1023</v>
      </c>
      <c r="O47" s="20"/>
    </row>
    <row r="48" ht="180.0" customHeight="1">
      <c r="A48" s="31" t="str">
        <f>IMAGE("https://images.pokemontcg.io/swsh12pt5gg/GG51.png", 1)</f>
        <v/>
      </c>
      <c r="B48" s="22"/>
      <c r="C48" s="20"/>
      <c r="D48" s="31" t="str">
        <f>IMAGE("https://images.pokemontcg.io/swsh12pt5gg/GG52.png", 1)</f>
        <v/>
      </c>
      <c r="E48" s="22"/>
      <c r="F48" s="20"/>
      <c r="G48" s="31" t="str">
        <f>IMAGE("https://images.pokemontcg.io/swsh12pt5gg/GG53.png", 1)</f>
        <v/>
      </c>
      <c r="H48" s="22"/>
      <c r="I48" s="20"/>
      <c r="J48" s="31" t="str">
        <f>IMAGE("https://images.pokemontcg.io/swsh12pt5gg/GG54.png", 1)</f>
        <v/>
      </c>
      <c r="K48" s="22"/>
      <c r="L48" s="20"/>
      <c r="M48" s="31" t="str">
        <f>IMAGE("https://images.pokemontcg.io/swsh12pt5gg/GG55.png", 1)</f>
        <v/>
      </c>
      <c r="N48" s="22"/>
      <c r="O48" s="20"/>
    </row>
    <row r="49" ht="22.5" customHeight="1">
      <c r="A49" s="33" t="b">
        <v>1</v>
      </c>
      <c r="B49" s="33" t="b">
        <v>1</v>
      </c>
      <c r="C49" s="34" t="str">
        <f>HYPERLINK("https://prices.pokemontcg.io/cardmarket/swsh12pt5gg-GG51", "CM")</f>
        <v>CM</v>
      </c>
      <c r="D49" s="33" t="b">
        <v>1</v>
      </c>
      <c r="E49" s="33" t="b">
        <v>1</v>
      </c>
      <c r="F49" s="34" t="str">
        <f>HYPERLINK("https://prices.pokemontcg.io/cardmarket/swsh12pt5gg-GG52", "CM")</f>
        <v>CM</v>
      </c>
      <c r="G49" s="33" t="b">
        <v>1</v>
      </c>
      <c r="H49" s="33" t="b">
        <v>1</v>
      </c>
      <c r="I49" s="34" t="str">
        <f>HYPERLINK("https://prices.pokemontcg.io/cardmarket/swsh12pt5gg-GG53", "CM")</f>
        <v>CM</v>
      </c>
      <c r="J49" s="33" t="b">
        <v>1</v>
      </c>
      <c r="K49" s="33" t="b">
        <v>1</v>
      </c>
      <c r="L49" s="34" t="str">
        <f>HYPERLINK("https://prices.pokemontcg.io/cardmarket/swsh12pt5gg-GG54", "CM")</f>
        <v>CM</v>
      </c>
      <c r="M49" s="33" t="b">
        <v>1</v>
      </c>
      <c r="N49" s="33" t="b">
        <v>1</v>
      </c>
      <c r="O49" s="34" t="str">
        <f>HYPERLINK("https://prices.pokemontcg.io/cardmarket/swsh12pt5gg-GG55", "CM")</f>
        <v>CM</v>
      </c>
    </row>
    <row r="50" ht="7.5" customHeight="1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</row>
    <row r="51" ht="18.75" customHeight="1">
      <c r="A51" s="27" t="s">
        <v>1158</v>
      </c>
      <c r="B51" s="28" t="s">
        <v>1159</v>
      </c>
      <c r="C51" s="20"/>
      <c r="D51" s="27" t="s">
        <v>1160</v>
      </c>
      <c r="E51" s="28" t="s">
        <v>1161</v>
      </c>
      <c r="F51" s="20"/>
      <c r="G51" s="27" t="s">
        <v>1162</v>
      </c>
      <c r="H51" s="28" t="s">
        <v>1163</v>
      </c>
      <c r="I51" s="20"/>
      <c r="J51" s="27" t="s">
        <v>1164</v>
      </c>
      <c r="K51" s="28" t="s">
        <v>1165</v>
      </c>
      <c r="L51" s="20"/>
      <c r="M51" s="27" t="s">
        <v>1166</v>
      </c>
      <c r="N51" s="28" t="s">
        <v>1167</v>
      </c>
      <c r="O51" s="20"/>
    </row>
    <row r="52" ht="180.0" customHeight="1">
      <c r="A52" s="31" t="str">
        <f>IMAGE("https://images.pokemontcg.io/swsh12pt5gg/GG56.png", 1)</f>
        <v/>
      </c>
      <c r="B52" s="22"/>
      <c r="C52" s="20"/>
      <c r="D52" s="31" t="str">
        <f>IMAGE("https://images.pokemontcg.io/swsh12pt5gg/GG57.png", 1)</f>
        <v/>
      </c>
      <c r="E52" s="22"/>
      <c r="F52" s="20"/>
      <c r="G52" s="31" t="str">
        <f>IMAGE("https://images.pokemontcg.io/swsh12pt5gg/GG58.png", 1)</f>
        <v/>
      </c>
      <c r="H52" s="22"/>
      <c r="I52" s="20"/>
      <c r="J52" s="31" t="str">
        <f>IMAGE("https://images.pokemontcg.io/swsh12pt5gg/GG59.png", 1)</f>
        <v/>
      </c>
      <c r="K52" s="22"/>
      <c r="L52" s="20"/>
      <c r="M52" s="31" t="str">
        <f>IMAGE("https://images.pokemontcg.io/swsh12pt5gg/GG60.png", 1)</f>
        <v/>
      </c>
      <c r="N52" s="22"/>
      <c r="O52" s="20"/>
    </row>
    <row r="53" ht="22.5" customHeight="1">
      <c r="A53" s="33" t="b">
        <v>1</v>
      </c>
      <c r="B53" s="33" t="b">
        <v>1</v>
      </c>
      <c r="C53" s="34" t="str">
        <f>HYPERLINK("https://prices.pokemontcg.io/cardmarket/swsh12pt5gg-GG56", "CM")</f>
        <v>CM</v>
      </c>
      <c r="D53" s="33" t="b">
        <v>1</v>
      </c>
      <c r="E53" s="33" t="b">
        <v>1</v>
      </c>
      <c r="F53" s="34" t="str">
        <f>HYPERLINK("https://prices.pokemontcg.io/cardmarket/swsh12pt5gg-GG57", "CM")</f>
        <v>CM</v>
      </c>
      <c r="G53" s="33" t="b">
        <v>1</v>
      </c>
      <c r="H53" s="33" t="b">
        <v>1</v>
      </c>
      <c r="I53" s="34" t="str">
        <f>HYPERLINK("https://prices.pokemontcg.io/cardmarket/swsh12pt5gg-GG58", "CM")</f>
        <v>CM</v>
      </c>
      <c r="J53" s="33" t="b">
        <v>1</v>
      </c>
      <c r="K53" s="33" t="b">
        <v>1</v>
      </c>
      <c r="L53" s="34" t="str">
        <f>HYPERLINK("https://prices.pokemontcg.io/cardmarket/swsh12pt5gg-GG59", "CM")</f>
        <v>CM</v>
      </c>
      <c r="M53" s="33" t="b">
        <v>1</v>
      </c>
      <c r="N53" s="33" t="b">
        <v>1</v>
      </c>
      <c r="O53" s="34" t="str">
        <f>HYPERLINK("https://prices.pokemontcg.io/cardmarket/swsh12pt5gg-GG60", "CM")</f>
        <v>CM</v>
      </c>
    </row>
    <row r="54" ht="7.5" customHeight="1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</row>
    <row r="55" ht="18.75" customHeight="1">
      <c r="A55" s="27" t="s">
        <v>1168</v>
      </c>
      <c r="B55" s="28" t="s">
        <v>1169</v>
      </c>
      <c r="C55" s="20"/>
      <c r="D55" s="27" t="s">
        <v>1170</v>
      </c>
      <c r="E55" s="28" t="s">
        <v>1171</v>
      </c>
      <c r="F55" s="20"/>
      <c r="G55" s="27" t="s">
        <v>1172</v>
      </c>
      <c r="H55" s="28" t="s">
        <v>1173</v>
      </c>
      <c r="I55" s="20"/>
      <c r="J55" s="27" t="s">
        <v>1174</v>
      </c>
      <c r="K55" s="28" t="s">
        <v>1175</v>
      </c>
      <c r="L55" s="20"/>
      <c r="M55" s="27" t="s">
        <v>1176</v>
      </c>
      <c r="N55" s="28" t="s">
        <v>1177</v>
      </c>
      <c r="O55" s="20"/>
    </row>
    <row r="56" ht="180.0" customHeight="1">
      <c r="A56" s="31" t="str">
        <f>IMAGE("https://images.pokemontcg.io/swsh12pt5gg/GG61.png", 1)</f>
        <v/>
      </c>
      <c r="B56" s="22"/>
      <c r="C56" s="20"/>
      <c r="D56" s="31" t="str">
        <f>IMAGE("https://images.pokemontcg.io/swsh12pt5gg/GG62.png", 1)</f>
        <v/>
      </c>
      <c r="E56" s="22"/>
      <c r="F56" s="20"/>
      <c r="G56" s="31" t="str">
        <f>IMAGE("https://images.pokemontcg.io/swsh12pt5gg/GG63.png", 1)</f>
        <v/>
      </c>
      <c r="H56" s="22"/>
      <c r="I56" s="20"/>
      <c r="J56" s="31" t="str">
        <f>IMAGE("https://images.pokemontcg.io/swsh12pt5gg/GG66.png", 1)</f>
        <v/>
      </c>
      <c r="K56" s="22"/>
      <c r="L56" s="20"/>
      <c r="M56" s="31" t="str">
        <f>IMAGE("https://images.pokemontcg.io/swsh12pt5gg/GG68.png", 1)</f>
        <v/>
      </c>
      <c r="N56" s="22"/>
      <c r="O56" s="20"/>
    </row>
    <row r="57" ht="22.5" customHeight="1">
      <c r="A57" s="33" t="b">
        <v>1</v>
      </c>
      <c r="B57" s="33" t="b">
        <v>1</v>
      </c>
      <c r="C57" s="34" t="str">
        <f>HYPERLINK("https://prices.pokemontcg.io/cardmarket/swsh12pt5gg-GG61", "CM")</f>
        <v>CM</v>
      </c>
      <c r="D57" s="33" t="b">
        <v>1</v>
      </c>
      <c r="E57" s="33" t="b">
        <v>1</v>
      </c>
      <c r="F57" s="34" t="str">
        <f>HYPERLINK("https://prices.pokemontcg.io/cardmarket/swsh12pt5gg-GG62", "CM")</f>
        <v>CM</v>
      </c>
      <c r="G57" s="33" t="b">
        <v>1</v>
      </c>
      <c r="H57" s="33" t="b">
        <v>1</v>
      </c>
      <c r="I57" s="34" t="str">
        <f>HYPERLINK("https://prices.pokemontcg.io/cardmarket/swsh12pt5gg-GG63", "CM")</f>
        <v>CM</v>
      </c>
      <c r="J57" s="33" t="b">
        <v>1</v>
      </c>
      <c r="K57" s="33" t="b">
        <v>1</v>
      </c>
      <c r="L57" s="34" t="str">
        <f>HYPERLINK("https://prices.pokemontcg.io/cardmarket/swsh12pt5gg-GG66", "CM")</f>
        <v>CM</v>
      </c>
      <c r="M57" s="33" t="b">
        <v>1</v>
      </c>
      <c r="N57" s="33" t="b">
        <v>1</v>
      </c>
      <c r="O57" s="34" t="str">
        <f>HYPERLINK("https://prices.pokemontcg.io/cardmarket/swsh12pt5gg-GG68", "CM")</f>
        <v>CM</v>
      </c>
    </row>
    <row r="58" ht="7.5" customHeight="1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</row>
  </sheetData>
  <mergeCells count="142">
    <mergeCell ref="B15:C15"/>
    <mergeCell ref="E15:F15"/>
    <mergeCell ref="H15:I15"/>
    <mergeCell ref="K15:L15"/>
    <mergeCell ref="N15:O15"/>
    <mergeCell ref="A16:C16"/>
    <mergeCell ref="D16:F16"/>
    <mergeCell ref="M16:O16"/>
    <mergeCell ref="G16:I16"/>
    <mergeCell ref="J16:L16"/>
    <mergeCell ref="B19:C19"/>
    <mergeCell ref="E19:F19"/>
    <mergeCell ref="H19:I19"/>
    <mergeCell ref="K19:L19"/>
    <mergeCell ref="N19:O19"/>
    <mergeCell ref="H23:I23"/>
    <mergeCell ref="K23:L23"/>
    <mergeCell ref="A20:C20"/>
    <mergeCell ref="D20:F20"/>
    <mergeCell ref="G20:I20"/>
    <mergeCell ref="J20:L20"/>
    <mergeCell ref="M20:O20"/>
    <mergeCell ref="E23:F23"/>
    <mergeCell ref="N23:O23"/>
    <mergeCell ref="K27:L27"/>
    <mergeCell ref="N27:O27"/>
    <mergeCell ref="B23:C23"/>
    <mergeCell ref="A24:C24"/>
    <mergeCell ref="D24:F24"/>
    <mergeCell ref="G24:I24"/>
    <mergeCell ref="J24:L24"/>
    <mergeCell ref="M24:O24"/>
    <mergeCell ref="B27:C27"/>
    <mergeCell ref="A1:N1"/>
    <mergeCell ref="A2:O2"/>
    <mergeCell ref="B3:C3"/>
    <mergeCell ref="E3:F3"/>
    <mergeCell ref="H3:I3"/>
    <mergeCell ref="K3:L3"/>
    <mergeCell ref="N3:O3"/>
    <mergeCell ref="H7:I7"/>
    <mergeCell ref="K7:L7"/>
    <mergeCell ref="J8:L8"/>
    <mergeCell ref="M8:O8"/>
    <mergeCell ref="A4:C4"/>
    <mergeCell ref="D4:F4"/>
    <mergeCell ref="G4:I4"/>
    <mergeCell ref="J4:L4"/>
    <mergeCell ref="M4:O4"/>
    <mergeCell ref="E7:F7"/>
    <mergeCell ref="N7:O7"/>
    <mergeCell ref="K11:L11"/>
    <mergeCell ref="N11:O11"/>
    <mergeCell ref="A12:C12"/>
    <mergeCell ref="D12:F12"/>
    <mergeCell ref="G12:I12"/>
    <mergeCell ref="J12:L12"/>
    <mergeCell ref="M12:O12"/>
    <mergeCell ref="B7:C7"/>
    <mergeCell ref="A8:C8"/>
    <mergeCell ref="D8:F8"/>
    <mergeCell ref="G8:I8"/>
    <mergeCell ref="B11:C11"/>
    <mergeCell ref="E11:F11"/>
    <mergeCell ref="H11:I11"/>
    <mergeCell ref="E27:F27"/>
    <mergeCell ref="H27:I27"/>
    <mergeCell ref="A28:C28"/>
    <mergeCell ref="D28:F28"/>
    <mergeCell ref="G28:I28"/>
    <mergeCell ref="J28:L28"/>
    <mergeCell ref="M28:O28"/>
    <mergeCell ref="B47:C47"/>
    <mergeCell ref="E47:F47"/>
    <mergeCell ref="H47:I47"/>
    <mergeCell ref="K47:L47"/>
    <mergeCell ref="N47:O47"/>
    <mergeCell ref="A48:C48"/>
    <mergeCell ref="D48:F48"/>
    <mergeCell ref="M48:O48"/>
    <mergeCell ref="G48:I48"/>
    <mergeCell ref="J48:L48"/>
    <mergeCell ref="B51:C51"/>
    <mergeCell ref="E51:F51"/>
    <mergeCell ref="H51:I51"/>
    <mergeCell ref="K51:L51"/>
    <mergeCell ref="N51:O51"/>
    <mergeCell ref="H55:I55"/>
    <mergeCell ref="K55:L55"/>
    <mergeCell ref="J56:L56"/>
    <mergeCell ref="M56:O56"/>
    <mergeCell ref="B55:C55"/>
    <mergeCell ref="A56:C56"/>
    <mergeCell ref="D56:F56"/>
    <mergeCell ref="G56:I56"/>
    <mergeCell ref="A52:C52"/>
    <mergeCell ref="D52:F52"/>
    <mergeCell ref="G52:I52"/>
    <mergeCell ref="J52:L52"/>
    <mergeCell ref="M52:O52"/>
    <mergeCell ref="E55:F55"/>
    <mergeCell ref="N55:O55"/>
    <mergeCell ref="B31:C31"/>
    <mergeCell ref="E31:F31"/>
    <mergeCell ref="H31:I31"/>
    <mergeCell ref="K31:L31"/>
    <mergeCell ref="N31:O31"/>
    <mergeCell ref="A32:C32"/>
    <mergeCell ref="D32:F32"/>
    <mergeCell ref="M32:O32"/>
    <mergeCell ref="G32:I32"/>
    <mergeCell ref="J32:L32"/>
    <mergeCell ref="B35:C35"/>
    <mergeCell ref="E35:F35"/>
    <mergeCell ref="H35:I35"/>
    <mergeCell ref="K35:L35"/>
    <mergeCell ref="N35:O35"/>
    <mergeCell ref="H39:I39"/>
    <mergeCell ref="K39:L39"/>
    <mergeCell ref="J40:L40"/>
    <mergeCell ref="M40:O40"/>
    <mergeCell ref="A36:C36"/>
    <mergeCell ref="D36:F36"/>
    <mergeCell ref="G36:I36"/>
    <mergeCell ref="J36:L36"/>
    <mergeCell ref="M36:O36"/>
    <mergeCell ref="E39:F39"/>
    <mergeCell ref="N39:O39"/>
    <mergeCell ref="K43:L43"/>
    <mergeCell ref="N43:O43"/>
    <mergeCell ref="A44:C44"/>
    <mergeCell ref="D44:F44"/>
    <mergeCell ref="G44:I44"/>
    <mergeCell ref="J44:L44"/>
    <mergeCell ref="M44:O44"/>
    <mergeCell ref="B39:C39"/>
    <mergeCell ref="A40:C40"/>
    <mergeCell ref="D40:F40"/>
    <mergeCell ref="G40:I40"/>
    <mergeCell ref="B43:C43"/>
    <mergeCell ref="E43:F43"/>
    <mergeCell ref="H43:I43"/>
  </mergeCell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.13"/>
    <col customWidth="1" min="3" max="3" width="12.63"/>
    <col customWidth="1" min="4" max="5" width="5.13"/>
    <col customWidth="1" min="6" max="6" width="12.63"/>
    <col customWidth="1" min="7" max="8" width="5.13"/>
    <col customWidth="1" min="9" max="9" width="12.63"/>
    <col customWidth="1" min="10" max="11" width="5.13"/>
    <col customWidth="1" min="12" max="12" width="12.63"/>
    <col customWidth="1" min="13" max="14" width="5.13"/>
    <col customWidth="1" min="15" max="15" width="12.63"/>
  </cols>
  <sheetData>
    <row r="1" ht="18.75" customHeight="1">
      <c r="A1" s="16" t="s">
        <v>1178</v>
      </c>
      <c r="O1" s="17" t="b">
        <v>0</v>
      </c>
    </row>
    <row r="2" ht="18.75" customHeight="1">
      <c r="A2" s="3" t="s">
        <v>1179</v>
      </c>
    </row>
    <row r="3" ht="18.75" customHeight="1">
      <c r="A3" s="18" t="s">
        <v>883</v>
      </c>
      <c r="B3" s="19" t="s">
        <v>1032</v>
      </c>
      <c r="C3" s="20"/>
      <c r="D3" s="18" t="s">
        <v>722</v>
      </c>
      <c r="E3" s="19" t="s">
        <v>1180</v>
      </c>
      <c r="F3" s="20"/>
      <c r="G3" s="18" t="s">
        <v>728</v>
      </c>
      <c r="H3" s="19" t="s">
        <v>1181</v>
      </c>
      <c r="I3" s="20"/>
      <c r="J3" s="18" t="s">
        <v>732</v>
      </c>
      <c r="K3" s="19" t="s">
        <v>1182</v>
      </c>
      <c r="L3" s="20"/>
      <c r="M3" s="18" t="s">
        <v>734</v>
      </c>
      <c r="N3" s="19" t="s">
        <v>753</v>
      </c>
      <c r="O3" s="20"/>
    </row>
    <row r="4" ht="180.0" customHeight="1">
      <c r="A4" s="21" t="str">
        <f>IMAGE("https://assets.tcgdex.net/de/sv/sv01/173/low.jpg", 1)</f>
        <v/>
      </c>
      <c r="B4" s="22"/>
      <c r="C4" s="20"/>
      <c r="D4" s="21" t="str">
        <f>IMAGE("https://assets.tcgdex.net/de/sv/sv01/199/low.jpg", 1)</f>
        <v/>
      </c>
      <c r="E4" s="22"/>
      <c r="F4" s="20"/>
      <c r="G4" s="21" t="str">
        <f>IMAGE("https://assets.tcgdex.net/de/sv/sv01/202/low.jpg", 1)</f>
        <v/>
      </c>
      <c r="H4" s="22"/>
      <c r="I4" s="20"/>
      <c r="J4" s="21" t="str">
        <f>IMAGE("https://assets.tcgdex.net/de/sv/sv01/206/low.jpg", 1)</f>
        <v/>
      </c>
      <c r="K4" s="22"/>
      <c r="L4" s="20"/>
      <c r="M4" s="21" t="str">
        <f>IMAGE("https://assets.tcgdex.net/de/sv/sv01/207/low.jpg", 1)</f>
        <v/>
      </c>
      <c r="N4" s="22"/>
      <c r="O4" s="20"/>
    </row>
    <row r="5" ht="22.5" customHeight="1">
      <c r="A5" s="23" t="b">
        <v>0</v>
      </c>
      <c r="B5" s="24" t="b">
        <v>0</v>
      </c>
      <c r="C5" s="25" t="str">
        <f>HYPERLINK("https://prices.pokemontcg.io/cardmarket/sv1-173", "CM")</f>
        <v>CM</v>
      </c>
      <c r="D5" s="23" t="b">
        <v>0</v>
      </c>
      <c r="E5" s="24" t="b">
        <v>0</v>
      </c>
      <c r="F5" s="25" t="str">
        <f>HYPERLINK("https://prices.pokemontcg.io/cardmarket/sv1-199", "CM")</f>
        <v>CM</v>
      </c>
      <c r="G5" s="23" t="b">
        <v>0</v>
      </c>
      <c r="H5" s="24" t="b">
        <v>0</v>
      </c>
      <c r="I5" s="25" t="str">
        <f>HYPERLINK("https://prices.pokemontcg.io/cardmarket/sv1-202", "CM")</f>
        <v>CM</v>
      </c>
      <c r="J5" s="23" t="b">
        <v>0</v>
      </c>
      <c r="K5" s="24" t="b">
        <v>0</v>
      </c>
      <c r="L5" s="25" t="str">
        <f>HYPERLINK("https://prices.pokemontcg.io/cardmarket/sv1-206", "CM")</f>
        <v>CM</v>
      </c>
      <c r="M5" s="23" t="b">
        <v>0</v>
      </c>
      <c r="N5" s="24" t="b">
        <v>0</v>
      </c>
      <c r="O5" s="25" t="str">
        <f>HYPERLINK("https://prices.pokemontcg.io/cardmarket/sv1-207", "CM")</f>
        <v>CM</v>
      </c>
    </row>
    <row r="6" ht="7.5" customHeight="1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</row>
    <row r="7" ht="18.75" customHeight="1">
      <c r="A7" s="18" t="s">
        <v>1183</v>
      </c>
      <c r="B7" s="19" t="s">
        <v>694</v>
      </c>
      <c r="C7" s="20"/>
      <c r="D7" s="18" t="s">
        <v>1184</v>
      </c>
      <c r="E7" s="19" t="s">
        <v>1185</v>
      </c>
      <c r="F7" s="20"/>
      <c r="G7" s="18" t="s">
        <v>1186</v>
      </c>
      <c r="H7" s="19" t="s">
        <v>798</v>
      </c>
      <c r="I7" s="20"/>
      <c r="J7" s="18" t="s">
        <v>1187</v>
      </c>
      <c r="K7" s="19" t="s">
        <v>1188</v>
      </c>
      <c r="L7" s="20"/>
      <c r="M7" s="18" t="s">
        <v>1189</v>
      </c>
      <c r="N7" s="19" t="s">
        <v>1190</v>
      </c>
      <c r="O7" s="20"/>
    </row>
    <row r="8" ht="180.0" customHeight="1">
      <c r="A8" s="21" t="str">
        <f>IMAGE("https://assets.tcgdex.net/de/sv/sv01/208/low.jpg", 1)</f>
        <v/>
      </c>
      <c r="B8" s="22"/>
      <c r="C8" s="20"/>
      <c r="D8" s="21" t="str">
        <f>IMAGE("https://assets.tcgdex.net/de/sv/sv01/210/low.jpg", 1)</f>
        <v/>
      </c>
      <c r="E8" s="22"/>
      <c r="F8" s="20"/>
      <c r="G8" s="21" t="str">
        <f>IMAGE("https://assets.tcgdex.net/de/sv/sv01/214/low.jpg", 1)</f>
        <v/>
      </c>
      <c r="H8" s="22"/>
      <c r="I8" s="20"/>
      <c r="J8" s="21" t="str">
        <f>IMAGE("https://assets.tcgdex.net/de/sv/sv01/222/low.jpg", 1)</f>
        <v/>
      </c>
      <c r="K8" s="22"/>
      <c r="L8" s="20"/>
      <c r="M8" s="21" t="str">
        <f>IMAGE("https://assets.tcgdex.net/de/sv/sv01/226/low.jpg", 1)</f>
        <v/>
      </c>
      <c r="N8" s="22"/>
      <c r="O8" s="20"/>
    </row>
    <row r="9" ht="22.5" customHeight="1">
      <c r="A9" s="23" t="b">
        <v>0</v>
      </c>
      <c r="B9" s="24" t="b">
        <v>0</v>
      </c>
      <c r="C9" s="25" t="str">
        <f>HYPERLINK("https://prices.pokemontcg.io/cardmarket/sv1-208", "CM")</f>
        <v>CM</v>
      </c>
      <c r="D9" s="23" t="b">
        <v>0</v>
      </c>
      <c r="E9" s="24" t="b">
        <v>0</v>
      </c>
      <c r="F9" s="25" t="str">
        <f>HYPERLINK("https://prices.pokemontcg.io/cardmarket/sv1-210", "CM")</f>
        <v>CM</v>
      </c>
      <c r="G9" s="23" t="b">
        <v>0</v>
      </c>
      <c r="H9" s="24" t="b">
        <v>0</v>
      </c>
      <c r="I9" s="25" t="str">
        <f>HYPERLINK("https://prices.pokemontcg.io/cardmarket/sv1-214", "CM")</f>
        <v>CM</v>
      </c>
      <c r="J9" s="23" t="b">
        <v>0</v>
      </c>
      <c r="K9" s="24" t="b">
        <v>0</v>
      </c>
      <c r="L9" s="25" t="str">
        <f>HYPERLINK("https://prices.pokemontcg.io/cardmarket/sv1-222", "CM")</f>
        <v>CM</v>
      </c>
      <c r="M9" s="23" t="b">
        <v>0</v>
      </c>
      <c r="N9" s="24" t="b">
        <v>0</v>
      </c>
      <c r="O9" s="25" t="str">
        <f>HYPERLINK("https://prices.pokemontcg.io/cardmarket/sv1-226", "CM")</f>
        <v>CM</v>
      </c>
    </row>
    <row r="10" ht="7.5" customHeight="1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</row>
    <row r="11" ht="18.75" customHeight="1">
      <c r="A11" s="18" t="s">
        <v>1191</v>
      </c>
      <c r="B11" s="19" t="s">
        <v>1192</v>
      </c>
      <c r="C11" s="20"/>
      <c r="D11" s="18" t="s">
        <v>1193</v>
      </c>
      <c r="E11" s="19" t="s">
        <v>1194</v>
      </c>
      <c r="F11" s="20"/>
      <c r="G11" s="18" t="s">
        <v>1195</v>
      </c>
      <c r="H11" s="19" t="s">
        <v>1196</v>
      </c>
      <c r="I11" s="20"/>
      <c r="J11" s="18" t="s">
        <v>1197</v>
      </c>
      <c r="K11" s="19" t="s">
        <v>552</v>
      </c>
      <c r="L11" s="20"/>
      <c r="M11" s="18" t="s">
        <v>1198</v>
      </c>
      <c r="N11" s="19" t="s">
        <v>802</v>
      </c>
      <c r="O11" s="20"/>
    </row>
    <row r="12" ht="180.0" customHeight="1">
      <c r="A12" s="21" t="str">
        <f>IMAGE("https://assets.tcgdex.net/de/sv/sv01/229/low.jpg", 1)</f>
        <v/>
      </c>
      <c r="B12" s="22"/>
      <c r="C12" s="20"/>
      <c r="D12" s="21" t="str">
        <f>IMAGE("https://assets.tcgdex.net/de/sv/sv01/235/low.jpg", 1)</f>
        <v/>
      </c>
      <c r="E12" s="22"/>
      <c r="F12" s="20"/>
      <c r="G12" s="21" t="str">
        <f>IMAGE("https://assets.tcgdex.net/de/sv/sv01/239/low.jpg", 1)</f>
        <v/>
      </c>
      <c r="H12" s="22"/>
      <c r="I12" s="20"/>
      <c r="J12" s="21" t="str">
        <f>IMAGE("https://assets.tcgdex.net/de/sv/sv01/244/low.jpg", 1)</f>
        <v/>
      </c>
      <c r="K12" s="22"/>
      <c r="L12" s="20"/>
      <c r="M12" s="21" t="str">
        <f>IMAGE("https://assets.tcgdex.net/de/sv/sv01/246/low.jpg", 1)</f>
        <v/>
      </c>
      <c r="N12" s="22"/>
      <c r="O12" s="20"/>
    </row>
    <row r="13" ht="22.5" customHeight="1">
      <c r="A13" s="23" t="b">
        <v>0</v>
      </c>
      <c r="B13" s="24" t="b">
        <v>0</v>
      </c>
      <c r="C13" s="25" t="str">
        <f>HYPERLINK("https://prices.pokemontcg.io/cardmarket/sv1-229", "CM")</f>
        <v>CM</v>
      </c>
      <c r="D13" s="23" t="b">
        <v>0</v>
      </c>
      <c r="E13" s="24" t="b">
        <v>0</v>
      </c>
      <c r="F13" s="25" t="str">
        <f>HYPERLINK("https://prices.pokemontcg.io/cardmarket/sv1-235", "CM")</f>
        <v>CM</v>
      </c>
      <c r="G13" s="23" t="b">
        <v>0</v>
      </c>
      <c r="H13" s="24" t="b">
        <v>0</v>
      </c>
      <c r="I13" s="25" t="str">
        <f>HYPERLINK("https://prices.pokemontcg.io/cardmarket/sv1-239", "CM")</f>
        <v>CM</v>
      </c>
      <c r="J13" s="23" t="b">
        <v>0</v>
      </c>
      <c r="K13" s="24" t="b">
        <v>0</v>
      </c>
      <c r="L13" s="25" t="str">
        <f>HYPERLINK("https://prices.pokemontcg.io/cardmarket/sv1-244", "CM")</f>
        <v>CM</v>
      </c>
      <c r="M13" s="23" t="b">
        <v>0</v>
      </c>
      <c r="N13" s="24" t="b">
        <v>0</v>
      </c>
      <c r="O13" s="25" t="str">
        <f>HYPERLINK("https://prices.pokemontcg.io/cardmarket/sv1-246", "CM")</f>
        <v>CM</v>
      </c>
    </row>
    <row r="14" ht="7.5" customHeight="1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</row>
    <row r="15" ht="18.75" customHeight="1">
      <c r="A15" s="18" t="s">
        <v>1199</v>
      </c>
      <c r="B15" s="19" t="s">
        <v>804</v>
      </c>
      <c r="C15" s="20"/>
      <c r="D15" s="18" t="s">
        <v>1200</v>
      </c>
      <c r="E15" s="19" t="s">
        <v>1196</v>
      </c>
      <c r="F15" s="20"/>
      <c r="G15" s="18" t="s">
        <v>1201</v>
      </c>
      <c r="H15" s="19" t="s">
        <v>554</v>
      </c>
      <c r="I15" s="20"/>
      <c r="J15" s="18" t="s">
        <v>1202</v>
      </c>
      <c r="K15" s="19" t="s">
        <v>1203</v>
      </c>
      <c r="L15" s="20"/>
      <c r="M15" s="29" t="s">
        <v>738</v>
      </c>
      <c r="N15" s="30" t="s">
        <v>1204</v>
      </c>
      <c r="O15" s="20"/>
    </row>
    <row r="16" ht="180.0" customHeight="1">
      <c r="A16" s="21" t="str">
        <f>IMAGE("https://assets.tcgdex.net/de/sv/sv01/248/low.jpg", 1)</f>
        <v/>
      </c>
      <c r="B16" s="22"/>
      <c r="C16" s="20"/>
      <c r="D16" s="21" t="str">
        <f>IMAGE("https://assets.tcgdex.net/de/sv/sv01/252/low.jpg", 1)</f>
        <v/>
      </c>
      <c r="E16" s="22"/>
      <c r="F16" s="20"/>
      <c r="G16" s="21" t="str">
        <f>IMAGE("https://assets.tcgdex.net/de/sv/sv01/254/low.jpg", 1)</f>
        <v/>
      </c>
      <c r="H16" s="22"/>
      <c r="I16" s="20"/>
      <c r="J16" s="21" t="str">
        <f>IMAGE("https://assets.tcgdex.net/de/sv/sv01/258/low.jpg", 1)</f>
        <v/>
      </c>
      <c r="K16" s="22"/>
      <c r="L16" s="20"/>
      <c r="M16" s="32" t="str">
        <f>IMAGE("https://assets.tcgdex.net/de/sv/sv01/002/low.jpg", 1)</f>
        <v/>
      </c>
      <c r="N16" s="22"/>
      <c r="O16" s="20"/>
    </row>
    <row r="17" ht="22.5" customHeight="1">
      <c r="A17" s="23" t="b">
        <v>0</v>
      </c>
      <c r="B17" s="24" t="b">
        <v>0</v>
      </c>
      <c r="C17" s="25" t="str">
        <f>HYPERLINK("https://prices.pokemontcg.io/cardmarket/sv1-248", "CM")</f>
        <v>CM</v>
      </c>
      <c r="D17" s="23" t="b">
        <v>0</v>
      </c>
      <c r="E17" s="24" t="b">
        <v>0</v>
      </c>
      <c r="F17" s="25" t="str">
        <f>HYPERLINK("https://prices.pokemontcg.io/cardmarket/sv1-252", "CM")</f>
        <v>CM</v>
      </c>
      <c r="G17" s="23" t="b">
        <v>0</v>
      </c>
      <c r="H17" s="24" t="b">
        <v>0</v>
      </c>
      <c r="I17" s="25" t="str">
        <f>HYPERLINK("https://prices.pokemontcg.io/cardmarket/sv1-254", "CM")</f>
        <v>CM</v>
      </c>
      <c r="J17" s="23" t="b">
        <v>0</v>
      </c>
      <c r="K17" s="24" t="b">
        <v>0</v>
      </c>
      <c r="L17" s="25" t="str">
        <f>HYPERLINK("https://prices.pokemontcg.io/cardmarket/sv1-258", "CM")</f>
        <v>CM</v>
      </c>
      <c r="M17" s="35" t="b">
        <v>1</v>
      </c>
      <c r="N17" s="35" t="b">
        <v>0</v>
      </c>
      <c r="O17" s="36" t="str">
        <f>HYPERLINK("https://prices.pokemontcg.io/cardmarket/sv1-2", "CM")</f>
        <v>CM</v>
      </c>
    </row>
    <row r="18" ht="7.5" customHeight="1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</row>
    <row r="19" ht="18.75" customHeight="1">
      <c r="A19" s="29" t="s">
        <v>529</v>
      </c>
      <c r="B19" s="30" t="s">
        <v>1205</v>
      </c>
      <c r="C19" s="20"/>
      <c r="D19" s="29" t="s">
        <v>744</v>
      </c>
      <c r="E19" s="30" t="s">
        <v>1206</v>
      </c>
      <c r="F19" s="20"/>
      <c r="G19" s="29" t="s">
        <v>746</v>
      </c>
      <c r="H19" s="30" t="s">
        <v>1207</v>
      </c>
      <c r="I19" s="20"/>
      <c r="J19" s="29" t="s">
        <v>752</v>
      </c>
      <c r="K19" s="30" t="s">
        <v>1208</v>
      </c>
      <c r="L19" s="20"/>
      <c r="M19" s="29" t="s">
        <v>537</v>
      </c>
      <c r="N19" s="30" t="s">
        <v>1180</v>
      </c>
      <c r="O19" s="20"/>
    </row>
    <row r="20" ht="180.0" customHeight="1">
      <c r="A20" s="32" t="str">
        <f>IMAGE("https://assets.tcgdex.net/de/sv/sv01/006/low.jpg", 1)</f>
        <v/>
      </c>
      <c r="B20" s="22"/>
      <c r="C20" s="20"/>
      <c r="D20" s="32" t="str">
        <f>IMAGE("https://assets.tcgdex.net/de/sv/sv01/007/low.jpg", 1)</f>
        <v/>
      </c>
      <c r="E20" s="22"/>
      <c r="F20" s="20"/>
      <c r="G20" s="32" t="str">
        <f>IMAGE("https://assets.tcgdex.net/de/sv/sv01/009/low.jpg", 1)</f>
        <v/>
      </c>
      <c r="H20" s="22"/>
      <c r="I20" s="20"/>
      <c r="J20" s="32" t="str">
        <f>IMAGE("https://assets.tcgdex.net/de/sv/sv01/012/low.jpg", 1)</f>
        <v/>
      </c>
      <c r="K20" s="22"/>
      <c r="L20" s="20"/>
      <c r="M20" s="32" t="str">
        <f>IMAGE("https://assets.tcgdex.net/de/sv/sv01/017/low.jpg", 1)</f>
        <v/>
      </c>
      <c r="N20" s="22"/>
      <c r="O20" s="20"/>
    </row>
    <row r="21" ht="22.5" customHeight="1">
      <c r="A21" s="35" t="b">
        <v>1</v>
      </c>
      <c r="B21" s="35" t="b">
        <v>0</v>
      </c>
      <c r="C21" s="36" t="str">
        <f>HYPERLINK("https://prices.pokemontcg.io/cardmarket/sv1-6", "CM")</f>
        <v>CM</v>
      </c>
      <c r="D21" s="35" t="b">
        <v>1</v>
      </c>
      <c r="E21" s="35" t="b">
        <v>0</v>
      </c>
      <c r="F21" s="36" t="str">
        <f>HYPERLINK("https://prices.pokemontcg.io/cardmarket/sv1-7", "CM")</f>
        <v>CM</v>
      </c>
      <c r="G21" s="35" t="b">
        <v>1</v>
      </c>
      <c r="H21" s="35" t="b">
        <v>0</v>
      </c>
      <c r="I21" s="36" t="str">
        <f>HYPERLINK("https://prices.pokemontcg.io/cardmarket/sv1-9", "CM")</f>
        <v>CM</v>
      </c>
      <c r="J21" s="35" t="b">
        <v>1</v>
      </c>
      <c r="K21" s="35" t="b">
        <v>0</v>
      </c>
      <c r="L21" s="36" t="str">
        <f>HYPERLINK("https://prices.pokemontcg.io/cardmarket/sv1-12", "CM")</f>
        <v>CM</v>
      </c>
      <c r="M21" s="35" t="b">
        <v>1</v>
      </c>
      <c r="N21" s="35" t="b">
        <v>0</v>
      </c>
      <c r="O21" s="36" t="str">
        <f>HYPERLINK("https://prices.pokemontcg.io/cardmarket/sv1-17", "CM")</f>
        <v>CM</v>
      </c>
    </row>
    <row r="22" ht="7.5" customHeight="1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</row>
    <row r="23" ht="18.75" customHeight="1">
      <c r="A23" s="29" t="s">
        <v>756</v>
      </c>
      <c r="B23" s="30" t="s">
        <v>1180</v>
      </c>
      <c r="C23" s="20"/>
      <c r="D23" s="29" t="s">
        <v>541</v>
      </c>
      <c r="E23" s="30" t="s">
        <v>548</v>
      </c>
      <c r="F23" s="20"/>
      <c r="G23" s="29" t="s">
        <v>545</v>
      </c>
      <c r="H23" s="30" t="s">
        <v>1209</v>
      </c>
      <c r="I23" s="20"/>
      <c r="J23" s="29" t="s">
        <v>760</v>
      </c>
      <c r="K23" s="30" t="s">
        <v>1210</v>
      </c>
      <c r="L23" s="20"/>
      <c r="M23" s="29" t="s">
        <v>551</v>
      </c>
      <c r="N23" s="30" t="s">
        <v>1211</v>
      </c>
      <c r="O23" s="20"/>
    </row>
    <row r="24" ht="180.0" customHeight="1">
      <c r="A24" s="32" t="str">
        <f>IMAGE("https://assets.tcgdex.net/de/sv/sv01/018/low.jpg", 1)</f>
        <v/>
      </c>
      <c r="B24" s="22"/>
      <c r="C24" s="20"/>
      <c r="D24" s="32" t="str">
        <f>IMAGE("https://assets.tcgdex.net/de/sv/sv01/020/low.jpg", 1)</f>
        <v/>
      </c>
      <c r="E24" s="22"/>
      <c r="F24" s="20"/>
      <c r="G24" s="32" t="str">
        <f>IMAGE("https://assets.tcgdex.net/de/sv/sv01/022/low.jpg", 1)</f>
        <v/>
      </c>
      <c r="H24" s="22"/>
      <c r="I24" s="20"/>
      <c r="J24" s="32" t="str">
        <f>IMAGE("https://assets.tcgdex.net/de/sv/sv01/026/low.jpg", 1)</f>
        <v/>
      </c>
      <c r="K24" s="22"/>
      <c r="L24" s="20"/>
      <c r="M24" s="32" t="str">
        <f>IMAGE("https://assets.tcgdex.net/de/sv/sv01/028/low.jpg", 1)</f>
        <v/>
      </c>
      <c r="N24" s="22"/>
      <c r="O24" s="20"/>
    </row>
    <row r="25" ht="22.5" customHeight="1">
      <c r="A25" s="35" t="b">
        <v>1</v>
      </c>
      <c r="B25" s="35" t="b">
        <v>0</v>
      </c>
      <c r="C25" s="36" t="str">
        <f>HYPERLINK("https://prices.pokemontcg.io/cardmarket/sv1-18", "CM")</f>
        <v>CM</v>
      </c>
      <c r="D25" s="35" t="b">
        <v>1</v>
      </c>
      <c r="E25" s="35" t="b">
        <v>0</v>
      </c>
      <c r="F25" s="36" t="str">
        <f>HYPERLINK("https://prices.pokemontcg.io/cardmarket/sv1-20", "CM")</f>
        <v>CM</v>
      </c>
      <c r="G25" s="35" t="b">
        <v>1</v>
      </c>
      <c r="H25" s="35" t="b">
        <v>0</v>
      </c>
      <c r="I25" s="36" t="str">
        <f>HYPERLINK("https://prices.pokemontcg.io/cardmarket/sv1-22", "CM")</f>
        <v>CM</v>
      </c>
      <c r="J25" s="35" t="b">
        <v>1</v>
      </c>
      <c r="K25" s="35" t="b">
        <v>0</v>
      </c>
      <c r="L25" s="36" t="str">
        <f>HYPERLINK("https://prices.pokemontcg.io/cardmarket/sv1-26", "CM")</f>
        <v>CM</v>
      </c>
      <c r="M25" s="35" t="b">
        <v>1</v>
      </c>
      <c r="N25" s="35" t="b">
        <v>0</v>
      </c>
      <c r="O25" s="36" t="str">
        <f>HYPERLINK("https://prices.pokemontcg.io/cardmarket/sv1-28", "CM")</f>
        <v>CM</v>
      </c>
    </row>
    <row r="26" ht="7.5" customHeight="1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</row>
    <row r="27" ht="18.75" customHeight="1">
      <c r="A27" s="29" t="s">
        <v>553</v>
      </c>
      <c r="B27" s="30" t="s">
        <v>1181</v>
      </c>
      <c r="C27" s="20"/>
      <c r="D27" s="29" t="s">
        <v>571</v>
      </c>
      <c r="E27" s="30" t="s">
        <v>1212</v>
      </c>
      <c r="F27" s="20"/>
      <c r="G27" s="29" t="s">
        <v>573</v>
      </c>
      <c r="H27" s="30" t="s">
        <v>1213</v>
      </c>
      <c r="I27" s="20"/>
      <c r="J27" s="29" t="s">
        <v>769</v>
      </c>
      <c r="K27" s="30" t="s">
        <v>1214</v>
      </c>
      <c r="L27" s="20"/>
      <c r="M27" s="29" t="s">
        <v>583</v>
      </c>
      <c r="N27" s="30" t="s">
        <v>743</v>
      </c>
      <c r="O27" s="20"/>
    </row>
    <row r="28" ht="180.0" customHeight="1">
      <c r="A28" s="32" t="str">
        <f>IMAGE("https://assets.tcgdex.net/de/sv/sv01/029/low.jpg", 1)</f>
        <v/>
      </c>
      <c r="B28" s="22"/>
      <c r="C28" s="20"/>
      <c r="D28" s="32" t="str">
        <f>IMAGE("https://assets.tcgdex.net/de/sv/sv01/038/low.jpg", 1)</f>
        <v/>
      </c>
      <c r="E28" s="22"/>
      <c r="F28" s="20"/>
      <c r="G28" s="32" t="str">
        <f>IMAGE("https://assets.tcgdex.net/de/sv/sv01/039/low.jpg", 1)</f>
        <v/>
      </c>
      <c r="H28" s="22"/>
      <c r="I28" s="20"/>
      <c r="J28" s="32" t="str">
        <f>IMAGE("https://assets.tcgdex.net/de/sv/sv01/047/low.jpg", 1)</f>
        <v/>
      </c>
      <c r="K28" s="22"/>
      <c r="L28" s="20"/>
      <c r="M28" s="32" t="str">
        <f>IMAGE("https://assets.tcgdex.net/de/sv/sv01/054/low.jpg", 1)</f>
        <v/>
      </c>
      <c r="N28" s="22"/>
      <c r="O28" s="20"/>
    </row>
    <row r="29" ht="22.5" customHeight="1">
      <c r="A29" s="35" t="b">
        <v>1</v>
      </c>
      <c r="B29" s="35" t="b">
        <v>0</v>
      </c>
      <c r="C29" s="36" t="str">
        <f>HYPERLINK("https://prices.pokemontcg.io/cardmarket/sv1-29", "CM")</f>
        <v>CM</v>
      </c>
      <c r="D29" s="35" t="b">
        <v>1</v>
      </c>
      <c r="E29" s="35" t="b">
        <v>0</v>
      </c>
      <c r="F29" s="36" t="str">
        <f>HYPERLINK("https://prices.pokemontcg.io/cardmarket/sv1-38", "CM")</f>
        <v>CM</v>
      </c>
      <c r="G29" s="35" t="b">
        <v>1</v>
      </c>
      <c r="H29" s="35" t="b">
        <v>0</v>
      </c>
      <c r="I29" s="36" t="str">
        <f>HYPERLINK("https://prices.pokemontcg.io/cardmarket/sv1-39", "CM")</f>
        <v>CM</v>
      </c>
      <c r="J29" s="35" t="b">
        <v>1</v>
      </c>
      <c r="K29" s="35" t="b">
        <v>0</v>
      </c>
      <c r="L29" s="36" t="str">
        <f>HYPERLINK("https://prices.pokemontcg.io/cardmarket/sv1-47", "CM")</f>
        <v>CM</v>
      </c>
      <c r="M29" s="35" t="b">
        <v>1</v>
      </c>
      <c r="N29" s="35" t="b">
        <v>0</v>
      </c>
      <c r="O29" s="36" t="str">
        <f>HYPERLINK("https://prices.pokemontcg.io/cardmarket/sv1-54", "CM")</f>
        <v>CM</v>
      </c>
    </row>
    <row r="30" ht="7.5" customHeight="1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</row>
    <row r="31" ht="18.75" customHeight="1">
      <c r="A31" s="29" t="s">
        <v>585</v>
      </c>
      <c r="B31" s="30" t="s">
        <v>1182</v>
      </c>
      <c r="C31" s="20"/>
      <c r="D31" s="29" t="s">
        <v>782</v>
      </c>
      <c r="E31" s="30" t="s">
        <v>1182</v>
      </c>
      <c r="F31" s="20"/>
      <c r="G31" s="29" t="s">
        <v>593</v>
      </c>
      <c r="H31" s="30" t="s">
        <v>785</v>
      </c>
      <c r="I31" s="20"/>
      <c r="J31" s="29" t="s">
        <v>595</v>
      </c>
      <c r="K31" s="30" t="s">
        <v>753</v>
      </c>
      <c r="L31" s="20"/>
      <c r="M31" s="29" t="s">
        <v>597</v>
      </c>
      <c r="N31" s="30" t="s">
        <v>828</v>
      </c>
      <c r="O31" s="20"/>
    </row>
    <row r="32" ht="180.0" customHeight="1">
      <c r="A32" s="32" t="str">
        <f>IMAGE("https://assets.tcgdex.net/de/sv/sv01/055/low.jpg", 1)</f>
        <v/>
      </c>
      <c r="B32" s="22"/>
      <c r="C32" s="20"/>
      <c r="D32" s="32" t="str">
        <f>IMAGE("https://assets.tcgdex.net/de/sv/sv01/056/low.jpg", 1)</f>
        <v/>
      </c>
      <c r="E32" s="22"/>
      <c r="F32" s="20"/>
      <c r="G32" s="32" t="str">
        <f>IMAGE("https://assets.tcgdex.net/de/sv/sv01/060/low.jpg", 1)</f>
        <v/>
      </c>
      <c r="H32" s="22"/>
      <c r="I32" s="20"/>
      <c r="J32" s="32" t="str">
        <f>IMAGE("https://assets.tcgdex.net/de/sv/sv01/061/low.jpg", 1)</f>
        <v/>
      </c>
      <c r="K32" s="22"/>
      <c r="L32" s="20"/>
      <c r="M32" s="32" t="str">
        <f>IMAGE("https://assets.tcgdex.net/de/sv/sv01/062/low.jpg", 1)</f>
        <v/>
      </c>
      <c r="N32" s="22"/>
      <c r="O32" s="20"/>
    </row>
    <row r="33" ht="22.5" customHeight="1">
      <c r="A33" s="35" t="b">
        <v>1</v>
      </c>
      <c r="B33" s="35" t="b">
        <v>0</v>
      </c>
      <c r="C33" s="36" t="str">
        <f>HYPERLINK("https://prices.pokemontcg.io/cardmarket/sv1-55", "CM")</f>
        <v>CM</v>
      </c>
      <c r="D33" s="35" t="b">
        <v>1</v>
      </c>
      <c r="E33" s="35" t="b">
        <v>0</v>
      </c>
      <c r="F33" s="36" t="str">
        <f>HYPERLINK("https://prices.pokemontcg.io/cardmarket/sv1-56", "CM")</f>
        <v>CM</v>
      </c>
      <c r="G33" s="35" t="b">
        <v>1</v>
      </c>
      <c r="H33" s="35" t="b">
        <v>0</v>
      </c>
      <c r="I33" s="36" t="str">
        <f>HYPERLINK("https://prices.pokemontcg.io/cardmarket/sv1-60", "CM")</f>
        <v>CM</v>
      </c>
      <c r="J33" s="35" t="b">
        <v>1</v>
      </c>
      <c r="K33" s="35" t="b">
        <v>0</v>
      </c>
      <c r="L33" s="36" t="str">
        <f>HYPERLINK("https://prices.pokemontcg.io/cardmarket/sv1-61", "CM")</f>
        <v>CM</v>
      </c>
      <c r="M33" s="35" t="b">
        <v>1</v>
      </c>
      <c r="N33" s="35" t="b">
        <v>0</v>
      </c>
      <c r="O33" s="36" t="str">
        <f>HYPERLINK("https://prices.pokemontcg.io/cardmarket/sv1-62", "CM")</f>
        <v>CM</v>
      </c>
    </row>
    <row r="34" ht="7.5" customHeight="1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</row>
    <row r="35" ht="18.75" customHeight="1">
      <c r="A35" s="29" t="s">
        <v>786</v>
      </c>
      <c r="B35" s="30" t="s">
        <v>688</v>
      </c>
      <c r="C35" s="20"/>
      <c r="D35" s="29" t="s">
        <v>795</v>
      </c>
      <c r="E35" s="30" t="s">
        <v>1215</v>
      </c>
      <c r="F35" s="20"/>
      <c r="G35" s="29" t="s">
        <v>808</v>
      </c>
      <c r="H35" s="30" t="s">
        <v>530</v>
      </c>
      <c r="I35" s="20"/>
      <c r="J35" s="29" t="s">
        <v>809</v>
      </c>
      <c r="K35" s="30" t="s">
        <v>1216</v>
      </c>
      <c r="L35" s="20"/>
      <c r="M35" s="29" t="s">
        <v>811</v>
      </c>
      <c r="N35" s="30" t="s">
        <v>1216</v>
      </c>
      <c r="O35" s="20"/>
    </row>
    <row r="36" ht="180.0" customHeight="1">
      <c r="A36" s="32" t="str">
        <f>IMAGE("https://assets.tcgdex.net/de/sv/sv01/064/low.jpg", 1)</f>
        <v/>
      </c>
      <c r="B36" s="22"/>
      <c r="C36" s="20"/>
      <c r="D36" s="32" t="str">
        <f>IMAGE("https://assets.tcgdex.net/de/sv/sv01/069/low.jpg", 1)</f>
        <v/>
      </c>
      <c r="E36" s="22"/>
      <c r="F36" s="20"/>
      <c r="G36" s="32" t="str">
        <f>IMAGE("https://assets.tcgdex.net/de/sv/sv01/076/low.jpg", 1)</f>
        <v/>
      </c>
      <c r="H36" s="22"/>
      <c r="I36" s="20"/>
      <c r="J36" s="32" t="str">
        <f>IMAGE("https://assets.tcgdex.net/de/sv/sv01/077/low.jpg", 1)</f>
        <v/>
      </c>
      <c r="K36" s="22"/>
      <c r="L36" s="20"/>
      <c r="M36" s="32" t="str">
        <f>IMAGE("https://assets.tcgdex.net/de/sv/sv01/078/low.jpg", 1)</f>
        <v/>
      </c>
      <c r="N36" s="22"/>
      <c r="O36" s="20"/>
    </row>
    <row r="37" ht="22.5" customHeight="1">
      <c r="A37" s="35" t="b">
        <v>1</v>
      </c>
      <c r="B37" s="35" t="b">
        <v>0</v>
      </c>
      <c r="C37" s="36" t="str">
        <f>HYPERLINK("https://prices.pokemontcg.io/cardmarket/sv1-64", "CM")</f>
        <v>CM</v>
      </c>
      <c r="D37" s="35" t="b">
        <v>1</v>
      </c>
      <c r="E37" s="35" t="b">
        <v>0</v>
      </c>
      <c r="F37" s="36" t="str">
        <f>HYPERLINK("https://prices.pokemontcg.io/cardmarket/sv1-69", "CM")</f>
        <v>CM</v>
      </c>
      <c r="G37" s="35" t="b">
        <v>1</v>
      </c>
      <c r="H37" s="35" t="b">
        <v>0</v>
      </c>
      <c r="I37" s="36" t="str">
        <f>HYPERLINK("https://prices.pokemontcg.io/cardmarket/sv1-76", "CM")</f>
        <v>CM</v>
      </c>
      <c r="J37" s="35" t="b">
        <v>1</v>
      </c>
      <c r="K37" s="35" t="b">
        <v>0</v>
      </c>
      <c r="L37" s="36" t="str">
        <f>HYPERLINK("https://prices.pokemontcg.io/cardmarket/sv1-77", "CM")</f>
        <v>CM</v>
      </c>
      <c r="M37" s="35" t="b">
        <v>1</v>
      </c>
      <c r="N37" s="35" t="b">
        <v>0</v>
      </c>
      <c r="O37" s="36" t="str">
        <f>HYPERLINK("https://prices.pokemontcg.io/cardmarket/sv1-78", "CM")</f>
        <v>CM</v>
      </c>
    </row>
    <row r="38" ht="7.5" customHeight="1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</row>
    <row r="39" ht="18.75" customHeight="1">
      <c r="A39" s="29" t="s">
        <v>604</v>
      </c>
      <c r="B39" s="30" t="s">
        <v>1185</v>
      </c>
      <c r="C39" s="20"/>
      <c r="D39" s="29" t="s">
        <v>617</v>
      </c>
      <c r="E39" s="30" t="s">
        <v>1217</v>
      </c>
      <c r="F39" s="20"/>
      <c r="G39" s="29" t="s">
        <v>619</v>
      </c>
      <c r="H39" s="30" t="s">
        <v>846</v>
      </c>
      <c r="I39" s="20"/>
      <c r="J39" s="29" t="s">
        <v>627</v>
      </c>
      <c r="K39" s="30" t="s">
        <v>1218</v>
      </c>
      <c r="L39" s="20"/>
      <c r="M39" s="29" t="s">
        <v>812</v>
      </c>
      <c r="N39" s="30" t="s">
        <v>1218</v>
      </c>
      <c r="O39" s="20"/>
    </row>
    <row r="40" ht="180.0" customHeight="1">
      <c r="A40" s="32" t="str">
        <f>IMAGE("https://assets.tcgdex.net/de/sv/sv01/082/low.jpg", 1)</f>
        <v/>
      </c>
      <c r="B40" s="22"/>
      <c r="C40" s="20"/>
      <c r="D40" s="32" t="str">
        <f>IMAGE("https://assets.tcgdex.net/de/sv/sv01/089/low.jpg", 1)</f>
        <v/>
      </c>
      <c r="E40" s="22"/>
      <c r="F40" s="20"/>
      <c r="G40" s="32" t="str">
        <f>IMAGE("https://assets.tcgdex.net/de/sv/sv01/090/low.jpg", 1)</f>
        <v/>
      </c>
      <c r="H40" s="22"/>
      <c r="I40" s="20"/>
      <c r="J40" s="32" t="str">
        <f>IMAGE("https://assets.tcgdex.net/de/sv/sv01/094/low.jpg", 1)</f>
        <v/>
      </c>
      <c r="K40" s="22"/>
      <c r="L40" s="20"/>
      <c r="M40" s="32" t="str">
        <f>IMAGE("https://assets.tcgdex.net/de/sv/sv01/095/low.jpg", 1)</f>
        <v/>
      </c>
      <c r="N40" s="22"/>
      <c r="O40" s="20"/>
    </row>
    <row r="41" ht="22.5" customHeight="1">
      <c r="A41" s="35" t="b">
        <v>1</v>
      </c>
      <c r="B41" s="35" t="b">
        <v>0</v>
      </c>
      <c r="C41" s="36" t="str">
        <f>HYPERLINK("https://prices.pokemontcg.io/cardmarket/sv1-82", "CM")</f>
        <v>CM</v>
      </c>
      <c r="D41" s="35" t="b">
        <v>1</v>
      </c>
      <c r="E41" s="35" t="b">
        <v>0</v>
      </c>
      <c r="F41" s="36" t="str">
        <f>HYPERLINK("https://prices.pokemontcg.io/cardmarket/sv1-89", "CM")</f>
        <v>CM</v>
      </c>
      <c r="G41" s="35" t="b">
        <v>1</v>
      </c>
      <c r="H41" s="35" t="b">
        <v>0</v>
      </c>
      <c r="I41" s="36" t="str">
        <f>HYPERLINK("https://prices.pokemontcg.io/cardmarket/sv1-90", "CM")</f>
        <v>CM</v>
      </c>
      <c r="J41" s="35" t="b">
        <v>1</v>
      </c>
      <c r="K41" s="35" t="b">
        <v>0</v>
      </c>
      <c r="L41" s="36" t="str">
        <f>HYPERLINK("https://prices.pokemontcg.io/cardmarket/sv1-94", "CM")</f>
        <v>CM</v>
      </c>
      <c r="M41" s="35" t="b">
        <v>1</v>
      </c>
      <c r="N41" s="35" t="b">
        <v>0</v>
      </c>
      <c r="O41" s="36" t="str">
        <f>HYPERLINK("https://prices.pokemontcg.io/cardmarket/sv1-95", "CM")</f>
        <v>CM</v>
      </c>
    </row>
    <row r="42" ht="7.5" customHeight="1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</row>
    <row r="43" ht="18.75" customHeight="1">
      <c r="A43" s="29" t="s">
        <v>813</v>
      </c>
      <c r="B43" s="30" t="s">
        <v>1219</v>
      </c>
      <c r="C43" s="20"/>
      <c r="D43" s="29" t="s">
        <v>821</v>
      </c>
      <c r="E43" s="30" t="s">
        <v>1220</v>
      </c>
      <c r="F43" s="20"/>
      <c r="G43" s="29" t="s">
        <v>630</v>
      </c>
      <c r="H43" s="30" t="s">
        <v>1220</v>
      </c>
      <c r="I43" s="20"/>
      <c r="J43" s="29" t="s">
        <v>634</v>
      </c>
      <c r="K43" s="30" t="s">
        <v>798</v>
      </c>
      <c r="L43" s="20"/>
      <c r="M43" s="29" t="s">
        <v>647</v>
      </c>
      <c r="N43" s="30" t="s">
        <v>1221</v>
      </c>
      <c r="O43" s="20"/>
    </row>
    <row r="44" ht="180.0" customHeight="1">
      <c r="A44" s="32" t="str">
        <f>IMAGE("https://assets.tcgdex.net/de/sv/sv01/096/low.jpg", 1)</f>
        <v/>
      </c>
      <c r="B44" s="22"/>
      <c r="C44" s="20"/>
      <c r="D44" s="32" t="str">
        <f>IMAGE("https://assets.tcgdex.net/de/sv/sv01/100/low.jpg", 1)</f>
        <v/>
      </c>
      <c r="E44" s="22"/>
      <c r="F44" s="20"/>
      <c r="G44" s="32" t="str">
        <f>IMAGE("https://assets.tcgdex.net/de/sv/sv01/102/low.jpg", 1)</f>
        <v/>
      </c>
      <c r="H44" s="22"/>
      <c r="I44" s="20"/>
      <c r="J44" s="32" t="str">
        <f>IMAGE("https://assets.tcgdex.net/de/sv/sv01/104/low.jpg", 1)</f>
        <v/>
      </c>
      <c r="K44" s="22"/>
      <c r="L44" s="20"/>
      <c r="M44" s="32" t="str">
        <f>IMAGE("https://assets.tcgdex.net/de/sv/sv01/111/low.jpg", 1)</f>
        <v/>
      </c>
      <c r="N44" s="22"/>
      <c r="O44" s="20"/>
    </row>
    <row r="45" ht="22.5" customHeight="1">
      <c r="A45" s="35" t="b">
        <v>1</v>
      </c>
      <c r="B45" s="35" t="b">
        <v>0</v>
      </c>
      <c r="C45" s="36" t="str">
        <f>HYPERLINK("https://prices.pokemontcg.io/cardmarket/sv1-96", "CM")</f>
        <v>CM</v>
      </c>
      <c r="D45" s="35" t="b">
        <v>1</v>
      </c>
      <c r="E45" s="35" t="b">
        <v>0</v>
      </c>
      <c r="F45" s="36" t="str">
        <f>HYPERLINK("https://prices.pokemontcg.io/cardmarket/sv1-100", "CM")</f>
        <v>CM</v>
      </c>
      <c r="G45" s="35" t="b">
        <v>1</v>
      </c>
      <c r="H45" s="35" t="b">
        <v>0</v>
      </c>
      <c r="I45" s="36" t="str">
        <f>HYPERLINK("https://prices.pokemontcg.io/cardmarket/sv1-102", "CM")</f>
        <v>CM</v>
      </c>
      <c r="J45" s="35" t="b">
        <v>1</v>
      </c>
      <c r="K45" s="35" t="b">
        <v>0</v>
      </c>
      <c r="L45" s="36" t="str">
        <f>HYPERLINK("https://prices.pokemontcg.io/cardmarket/sv1-104", "CM")</f>
        <v>CM</v>
      </c>
      <c r="M45" s="35" t="b">
        <v>1</v>
      </c>
      <c r="N45" s="35" t="b">
        <v>0</v>
      </c>
      <c r="O45" s="36" t="str">
        <f>HYPERLINK("https://prices.pokemontcg.io/cardmarket/sv1-111", "CM")</f>
        <v>CM</v>
      </c>
    </row>
    <row r="46" ht="7.5" customHeight="1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</row>
    <row r="47" ht="18.75" customHeight="1">
      <c r="A47" s="29" t="s">
        <v>649</v>
      </c>
      <c r="B47" s="30" t="s">
        <v>998</v>
      </c>
      <c r="C47" s="20"/>
      <c r="D47" s="29" t="s">
        <v>823</v>
      </c>
      <c r="E47" s="30" t="s">
        <v>1222</v>
      </c>
      <c r="F47" s="20"/>
      <c r="G47" s="29" t="s">
        <v>827</v>
      </c>
      <c r="H47" s="30" t="s">
        <v>745</v>
      </c>
      <c r="I47" s="20"/>
      <c r="J47" s="29" t="s">
        <v>829</v>
      </c>
      <c r="K47" s="30" t="s">
        <v>1223</v>
      </c>
      <c r="L47" s="20"/>
      <c r="M47" s="29" t="s">
        <v>830</v>
      </c>
      <c r="N47" s="30" t="s">
        <v>1224</v>
      </c>
      <c r="O47" s="20"/>
    </row>
    <row r="48" ht="180.0" customHeight="1">
      <c r="A48" s="32" t="str">
        <f>IMAGE("https://assets.tcgdex.net/de/sv/sv01/112/low.jpg", 1)</f>
        <v/>
      </c>
      <c r="B48" s="22"/>
      <c r="C48" s="20"/>
      <c r="D48" s="32" t="str">
        <f>IMAGE("https://assets.tcgdex.net/de/sv/sv01/114/low.jpg", 1)</f>
        <v/>
      </c>
      <c r="E48" s="22"/>
      <c r="F48" s="20"/>
      <c r="G48" s="32" t="str">
        <f>IMAGE("https://assets.tcgdex.net/de/sv/sv01/118/low.jpg", 1)</f>
        <v/>
      </c>
      <c r="H48" s="22"/>
      <c r="I48" s="20"/>
      <c r="J48" s="32" t="str">
        <f>IMAGE("https://assets.tcgdex.net/de/sv/sv01/121/low.jpg", 1)</f>
        <v/>
      </c>
      <c r="K48" s="22"/>
      <c r="L48" s="20"/>
      <c r="M48" s="32" t="str">
        <f>IMAGE("https://assets.tcgdex.net/de/sv/sv01/122/low.jpg", 1)</f>
        <v/>
      </c>
      <c r="N48" s="22"/>
      <c r="O48" s="20"/>
    </row>
    <row r="49" ht="22.5" customHeight="1">
      <c r="A49" s="35" t="b">
        <v>1</v>
      </c>
      <c r="B49" s="35" t="b">
        <v>0</v>
      </c>
      <c r="C49" s="36" t="str">
        <f>HYPERLINK("https://prices.pokemontcg.io/cardmarket/sv1-112", "CM")</f>
        <v>CM</v>
      </c>
      <c r="D49" s="35" t="b">
        <v>1</v>
      </c>
      <c r="E49" s="35" t="b">
        <v>0</v>
      </c>
      <c r="F49" s="36" t="str">
        <f>HYPERLINK("https://prices.pokemontcg.io/cardmarket/sv1-114", "CM")</f>
        <v>CM</v>
      </c>
      <c r="G49" s="35" t="b">
        <v>1</v>
      </c>
      <c r="H49" s="35" t="b">
        <v>0</v>
      </c>
      <c r="I49" s="36" t="str">
        <f>HYPERLINK("https://prices.pokemontcg.io/cardmarket/sv1-118", "CM")</f>
        <v>CM</v>
      </c>
      <c r="J49" s="35" t="b">
        <v>1</v>
      </c>
      <c r="K49" s="35" t="b">
        <v>0</v>
      </c>
      <c r="L49" s="36" t="str">
        <f>HYPERLINK("https://prices.pokemontcg.io/cardmarket/sv1-121", "CM")</f>
        <v>CM</v>
      </c>
      <c r="M49" s="35" t="b">
        <v>1</v>
      </c>
      <c r="N49" s="35" t="b">
        <v>0</v>
      </c>
      <c r="O49" s="36" t="str">
        <f>HYPERLINK("https://prices.pokemontcg.io/cardmarket/sv1-122", "CM")</f>
        <v>CM</v>
      </c>
    </row>
    <row r="50" ht="7.5" customHeight="1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</row>
    <row r="51" ht="18.75" customHeight="1">
      <c r="A51" s="29" t="s">
        <v>833</v>
      </c>
      <c r="B51" s="30" t="s">
        <v>622</v>
      </c>
      <c r="C51" s="20"/>
      <c r="D51" s="29" t="s">
        <v>837</v>
      </c>
      <c r="E51" s="30" t="s">
        <v>1225</v>
      </c>
      <c r="F51" s="20"/>
      <c r="G51" s="29" t="s">
        <v>674</v>
      </c>
      <c r="H51" s="30" t="s">
        <v>1226</v>
      </c>
      <c r="I51" s="20"/>
      <c r="J51" s="29" t="s">
        <v>848</v>
      </c>
      <c r="K51" s="30" t="s">
        <v>761</v>
      </c>
      <c r="L51" s="20"/>
      <c r="M51" s="29" t="s">
        <v>676</v>
      </c>
      <c r="N51" s="30" t="s">
        <v>532</v>
      </c>
      <c r="O51" s="20"/>
    </row>
    <row r="52" ht="180.0" customHeight="1">
      <c r="A52" s="32" t="str">
        <f>IMAGE("https://assets.tcgdex.net/de/sv/sv01/124/low.jpg", 1)</f>
        <v/>
      </c>
      <c r="B52" s="22"/>
      <c r="C52" s="20"/>
      <c r="D52" s="32" t="str">
        <f>IMAGE("https://assets.tcgdex.net/de/sv/sv01/128/low.jpg", 1)</f>
        <v/>
      </c>
      <c r="E52" s="22"/>
      <c r="F52" s="20"/>
      <c r="G52" s="32" t="str">
        <f>IMAGE("https://assets.tcgdex.net/de/sv/sv01/139/low.jpg", 1)</f>
        <v/>
      </c>
      <c r="H52" s="22"/>
      <c r="I52" s="20"/>
      <c r="J52" s="32" t="str">
        <f>IMAGE("https://assets.tcgdex.net/de/sv/sv01/141/low.jpg", 1)</f>
        <v/>
      </c>
      <c r="K52" s="22"/>
      <c r="L52" s="20"/>
      <c r="M52" s="32" t="str">
        <f>IMAGE("https://assets.tcgdex.net/de/sv/sv01/142/low.jpg", 1)</f>
        <v/>
      </c>
      <c r="N52" s="22"/>
      <c r="O52" s="20"/>
    </row>
    <row r="53" ht="22.5" customHeight="1">
      <c r="A53" s="35" t="b">
        <v>1</v>
      </c>
      <c r="B53" s="35" t="b">
        <v>0</v>
      </c>
      <c r="C53" s="36" t="str">
        <f>HYPERLINK("https://prices.pokemontcg.io/cardmarket/sv1-124", "CM")</f>
        <v>CM</v>
      </c>
      <c r="D53" s="35" t="b">
        <v>1</v>
      </c>
      <c r="E53" s="35" t="b">
        <v>0</v>
      </c>
      <c r="F53" s="36" t="str">
        <f>HYPERLINK("https://prices.pokemontcg.io/cardmarket/sv1-128", "CM")</f>
        <v>CM</v>
      </c>
      <c r="G53" s="35" t="b">
        <v>1</v>
      </c>
      <c r="H53" s="35" t="b">
        <v>0</v>
      </c>
      <c r="I53" s="36" t="str">
        <f>HYPERLINK("https://prices.pokemontcg.io/cardmarket/sv1-139", "CM")</f>
        <v>CM</v>
      </c>
      <c r="J53" s="35" t="b">
        <v>1</v>
      </c>
      <c r="K53" s="35" t="b">
        <v>0</v>
      </c>
      <c r="L53" s="36" t="str">
        <f>HYPERLINK("https://prices.pokemontcg.io/cardmarket/sv1-141", "CM")</f>
        <v>CM</v>
      </c>
      <c r="M53" s="35" t="b">
        <v>1</v>
      </c>
      <c r="N53" s="35" t="b">
        <v>0</v>
      </c>
      <c r="O53" s="36" t="str">
        <f>HYPERLINK("https://prices.pokemontcg.io/cardmarket/sv1-142", "CM")</f>
        <v>CM</v>
      </c>
    </row>
    <row r="54" ht="7.5" customHeight="1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</row>
    <row r="55" ht="18.75" customHeight="1">
      <c r="A55" s="29" t="s">
        <v>686</v>
      </c>
      <c r="B55" s="30" t="s">
        <v>1227</v>
      </c>
      <c r="C55" s="20"/>
      <c r="D55" s="29" t="s">
        <v>853</v>
      </c>
      <c r="E55" s="30" t="s">
        <v>1188</v>
      </c>
      <c r="F55" s="20"/>
      <c r="G55" s="29" t="s">
        <v>689</v>
      </c>
      <c r="H55" s="30" t="s">
        <v>1228</v>
      </c>
      <c r="I55" s="20"/>
      <c r="J55" s="29" t="s">
        <v>859</v>
      </c>
      <c r="K55" s="30" t="s">
        <v>1229</v>
      </c>
      <c r="L55" s="20"/>
      <c r="M55" s="29" t="s">
        <v>695</v>
      </c>
      <c r="N55" s="30" t="s">
        <v>1230</v>
      </c>
      <c r="O55" s="20"/>
    </row>
    <row r="56" ht="180.0" customHeight="1">
      <c r="A56" s="32" t="str">
        <f>IMAGE("https://assets.tcgdex.net/de/sv/sv01/150/low.jpg", 1)</f>
        <v/>
      </c>
      <c r="B56" s="22"/>
      <c r="C56" s="20"/>
      <c r="D56" s="32" t="str">
        <f>IMAGE("https://assets.tcgdex.net/de/sv/sv01/151/low.jpg", 1)</f>
        <v/>
      </c>
      <c r="E56" s="22"/>
      <c r="F56" s="20"/>
      <c r="G56" s="32" t="str">
        <f>IMAGE("https://assets.tcgdex.net/de/sv/sv01/154/low.jpg", 1)</f>
        <v/>
      </c>
      <c r="H56" s="22"/>
      <c r="I56" s="20"/>
      <c r="J56" s="32" t="str">
        <f>IMAGE("https://assets.tcgdex.net/de/sv/sv01/157/low.jpg", 1)</f>
        <v/>
      </c>
      <c r="K56" s="22"/>
      <c r="L56" s="20"/>
      <c r="M56" s="32" t="str">
        <f>IMAGE("https://assets.tcgdex.net/de/sv/sv01/160/low.jpg", 1)</f>
        <v/>
      </c>
      <c r="N56" s="22"/>
      <c r="O56" s="20"/>
    </row>
    <row r="57" ht="22.5" customHeight="1">
      <c r="A57" s="35" t="b">
        <v>1</v>
      </c>
      <c r="B57" s="35" t="b">
        <v>0</v>
      </c>
      <c r="C57" s="36" t="str">
        <f>HYPERLINK("https://prices.pokemontcg.io/cardmarket/sv1-150", "CM")</f>
        <v>CM</v>
      </c>
      <c r="D57" s="35" t="b">
        <v>1</v>
      </c>
      <c r="E57" s="35" t="b">
        <v>0</v>
      </c>
      <c r="F57" s="36" t="str">
        <f>HYPERLINK("https://prices.pokemontcg.io/cardmarket/sv1-151", "CM")</f>
        <v>CM</v>
      </c>
      <c r="G57" s="35" t="b">
        <v>1</v>
      </c>
      <c r="H57" s="35" t="b">
        <v>0</v>
      </c>
      <c r="I57" s="36" t="str">
        <f>HYPERLINK("https://prices.pokemontcg.io/cardmarket/sv1-154", "CM")</f>
        <v>CM</v>
      </c>
      <c r="J57" s="35" t="b">
        <v>1</v>
      </c>
      <c r="K57" s="35" t="b">
        <v>0</v>
      </c>
      <c r="L57" s="36" t="str">
        <f>HYPERLINK("https://prices.pokemontcg.io/cardmarket/sv1-157", "CM")</f>
        <v>CM</v>
      </c>
      <c r="M57" s="35" t="b">
        <v>1</v>
      </c>
      <c r="N57" s="35" t="b">
        <v>0</v>
      </c>
      <c r="O57" s="36" t="str">
        <f>HYPERLINK("https://prices.pokemontcg.io/cardmarket/sv1-160", "CM")</f>
        <v>CM</v>
      </c>
    </row>
    <row r="58" ht="7.5" customHeight="1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</row>
    <row r="59" ht="18.75" customHeight="1">
      <c r="A59" s="29" t="s">
        <v>862</v>
      </c>
      <c r="B59" s="30" t="s">
        <v>1231</v>
      </c>
      <c r="C59" s="20"/>
      <c r="D59" s="29" t="s">
        <v>697</v>
      </c>
      <c r="E59" s="30" t="s">
        <v>1232</v>
      </c>
      <c r="F59" s="20"/>
      <c r="G59" s="29" t="s">
        <v>867</v>
      </c>
      <c r="H59" s="30" t="s">
        <v>1233</v>
      </c>
      <c r="I59" s="20"/>
      <c r="J59" s="29" t="s">
        <v>869</v>
      </c>
      <c r="K59" s="30" t="s">
        <v>1194</v>
      </c>
      <c r="L59" s="20"/>
      <c r="M59" s="29" t="s">
        <v>873</v>
      </c>
      <c r="N59" s="30" t="s">
        <v>946</v>
      </c>
      <c r="O59" s="20"/>
    </row>
    <row r="60" ht="180.0" customHeight="1">
      <c r="A60" s="32" t="str">
        <f>IMAGE("https://assets.tcgdex.net/de/sv/sv01/161/low.jpg", 1)</f>
        <v/>
      </c>
      <c r="B60" s="22"/>
      <c r="C60" s="20"/>
      <c r="D60" s="32" t="str">
        <f>IMAGE("https://assets.tcgdex.net/de/sv/sv01/162/low.jpg", 1)</f>
        <v/>
      </c>
      <c r="E60" s="22"/>
      <c r="F60" s="20"/>
      <c r="G60" s="32" t="str">
        <f>IMAGE("https://assets.tcgdex.net/de/sv/sv01/165/low.jpg", 1)</f>
        <v/>
      </c>
      <c r="H60" s="22"/>
      <c r="I60" s="20"/>
      <c r="J60" s="32" t="str">
        <f>IMAGE("https://assets.tcgdex.net/de/sv/sv01/166/low.jpg", 1)</f>
        <v/>
      </c>
      <c r="K60" s="22"/>
      <c r="L60" s="20"/>
      <c r="M60" s="32" t="str">
        <f>IMAGE("https://assets.tcgdex.net/de/sv/sv01/168/low.jpg", 1)</f>
        <v/>
      </c>
      <c r="N60" s="22"/>
      <c r="O60" s="20"/>
    </row>
    <row r="61" ht="22.5" customHeight="1">
      <c r="A61" s="35" t="b">
        <v>1</v>
      </c>
      <c r="B61" s="35" t="b">
        <v>0</v>
      </c>
      <c r="C61" s="36" t="str">
        <f>HYPERLINK("https://prices.pokemontcg.io/cardmarket/sv1-161", "CM")</f>
        <v>CM</v>
      </c>
      <c r="D61" s="35" t="b">
        <v>1</v>
      </c>
      <c r="E61" s="35" t="b">
        <v>0</v>
      </c>
      <c r="F61" s="36" t="str">
        <f>HYPERLINK("https://prices.pokemontcg.io/cardmarket/sv1-162", "CM")</f>
        <v>CM</v>
      </c>
      <c r="G61" s="35" t="b">
        <v>1</v>
      </c>
      <c r="H61" s="35" t="b">
        <v>0</v>
      </c>
      <c r="I61" s="36" t="str">
        <f>HYPERLINK("https://prices.pokemontcg.io/cardmarket/sv1-165", "CM")</f>
        <v>CM</v>
      </c>
      <c r="J61" s="35" t="b">
        <v>1</v>
      </c>
      <c r="K61" s="35" t="b">
        <v>0</v>
      </c>
      <c r="L61" s="36" t="str">
        <f>HYPERLINK("https://prices.pokemontcg.io/cardmarket/sv1-166", "CM")</f>
        <v>CM</v>
      </c>
      <c r="M61" s="35" t="b">
        <v>1</v>
      </c>
      <c r="N61" s="35" t="b">
        <v>0</v>
      </c>
      <c r="O61" s="36" t="str">
        <f>HYPERLINK("https://prices.pokemontcg.io/cardmarket/sv1-168", "CM")</f>
        <v>CM</v>
      </c>
    </row>
    <row r="62" ht="7.5" customHeight="1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</row>
    <row r="63" ht="18.75" customHeight="1">
      <c r="A63" s="29" t="s">
        <v>875</v>
      </c>
      <c r="B63" s="30" t="s">
        <v>1234</v>
      </c>
      <c r="C63" s="20"/>
      <c r="D63" s="29" t="s">
        <v>699</v>
      </c>
      <c r="E63" s="30" t="s">
        <v>1235</v>
      </c>
      <c r="F63" s="20"/>
      <c r="G63" s="29" t="s">
        <v>884</v>
      </c>
      <c r="H63" s="30" t="s">
        <v>1236</v>
      </c>
      <c r="I63" s="20"/>
      <c r="J63" s="29" t="s">
        <v>701</v>
      </c>
      <c r="K63" s="30" t="s">
        <v>1237</v>
      </c>
      <c r="L63" s="20"/>
      <c r="M63" s="29" t="s">
        <v>890</v>
      </c>
      <c r="N63" s="30" t="s">
        <v>1196</v>
      </c>
      <c r="O63" s="20"/>
    </row>
    <row r="64" ht="180.0" customHeight="1">
      <c r="A64" s="32" t="str">
        <f>IMAGE("https://assets.tcgdex.net/de/sv/sv01/169/low.jpg", 1)</f>
        <v/>
      </c>
      <c r="B64" s="22"/>
      <c r="C64" s="20"/>
      <c r="D64" s="32" t="str">
        <f>IMAGE("https://assets.tcgdex.net/de/sv/sv01/174/low.jpg", 1)</f>
        <v/>
      </c>
      <c r="E64" s="22"/>
      <c r="F64" s="20"/>
      <c r="G64" s="32" t="str">
        <f>IMAGE("https://assets.tcgdex.net/de/sv/sv01/177/low.jpg", 1)</f>
        <v/>
      </c>
      <c r="H64" s="22"/>
      <c r="I64" s="20"/>
      <c r="J64" s="32" t="str">
        <f>IMAGE("https://assets.tcgdex.net/de/sv/sv01/178/low.jpg", 1)</f>
        <v/>
      </c>
      <c r="K64" s="22"/>
      <c r="L64" s="20"/>
      <c r="M64" s="32" t="str">
        <f>IMAGE("https://assets.tcgdex.net/de/sv/sv01/183/low.jpg", 1)</f>
        <v/>
      </c>
      <c r="N64" s="22"/>
      <c r="O64" s="20"/>
    </row>
    <row r="65" ht="22.5" customHeight="1">
      <c r="A65" s="35" t="b">
        <v>1</v>
      </c>
      <c r="B65" s="35" t="b">
        <v>0</v>
      </c>
      <c r="C65" s="36" t="str">
        <f>HYPERLINK("https://prices.pokemontcg.io/cardmarket/sv1-169", "CM")</f>
        <v>CM</v>
      </c>
      <c r="D65" s="35" t="b">
        <v>1</v>
      </c>
      <c r="E65" s="35" t="b">
        <v>0</v>
      </c>
      <c r="F65" s="36" t="str">
        <f>HYPERLINK("https://prices.pokemontcg.io/cardmarket/sv1-174", "CM")</f>
        <v>CM</v>
      </c>
      <c r="G65" s="35" t="b">
        <v>1</v>
      </c>
      <c r="H65" s="35" t="b">
        <v>0</v>
      </c>
      <c r="I65" s="36" t="str">
        <f>HYPERLINK("https://prices.pokemontcg.io/cardmarket/sv1-177", "CM")</f>
        <v>CM</v>
      </c>
      <c r="J65" s="35" t="b">
        <v>1</v>
      </c>
      <c r="K65" s="35" t="b">
        <v>0</v>
      </c>
      <c r="L65" s="36" t="str">
        <f>HYPERLINK("https://prices.pokemontcg.io/cardmarket/sv1-178", "CM")</f>
        <v>CM</v>
      </c>
      <c r="M65" s="35" t="b">
        <v>1</v>
      </c>
      <c r="N65" s="35" t="b">
        <v>0</v>
      </c>
      <c r="O65" s="36" t="str">
        <f>HYPERLINK("https://prices.pokemontcg.io/cardmarket/sv1-183", "CM")</f>
        <v>CM</v>
      </c>
    </row>
    <row r="66" ht="7.5" customHeight="1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</row>
    <row r="67" ht="18.75" customHeight="1">
      <c r="A67" s="29" t="s">
        <v>707</v>
      </c>
      <c r="B67" s="30" t="s">
        <v>1238</v>
      </c>
      <c r="C67" s="20"/>
      <c r="D67" s="29" t="s">
        <v>711</v>
      </c>
      <c r="E67" s="30" t="s">
        <v>1239</v>
      </c>
      <c r="F67" s="20"/>
      <c r="G67" s="29" t="s">
        <v>896</v>
      </c>
      <c r="H67" s="30" t="s">
        <v>1040</v>
      </c>
      <c r="I67" s="20"/>
      <c r="J67" s="29" t="s">
        <v>1240</v>
      </c>
      <c r="K67" s="30" t="s">
        <v>1035</v>
      </c>
      <c r="L67" s="20"/>
      <c r="M67" s="29" t="s">
        <v>1241</v>
      </c>
      <c r="N67" s="30" t="s">
        <v>1242</v>
      </c>
      <c r="O67" s="20"/>
    </row>
    <row r="68" ht="180.0" customHeight="1">
      <c r="A68" s="32" t="str">
        <f>IMAGE("https://assets.tcgdex.net/de/sv/sv01/184/low.jpg", 1)</f>
        <v/>
      </c>
      <c r="B68" s="22"/>
      <c r="C68" s="20"/>
      <c r="D68" s="32" t="str">
        <f>IMAGE("https://assets.tcgdex.net/de/sv/sv01/186/low.jpg", 1)</f>
        <v/>
      </c>
      <c r="E68" s="22"/>
      <c r="F68" s="20"/>
      <c r="G68" s="32" t="str">
        <f>IMAGE("https://assets.tcgdex.net/de/sv/sv01/189/low.jpg", 1)</f>
        <v/>
      </c>
      <c r="H68" s="22"/>
      <c r="I68" s="20"/>
      <c r="J68" s="32" t="str">
        <f>IMAGE("https://assets.tcgdex.net/de/sv/sv01/191/low.jpg", 1)</f>
        <v/>
      </c>
      <c r="K68" s="22"/>
      <c r="L68" s="20"/>
      <c r="M68" s="32" t="str">
        <f>IMAGE("https://assets.tcgdex.net/de/sv/sv01/204/low.jpg", 1)</f>
        <v/>
      </c>
      <c r="N68" s="22"/>
      <c r="O68" s="20"/>
    </row>
    <row r="69" ht="22.5" customHeight="1">
      <c r="A69" s="35" t="b">
        <v>1</v>
      </c>
      <c r="B69" s="35" t="b">
        <v>0</v>
      </c>
      <c r="C69" s="36" t="str">
        <f>HYPERLINK("https://prices.pokemontcg.io/cardmarket/sv1-184", "CM")</f>
        <v>CM</v>
      </c>
      <c r="D69" s="35" t="b">
        <v>1</v>
      </c>
      <c r="E69" s="35" t="b">
        <v>0</v>
      </c>
      <c r="F69" s="36" t="str">
        <f>HYPERLINK("https://prices.pokemontcg.io/cardmarket/sv1-186", "CM")</f>
        <v>CM</v>
      </c>
      <c r="G69" s="35" t="b">
        <v>1</v>
      </c>
      <c r="H69" s="35" t="b">
        <v>0</v>
      </c>
      <c r="I69" s="36" t="str">
        <f>HYPERLINK("https://prices.pokemontcg.io/cardmarket/sv1-189", "CM")</f>
        <v>CM</v>
      </c>
      <c r="J69" s="35" t="b">
        <v>1</v>
      </c>
      <c r="K69" s="35" t="b">
        <v>0</v>
      </c>
      <c r="L69" s="36" t="str">
        <f>HYPERLINK("https://prices.pokemontcg.io/cardmarket/sv1-191", "CM")</f>
        <v>CM</v>
      </c>
      <c r="M69" s="35" t="b">
        <v>1</v>
      </c>
      <c r="N69" s="35" t="b">
        <v>0</v>
      </c>
      <c r="O69" s="36" t="str">
        <f>HYPERLINK("https://prices.pokemontcg.io/cardmarket/sv1-204", "CM")</f>
        <v>CM</v>
      </c>
    </row>
    <row r="70" ht="7.5" customHeight="1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</row>
    <row r="71" ht="18.75" customHeight="1">
      <c r="A71" s="27" t="s">
        <v>736</v>
      </c>
      <c r="B71" s="28" t="s">
        <v>596</v>
      </c>
      <c r="C71" s="20"/>
      <c r="D71" s="27" t="s">
        <v>739</v>
      </c>
      <c r="E71" s="28" t="s">
        <v>1243</v>
      </c>
      <c r="F71" s="20"/>
      <c r="G71" s="27" t="s">
        <v>740</v>
      </c>
      <c r="H71" s="28" t="s">
        <v>1244</v>
      </c>
      <c r="I71" s="20"/>
      <c r="J71" s="27" t="s">
        <v>742</v>
      </c>
      <c r="K71" s="28" t="s">
        <v>1245</v>
      </c>
      <c r="L71" s="20"/>
      <c r="M71" s="27" t="s">
        <v>531</v>
      </c>
      <c r="N71" s="28" t="s">
        <v>1246</v>
      </c>
      <c r="O71" s="20"/>
    </row>
    <row r="72" ht="180.0" customHeight="1">
      <c r="A72" s="31" t="str">
        <f>IMAGE("https://assets.tcgdex.net/de/sv/sv01/001/low.jpg", 1)</f>
        <v/>
      </c>
      <c r="B72" s="22"/>
      <c r="C72" s="20"/>
      <c r="D72" s="31" t="str">
        <f>IMAGE("https://assets.tcgdex.net/de/sv/sv01/003/low.jpg", 1)</f>
        <v/>
      </c>
      <c r="E72" s="22"/>
      <c r="F72" s="20"/>
      <c r="G72" s="31" t="str">
        <f>IMAGE("https://assets.tcgdex.net/de/sv/sv01/004/low.jpg", 1)</f>
        <v/>
      </c>
      <c r="H72" s="22"/>
      <c r="I72" s="20"/>
      <c r="J72" s="31" t="str">
        <f>IMAGE("https://assets.tcgdex.net/de/sv/sv01/005/low.jpg", 1)</f>
        <v/>
      </c>
      <c r="K72" s="22"/>
      <c r="L72" s="20"/>
      <c r="M72" s="31" t="str">
        <f>IMAGE("https://assets.tcgdex.net/de/sv/sv01/008/low.jpg", 1)</f>
        <v/>
      </c>
      <c r="N72" s="22"/>
      <c r="O72" s="20"/>
    </row>
    <row r="73" ht="22.5" customHeight="1">
      <c r="A73" s="33" t="b">
        <v>1</v>
      </c>
      <c r="B73" s="33" t="b">
        <v>1</v>
      </c>
      <c r="C73" s="34" t="str">
        <f>HYPERLINK("https://prices.pokemontcg.io/cardmarket/sv1-1", "CM")</f>
        <v>CM</v>
      </c>
      <c r="D73" s="33" t="b">
        <v>1</v>
      </c>
      <c r="E73" s="33" t="b">
        <v>1</v>
      </c>
      <c r="F73" s="34" t="str">
        <f>HYPERLINK("https://prices.pokemontcg.io/cardmarket/sv1-3", "CM")</f>
        <v>CM</v>
      </c>
      <c r="G73" s="33" t="b">
        <v>1</v>
      </c>
      <c r="H73" s="33" t="b">
        <v>1</v>
      </c>
      <c r="I73" s="34" t="str">
        <f>HYPERLINK("https://prices.pokemontcg.io/cardmarket/sv1-4", "CM")</f>
        <v>CM</v>
      </c>
      <c r="J73" s="33" t="b">
        <v>1</v>
      </c>
      <c r="K73" s="33" t="b">
        <v>1</v>
      </c>
      <c r="L73" s="34" t="str">
        <f>HYPERLINK("https://prices.pokemontcg.io/cardmarket/sv1-5", "CM")</f>
        <v>CM</v>
      </c>
      <c r="M73" s="33" t="b">
        <v>1</v>
      </c>
      <c r="N73" s="33" t="b">
        <v>1</v>
      </c>
      <c r="O73" s="34" t="str">
        <f>HYPERLINK("https://prices.pokemontcg.io/cardmarket/sv1-8", "CM")</f>
        <v>CM</v>
      </c>
    </row>
    <row r="74" ht="7.5" customHeight="1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</row>
    <row r="75" ht="18.75" customHeight="1">
      <c r="A75" s="27" t="s">
        <v>748</v>
      </c>
      <c r="B75" s="28" t="s">
        <v>1247</v>
      </c>
      <c r="C75" s="20"/>
      <c r="D75" s="27" t="s">
        <v>750</v>
      </c>
      <c r="E75" s="28" t="s">
        <v>1248</v>
      </c>
      <c r="F75" s="20"/>
      <c r="G75" s="27" t="s">
        <v>754</v>
      </c>
      <c r="H75" s="28" t="s">
        <v>737</v>
      </c>
      <c r="I75" s="20"/>
      <c r="J75" s="27" t="s">
        <v>755</v>
      </c>
      <c r="K75" s="28" t="s">
        <v>810</v>
      </c>
      <c r="L75" s="20"/>
      <c r="M75" s="27" t="s">
        <v>533</v>
      </c>
      <c r="N75" s="28" t="s">
        <v>1249</v>
      </c>
      <c r="O75" s="20"/>
    </row>
    <row r="76" ht="180.0" customHeight="1">
      <c r="A76" s="31" t="str">
        <f>IMAGE("https://assets.tcgdex.net/de/sv/sv01/010/low.jpg", 1)</f>
        <v/>
      </c>
      <c r="B76" s="22"/>
      <c r="C76" s="20"/>
      <c r="D76" s="31" t="str">
        <f>IMAGE("https://assets.tcgdex.net/de/sv/sv01/011/low.jpg", 1)</f>
        <v/>
      </c>
      <c r="E76" s="22"/>
      <c r="F76" s="20"/>
      <c r="G76" s="31" t="str">
        <f>IMAGE("https://assets.tcgdex.net/de/sv/sv01/013/low.jpg", 1)</f>
        <v/>
      </c>
      <c r="H76" s="22"/>
      <c r="I76" s="20"/>
      <c r="J76" s="31" t="str">
        <f>IMAGE("https://assets.tcgdex.net/de/sv/sv01/014/low.jpg", 1)</f>
        <v/>
      </c>
      <c r="K76" s="22"/>
      <c r="L76" s="20"/>
      <c r="M76" s="31" t="str">
        <f>IMAGE("https://assets.tcgdex.net/de/sv/sv01/015/low.jpg", 1)</f>
        <v/>
      </c>
      <c r="N76" s="22"/>
      <c r="O76" s="20"/>
    </row>
    <row r="77" ht="22.5" customHeight="1">
      <c r="A77" s="33" t="b">
        <v>1</v>
      </c>
      <c r="B77" s="33" t="b">
        <v>1</v>
      </c>
      <c r="C77" s="34" t="str">
        <f>HYPERLINK("https://prices.pokemontcg.io/cardmarket/sv1-10", "CM")</f>
        <v>CM</v>
      </c>
      <c r="D77" s="33" t="b">
        <v>1</v>
      </c>
      <c r="E77" s="33" t="b">
        <v>1</v>
      </c>
      <c r="F77" s="34" t="str">
        <f>HYPERLINK("https://prices.pokemontcg.io/cardmarket/sv1-11", "CM")</f>
        <v>CM</v>
      </c>
      <c r="G77" s="33" t="b">
        <v>1</v>
      </c>
      <c r="H77" s="33" t="b">
        <v>1</v>
      </c>
      <c r="I77" s="34" t="str">
        <f>HYPERLINK("https://prices.pokemontcg.io/cardmarket/sv1-13", "CM")</f>
        <v>CM</v>
      </c>
      <c r="J77" s="33" t="b">
        <v>1</v>
      </c>
      <c r="K77" s="33" t="b">
        <v>1</v>
      </c>
      <c r="L77" s="34" t="str">
        <f>HYPERLINK("https://prices.pokemontcg.io/cardmarket/sv1-14", "CM")</f>
        <v>CM</v>
      </c>
      <c r="M77" s="33" t="b">
        <v>1</v>
      </c>
      <c r="N77" s="33" t="b">
        <v>1</v>
      </c>
      <c r="O77" s="34" t="str">
        <f>HYPERLINK("https://prices.pokemontcg.io/cardmarket/sv1-15", "CM")</f>
        <v>CM</v>
      </c>
    </row>
    <row r="78" ht="7.5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</row>
    <row r="79" ht="18.75" customHeight="1">
      <c r="A79" s="27" t="s">
        <v>535</v>
      </c>
      <c r="B79" s="28" t="s">
        <v>1180</v>
      </c>
      <c r="C79" s="20"/>
      <c r="D79" s="27" t="s">
        <v>539</v>
      </c>
      <c r="E79" s="28" t="s">
        <v>1250</v>
      </c>
      <c r="F79" s="20"/>
      <c r="G79" s="27" t="s">
        <v>543</v>
      </c>
      <c r="H79" s="28" t="s">
        <v>548</v>
      </c>
      <c r="I79" s="20"/>
      <c r="J79" s="27" t="s">
        <v>547</v>
      </c>
      <c r="K79" s="28" t="s">
        <v>1251</v>
      </c>
      <c r="L79" s="20"/>
      <c r="M79" s="27" t="s">
        <v>549</v>
      </c>
      <c r="N79" s="28" t="s">
        <v>1252</v>
      </c>
      <c r="O79" s="20"/>
    </row>
    <row r="80" ht="180.0" customHeight="1">
      <c r="A80" s="31" t="str">
        <f>IMAGE("https://assets.tcgdex.net/de/sv/sv01/016/low.jpg", 1)</f>
        <v/>
      </c>
      <c r="B80" s="22"/>
      <c r="C80" s="20"/>
      <c r="D80" s="31" t="str">
        <f>IMAGE("https://assets.tcgdex.net/de/sv/sv01/019/low.jpg", 1)</f>
        <v/>
      </c>
      <c r="E80" s="22"/>
      <c r="F80" s="20"/>
      <c r="G80" s="31" t="str">
        <f>IMAGE("https://assets.tcgdex.net/de/sv/sv01/021/low.jpg", 1)</f>
        <v/>
      </c>
      <c r="H80" s="22"/>
      <c r="I80" s="20"/>
      <c r="J80" s="31" t="str">
        <f>IMAGE("https://assets.tcgdex.net/de/sv/sv01/023/low.jpg", 1)</f>
        <v/>
      </c>
      <c r="K80" s="22"/>
      <c r="L80" s="20"/>
      <c r="M80" s="31" t="str">
        <f>IMAGE("https://assets.tcgdex.net/de/sv/sv01/024/low.jpg", 1)</f>
        <v/>
      </c>
      <c r="N80" s="22"/>
      <c r="O80" s="20"/>
    </row>
    <row r="81" ht="22.5" customHeight="1">
      <c r="A81" s="33" t="b">
        <v>1</v>
      </c>
      <c r="B81" s="33" t="b">
        <v>1</v>
      </c>
      <c r="C81" s="34" t="str">
        <f>HYPERLINK("https://prices.pokemontcg.io/cardmarket/sv1-16", "CM")</f>
        <v>CM</v>
      </c>
      <c r="D81" s="33" t="b">
        <v>1</v>
      </c>
      <c r="E81" s="33" t="b">
        <v>1</v>
      </c>
      <c r="F81" s="34" t="str">
        <f>HYPERLINK("https://prices.pokemontcg.io/cardmarket/sv1-19", "CM")</f>
        <v>CM</v>
      </c>
      <c r="G81" s="33" t="b">
        <v>1</v>
      </c>
      <c r="H81" s="33" t="b">
        <v>1</v>
      </c>
      <c r="I81" s="34" t="str">
        <f>HYPERLINK("https://prices.pokemontcg.io/cardmarket/sv1-21", "CM")</f>
        <v>CM</v>
      </c>
      <c r="J81" s="33" t="b">
        <v>1</v>
      </c>
      <c r="K81" s="33" t="b">
        <v>1</v>
      </c>
      <c r="L81" s="34" t="str">
        <f>HYPERLINK("https://prices.pokemontcg.io/cardmarket/sv1-23", "CM")</f>
        <v>CM</v>
      </c>
      <c r="M81" s="33" t="b">
        <v>1</v>
      </c>
      <c r="N81" s="33" t="b">
        <v>1</v>
      </c>
      <c r="O81" s="34" t="str">
        <f>HYPERLINK("https://prices.pokemontcg.io/cardmarket/sv1-24", "CM")</f>
        <v>CM</v>
      </c>
    </row>
    <row r="82" ht="7.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</row>
    <row r="83" ht="18.75" customHeight="1">
      <c r="A83" s="27" t="s">
        <v>758</v>
      </c>
      <c r="B83" s="28" t="s">
        <v>1252</v>
      </c>
      <c r="C83" s="20"/>
      <c r="D83" s="27" t="s">
        <v>762</v>
      </c>
      <c r="E83" s="28" t="s">
        <v>1211</v>
      </c>
      <c r="F83" s="20"/>
      <c r="G83" s="27" t="s">
        <v>555</v>
      </c>
      <c r="H83" s="28" t="s">
        <v>550</v>
      </c>
      <c r="I83" s="20"/>
      <c r="J83" s="27" t="s">
        <v>557</v>
      </c>
      <c r="K83" s="28" t="s">
        <v>550</v>
      </c>
      <c r="L83" s="20"/>
      <c r="M83" s="27" t="s">
        <v>559</v>
      </c>
      <c r="N83" s="28" t="s">
        <v>1253</v>
      </c>
      <c r="O83" s="20"/>
    </row>
    <row r="84" ht="180.0" customHeight="1">
      <c r="A84" s="31" t="str">
        <f>IMAGE("https://assets.tcgdex.net/de/sv/sv01/025/low.jpg", 1)</f>
        <v/>
      </c>
      <c r="B84" s="22"/>
      <c r="C84" s="20"/>
      <c r="D84" s="31" t="str">
        <f>IMAGE("https://assets.tcgdex.net/de/sv/sv01/027/low.jpg", 1)</f>
        <v/>
      </c>
      <c r="E84" s="22"/>
      <c r="F84" s="20"/>
      <c r="G84" s="31" t="str">
        <f>IMAGE("https://assets.tcgdex.net/de/sv/sv01/030/low.jpg", 1)</f>
        <v/>
      </c>
      <c r="H84" s="22"/>
      <c r="I84" s="20"/>
      <c r="J84" s="31" t="str">
        <f>IMAGE("https://assets.tcgdex.net/de/sv/sv01/031/low.jpg", 1)</f>
        <v/>
      </c>
      <c r="K84" s="22"/>
      <c r="L84" s="20"/>
      <c r="M84" s="31" t="str">
        <f>IMAGE("https://assets.tcgdex.net/de/sv/sv01/032/low.jpg", 1)</f>
        <v/>
      </c>
      <c r="N84" s="22"/>
      <c r="O84" s="20"/>
    </row>
    <row r="85" ht="22.5" customHeight="1">
      <c r="A85" s="33" t="b">
        <v>1</v>
      </c>
      <c r="B85" s="33" t="b">
        <v>1</v>
      </c>
      <c r="C85" s="34" t="str">
        <f>HYPERLINK("https://prices.pokemontcg.io/cardmarket/sv1-25", "CM")</f>
        <v>CM</v>
      </c>
      <c r="D85" s="33" t="b">
        <v>1</v>
      </c>
      <c r="E85" s="33" t="b">
        <v>1</v>
      </c>
      <c r="F85" s="34" t="str">
        <f>HYPERLINK("https://prices.pokemontcg.io/cardmarket/sv1-27", "CM")</f>
        <v>CM</v>
      </c>
      <c r="G85" s="33" t="b">
        <v>1</v>
      </c>
      <c r="H85" s="33" t="b">
        <v>1</v>
      </c>
      <c r="I85" s="34" t="str">
        <f>HYPERLINK("https://prices.pokemontcg.io/cardmarket/sv1-30", "CM")</f>
        <v>CM</v>
      </c>
      <c r="J85" s="33" t="b">
        <v>1</v>
      </c>
      <c r="K85" s="33" t="b">
        <v>1</v>
      </c>
      <c r="L85" s="34" t="str">
        <f>HYPERLINK("https://prices.pokemontcg.io/cardmarket/sv1-31", "CM")</f>
        <v>CM</v>
      </c>
      <c r="M85" s="33" t="b">
        <v>1</v>
      </c>
      <c r="N85" s="33" t="b">
        <v>1</v>
      </c>
      <c r="O85" s="34" t="str">
        <f>HYPERLINK("https://prices.pokemontcg.io/cardmarket/sv1-32", "CM")</f>
        <v>CM</v>
      </c>
    </row>
    <row r="86" ht="7.5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</row>
    <row r="87" ht="18.75" customHeight="1">
      <c r="A87" s="27" t="s">
        <v>561</v>
      </c>
      <c r="B87" s="28" t="s">
        <v>1254</v>
      </c>
      <c r="C87" s="20"/>
      <c r="D87" s="27" t="s">
        <v>563</v>
      </c>
      <c r="E87" s="28" t="s">
        <v>1255</v>
      </c>
      <c r="F87" s="20"/>
      <c r="G87" s="27" t="s">
        <v>565</v>
      </c>
      <c r="H87" s="28" t="s">
        <v>1256</v>
      </c>
      <c r="I87" s="20"/>
      <c r="J87" s="27" t="s">
        <v>567</v>
      </c>
      <c r="K87" s="28" t="s">
        <v>600</v>
      </c>
      <c r="L87" s="20"/>
      <c r="M87" s="27" t="s">
        <v>569</v>
      </c>
      <c r="N87" s="28" t="s">
        <v>602</v>
      </c>
      <c r="O87" s="20"/>
    </row>
    <row r="88" ht="180.0" customHeight="1">
      <c r="A88" s="31" t="str">
        <f>IMAGE("https://assets.tcgdex.net/de/sv/sv01/033/low.jpg", 1)</f>
        <v/>
      </c>
      <c r="B88" s="22"/>
      <c r="C88" s="20"/>
      <c r="D88" s="31" t="str">
        <f>IMAGE("https://assets.tcgdex.net/de/sv/sv01/034/low.jpg", 1)</f>
        <v/>
      </c>
      <c r="E88" s="22"/>
      <c r="F88" s="20"/>
      <c r="G88" s="31" t="str">
        <f>IMAGE("https://assets.tcgdex.net/de/sv/sv01/035/low.jpg", 1)</f>
        <v/>
      </c>
      <c r="H88" s="22"/>
      <c r="I88" s="20"/>
      <c r="J88" s="31" t="str">
        <f>IMAGE("https://assets.tcgdex.net/de/sv/sv01/036/low.jpg", 1)</f>
        <v/>
      </c>
      <c r="K88" s="22"/>
      <c r="L88" s="20"/>
      <c r="M88" s="31" t="str">
        <f>IMAGE("https://assets.tcgdex.net/de/sv/sv01/037/low.jpg", 1)</f>
        <v/>
      </c>
      <c r="N88" s="22"/>
      <c r="O88" s="20"/>
    </row>
    <row r="89" ht="22.5" customHeight="1">
      <c r="A89" s="33" t="b">
        <v>1</v>
      </c>
      <c r="B89" s="33" t="b">
        <v>1</v>
      </c>
      <c r="C89" s="34" t="str">
        <f>HYPERLINK("https://prices.pokemontcg.io/cardmarket/sv1-33", "CM")</f>
        <v>CM</v>
      </c>
      <c r="D89" s="33" t="b">
        <v>1</v>
      </c>
      <c r="E89" s="33" t="b">
        <v>1</v>
      </c>
      <c r="F89" s="34" t="str">
        <f>HYPERLINK("https://prices.pokemontcg.io/cardmarket/sv1-34", "CM")</f>
        <v>CM</v>
      </c>
      <c r="G89" s="33" t="b">
        <v>1</v>
      </c>
      <c r="H89" s="33" t="b">
        <v>1</v>
      </c>
      <c r="I89" s="34" t="str">
        <f>HYPERLINK("https://prices.pokemontcg.io/cardmarket/sv1-35", "CM")</f>
        <v>CM</v>
      </c>
      <c r="J89" s="33" t="b">
        <v>1</v>
      </c>
      <c r="K89" s="33" t="b">
        <v>1</v>
      </c>
      <c r="L89" s="34" t="str">
        <f>HYPERLINK("https://prices.pokemontcg.io/cardmarket/sv1-36", "CM")</f>
        <v>CM</v>
      </c>
      <c r="M89" s="33" t="b">
        <v>1</v>
      </c>
      <c r="N89" s="33" t="b">
        <v>1</v>
      </c>
      <c r="O89" s="34" t="str">
        <f>HYPERLINK("https://prices.pokemontcg.io/cardmarket/sv1-37", "CM")</f>
        <v>CM</v>
      </c>
    </row>
    <row r="90" ht="7.5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</row>
    <row r="91" ht="18.75" customHeight="1">
      <c r="A91" s="27" t="s">
        <v>575</v>
      </c>
      <c r="B91" s="28" t="s">
        <v>1213</v>
      </c>
      <c r="C91" s="20"/>
      <c r="D91" s="27" t="s">
        <v>577</v>
      </c>
      <c r="E91" s="28" t="s">
        <v>1257</v>
      </c>
      <c r="F91" s="20"/>
      <c r="G91" s="27" t="s">
        <v>579</v>
      </c>
      <c r="H91" s="28" t="s">
        <v>1242</v>
      </c>
      <c r="I91" s="20"/>
      <c r="J91" s="27" t="s">
        <v>763</v>
      </c>
      <c r="K91" s="28" t="s">
        <v>1258</v>
      </c>
      <c r="L91" s="20"/>
      <c r="M91" s="27" t="s">
        <v>765</v>
      </c>
      <c r="N91" s="28" t="s">
        <v>1259</v>
      </c>
      <c r="O91" s="20"/>
    </row>
    <row r="92" ht="180.0" customHeight="1">
      <c r="A92" s="31" t="str">
        <f>IMAGE("https://assets.tcgdex.net/de/sv/sv01/040/low.jpg", 1)</f>
        <v/>
      </c>
      <c r="B92" s="22"/>
      <c r="C92" s="20"/>
      <c r="D92" s="31" t="str">
        <f>IMAGE("https://assets.tcgdex.net/de/sv/sv01/041/low.jpg", 1)</f>
        <v/>
      </c>
      <c r="E92" s="22"/>
      <c r="F92" s="20"/>
      <c r="G92" s="31" t="str">
        <f>IMAGE("https://assets.tcgdex.net/de/sv/sv01/042/low.jpg", 1)</f>
        <v/>
      </c>
      <c r="H92" s="22"/>
      <c r="I92" s="20"/>
      <c r="J92" s="31" t="str">
        <f>IMAGE("https://assets.tcgdex.net/de/sv/sv01/043/low.jpg", 1)</f>
        <v/>
      </c>
      <c r="K92" s="22"/>
      <c r="L92" s="20"/>
      <c r="M92" s="31" t="str">
        <f>IMAGE("https://assets.tcgdex.net/de/sv/sv01/044/low.jpg", 1)</f>
        <v/>
      </c>
      <c r="N92" s="22"/>
      <c r="O92" s="20"/>
    </row>
    <row r="93" ht="22.5" customHeight="1">
      <c r="A93" s="33" t="b">
        <v>1</v>
      </c>
      <c r="B93" s="33" t="b">
        <v>1</v>
      </c>
      <c r="C93" s="34" t="str">
        <f>HYPERLINK("https://prices.pokemontcg.io/cardmarket/sv1-40", "CM")</f>
        <v>CM</v>
      </c>
      <c r="D93" s="33" t="b">
        <v>1</v>
      </c>
      <c r="E93" s="33" t="b">
        <v>1</v>
      </c>
      <c r="F93" s="34" t="str">
        <f>HYPERLINK("https://prices.pokemontcg.io/cardmarket/sv1-41", "CM")</f>
        <v>CM</v>
      </c>
      <c r="G93" s="33" t="b">
        <v>1</v>
      </c>
      <c r="H93" s="33" t="b">
        <v>1</v>
      </c>
      <c r="I93" s="34" t="str">
        <f>HYPERLINK("https://prices.pokemontcg.io/cardmarket/sv1-42", "CM")</f>
        <v>CM</v>
      </c>
      <c r="J93" s="33" t="b">
        <v>1</v>
      </c>
      <c r="K93" s="33" t="b">
        <v>1</v>
      </c>
      <c r="L93" s="34" t="str">
        <f>HYPERLINK("https://prices.pokemontcg.io/cardmarket/sv1-43", "CM")</f>
        <v>CM</v>
      </c>
      <c r="M93" s="33" t="b">
        <v>1</v>
      </c>
      <c r="N93" s="33" t="b">
        <v>1</v>
      </c>
      <c r="O93" s="34" t="str">
        <f>HYPERLINK("https://prices.pokemontcg.io/cardmarket/sv1-44", "CM")</f>
        <v>CM</v>
      </c>
    </row>
    <row r="94" ht="7.5" customHeigh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</row>
    <row r="95" ht="18.75" customHeight="1">
      <c r="A95" s="27" t="s">
        <v>581</v>
      </c>
      <c r="B95" s="28" t="s">
        <v>1260</v>
      </c>
      <c r="C95" s="20"/>
      <c r="D95" s="27" t="s">
        <v>767</v>
      </c>
      <c r="E95" s="28" t="s">
        <v>1261</v>
      </c>
      <c r="F95" s="20"/>
      <c r="G95" s="27" t="s">
        <v>770</v>
      </c>
      <c r="H95" s="28" t="s">
        <v>1262</v>
      </c>
      <c r="I95" s="20"/>
      <c r="J95" s="27" t="s">
        <v>772</v>
      </c>
      <c r="K95" s="28" t="s">
        <v>1263</v>
      </c>
      <c r="L95" s="20"/>
      <c r="M95" s="27" t="s">
        <v>774</v>
      </c>
      <c r="N95" s="28" t="s">
        <v>1264</v>
      </c>
      <c r="O95" s="20"/>
    </row>
    <row r="96" ht="180.0" customHeight="1">
      <c r="A96" s="31" t="str">
        <f>IMAGE("https://assets.tcgdex.net/de/sv/sv01/045/low.jpg", 1)</f>
        <v/>
      </c>
      <c r="B96" s="22"/>
      <c r="C96" s="20"/>
      <c r="D96" s="31" t="str">
        <f>IMAGE("https://assets.tcgdex.net/de/sv/sv01/046/low.jpg", 1)</f>
        <v/>
      </c>
      <c r="E96" s="22"/>
      <c r="F96" s="20"/>
      <c r="G96" s="31" t="str">
        <f>IMAGE("https://assets.tcgdex.net/de/sv/sv01/048/low.jpg", 1)</f>
        <v/>
      </c>
      <c r="H96" s="22"/>
      <c r="I96" s="20"/>
      <c r="J96" s="31" t="str">
        <f>IMAGE("https://assets.tcgdex.net/de/sv/sv01/049/low.jpg", 1)</f>
        <v/>
      </c>
      <c r="K96" s="22"/>
      <c r="L96" s="20"/>
      <c r="M96" s="31" t="str">
        <f>IMAGE("https://assets.tcgdex.net/de/sv/sv01/050/low.jpg", 1)</f>
        <v/>
      </c>
      <c r="N96" s="22"/>
      <c r="O96" s="20"/>
    </row>
    <row r="97" ht="22.5" customHeight="1">
      <c r="A97" s="33" t="b">
        <v>1</v>
      </c>
      <c r="B97" s="33" t="b">
        <v>1</v>
      </c>
      <c r="C97" s="34" t="str">
        <f>HYPERLINK("https://prices.pokemontcg.io/cardmarket/sv1-45", "CM")</f>
        <v>CM</v>
      </c>
      <c r="D97" s="33" t="b">
        <v>1</v>
      </c>
      <c r="E97" s="33" t="b">
        <v>1</v>
      </c>
      <c r="F97" s="34" t="str">
        <f>HYPERLINK("https://prices.pokemontcg.io/cardmarket/sv1-46", "CM")</f>
        <v>CM</v>
      </c>
      <c r="G97" s="33" t="b">
        <v>1</v>
      </c>
      <c r="H97" s="33" t="b">
        <v>1</v>
      </c>
      <c r="I97" s="34" t="str">
        <f>HYPERLINK("https://prices.pokemontcg.io/cardmarket/sv1-48", "CM")</f>
        <v>CM</v>
      </c>
      <c r="J97" s="33" t="b">
        <v>1</v>
      </c>
      <c r="K97" s="33" t="b">
        <v>1</v>
      </c>
      <c r="L97" s="34" t="str">
        <f>HYPERLINK("https://prices.pokemontcg.io/cardmarket/sv1-49", "CM")</f>
        <v>CM</v>
      </c>
      <c r="M97" s="33" t="b">
        <v>1</v>
      </c>
      <c r="N97" s="33" t="b">
        <v>1</v>
      </c>
      <c r="O97" s="34" t="str">
        <f>HYPERLINK("https://prices.pokemontcg.io/cardmarket/sv1-50", "CM")</f>
        <v>CM</v>
      </c>
    </row>
    <row r="98" ht="7.5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</row>
    <row r="99" ht="18.75" customHeight="1">
      <c r="A99" s="27" t="s">
        <v>776</v>
      </c>
      <c r="B99" s="28" t="s">
        <v>1265</v>
      </c>
      <c r="C99" s="20"/>
      <c r="D99" s="27" t="s">
        <v>778</v>
      </c>
      <c r="E99" s="28" t="s">
        <v>605</v>
      </c>
      <c r="F99" s="20"/>
      <c r="G99" s="27" t="s">
        <v>780</v>
      </c>
      <c r="H99" s="28" t="s">
        <v>607</v>
      </c>
      <c r="I99" s="20"/>
      <c r="J99" s="27" t="s">
        <v>587</v>
      </c>
      <c r="K99" s="28" t="s">
        <v>1266</v>
      </c>
      <c r="L99" s="20"/>
      <c r="M99" s="27" t="s">
        <v>589</v>
      </c>
      <c r="N99" s="28" t="s">
        <v>1267</v>
      </c>
      <c r="O99" s="20"/>
    </row>
    <row r="100" ht="180.0" customHeight="1">
      <c r="A100" s="31" t="str">
        <f>IMAGE("https://assets.tcgdex.net/de/sv/sv01/051/low.jpg", 1)</f>
        <v/>
      </c>
      <c r="B100" s="22"/>
      <c r="C100" s="20"/>
      <c r="D100" s="31" t="str">
        <f>IMAGE("https://assets.tcgdex.net/de/sv/sv01/052/low.jpg", 1)</f>
        <v/>
      </c>
      <c r="E100" s="22"/>
      <c r="F100" s="20"/>
      <c r="G100" s="31" t="str">
        <f>IMAGE("https://assets.tcgdex.net/de/sv/sv01/053/low.jpg", 1)</f>
        <v/>
      </c>
      <c r="H100" s="22"/>
      <c r="I100" s="20"/>
      <c r="J100" s="31" t="str">
        <f>IMAGE("https://assets.tcgdex.net/de/sv/sv01/057/low.jpg", 1)</f>
        <v/>
      </c>
      <c r="K100" s="22"/>
      <c r="L100" s="20"/>
      <c r="M100" s="31" t="str">
        <f>IMAGE("https://assets.tcgdex.net/de/sv/sv01/058/low.jpg", 1)</f>
        <v/>
      </c>
      <c r="N100" s="22"/>
      <c r="O100" s="20"/>
    </row>
    <row r="101" ht="22.5" customHeight="1">
      <c r="A101" s="33" t="b">
        <v>1</v>
      </c>
      <c r="B101" s="33" t="b">
        <v>1</v>
      </c>
      <c r="C101" s="34" t="str">
        <f>HYPERLINK("https://prices.pokemontcg.io/cardmarket/sv1-51", "CM")</f>
        <v>CM</v>
      </c>
      <c r="D101" s="33" t="b">
        <v>1</v>
      </c>
      <c r="E101" s="33" t="b">
        <v>1</v>
      </c>
      <c r="F101" s="34" t="str">
        <f>HYPERLINK("https://prices.pokemontcg.io/cardmarket/sv1-52", "CM")</f>
        <v>CM</v>
      </c>
      <c r="G101" s="33" t="b">
        <v>1</v>
      </c>
      <c r="H101" s="33" t="b">
        <v>1</v>
      </c>
      <c r="I101" s="34" t="str">
        <f>HYPERLINK("https://prices.pokemontcg.io/cardmarket/sv1-53", "CM")</f>
        <v>CM</v>
      </c>
      <c r="J101" s="33" t="b">
        <v>1</v>
      </c>
      <c r="K101" s="33" t="b">
        <v>1</v>
      </c>
      <c r="L101" s="34" t="str">
        <f>HYPERLINK("https://prices.pokemontcg.io/cardmarket/sv1-57", "CM")</f>
        <v>CM</v>
      </c>
      <c r="M101" s="33" t="b">
        <v>1</v>
      </c>
      <c r="N101" s="33" t="b">
        <v>1</v>
      </c>
      <c r="O101" s="34" t="str">
        <f>HYPERLINK("https://prices.pokemontcg.io/cardmarket/sv1-58", "CM")</f>
        <v>CM</v>
      </c>
    </row>
    <row r="102" ht="7.5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</row>
    <row r="103" ht="18.75" customHeight="1">
      <c r="A103" s="27" t="s">
        <v>591</v>
      </c>
      <c r="B103" s="28" t="s">
        <v>1267</v>
      </c>
      <c r="C103" s="20"/>
      <c r="D103" s="27" t="s">
        <v>784</v>
      </c>
      <c r="E103" s="28" t="s">
        <v>1268</v>
      </c>
      <c r="F103" s="20"/>
      <c r="G103" s="27" t="s">
        <v>788</v>
      </c>
      <c r="H103" s="28" t="s">
        <v>1190</v>
      </c>
      <c r="I103" s="20"/>
      <c r="J103" s="27" t="s">
        <v>790</v>
      </c>
      <c r="K103" s="28" t="s">
        <v>641</v>
      </c>
      <c r="L103" s="20"/>
      <c r="M103" s="27" t="s">
        <v>791</v>
      </c>
      <c r="N103" s="28" t="s">
        <v>534</v>
      </c>
      <c r="O103" s="20"/>
    </row>
    <row r="104" ht="180.0" customHeight="1">
      <c r="A104" s="31" t="str">
        <f>IMAGE("https://assets.tcgdex.net/de/sv/sv01/059/low.jpg", 1)</f>
        <v/>
      </c>
      <c r="B104" s="22"/>
      <c r="C104" s="20"/>
      <c r="D104" s="31" t="str">
        <f>IMAGE("https://assets.tcgdex.net/de/sv/sv01/063/low.jpg", 1)</f>
        <v/>
      </c>
      <c r="E104" s="22"/>
      <c r="F104" s="20"/>
      <c r="G104" s="31" t="str">
        <f>IMAGE("https://assets.tcgdex.net/de/sv/sv01/065/low.jpg", 1)</f>
        <v/>
      </c>
      <c r="H104" s="22"/>
      <c r="I104" s="20"/>
      <c r="J104" s="31" t="str">
        <f>IMAGE("https://assets.tcgdex.net/de/sv/sv01/066/low.jpg", 1)</f>
        <v/>
      </c>
      <c r="K104" s="22"/>
      <c r="L104" s="20"/>
      <c r="M104" s="31" t="str">
        <f>IMAGE("https://assets.tcgdex.net/de/sv/sv01/067/low.jpg", 1)</f>
        <v/>
      </c>
      <c r="N104" s="22"/>
      <c r="O104" s="20"/>
    </row>
    <row r="105" ht="22.5" customHeight="1">
      <c r="A105" s="33" t="b">
        <v>1</v>
      </c>
      <c r="B105" s="33" t="b">
        <v>1</v>
      </c>
      <c r="C105" s="34" t="str">
        <f>HYPERLINK("https://prices.pokemontcg.io/cardmarket/sv1-59", "CM")</f>
        <v>CM</v>
      </c>
      <c r="D105" s="33" t="b">
        <v>1</v>
      </c>
      <c r="E105" s="33" t="b">
        <v>1</v>
      </c>
      <c r="F105" s="34" t="str">
        <f>HYPERLINK("https://prices.pokemontcg.io/cardmarket/sv1-63", "CM")</f>
        <v>CM</v>
      </c>
      <c r="G105" s="33" t="b">
        <v>1</v>
      </c>
      <c r="H105" s="33" t="b">
        <v>1</v>
      </c>
      <c r="I105" s="34" t="str">
        <f>HYPERLINK("https://prices.pokemontcg.io/cardmarket/sv1-65", "CM")</f>
        <v>CM</v>
      </c>
      <c r="J105" s="33" t="b">
        <v>1</v>
      </c>
      <c r="K105" s="33" t="b">
        <v>1</v>
      </c>
      <c r="L105" s="34" t="str">
        <f>HYPERLINK("https://prices.pokemontcg.io/cardmarket/sv1-66", "CM")</f>
        <v>CM</v>
      </c>
      <c r="M105" s="33" t="b">
        <v>1</v>
      </c>
      <c r="N105" s="33" t="b">
        <v>1</v>
      </c>
      <c r="O105" s="34" t="str">
        <f>HYPERLINK("https://prices.pokemontcg.io/cardmarket/sv1-67", "CM")</f>
        <v>CM</v>
      </c>
    </row>
    <row r="106" ht="7.5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</row>
    <row r="107" ht="18.75" customHeight="1">
      <c r="A107" s="27" t="s">
        <v>793</v>
      </c>
      <c r="B107" s="28" t="s">
        <v>694</v>
      </c>
      <c r="C107" s="20"/>
      <c r="D107" s="27" t="s">
        <v>797</v>
      </c>
      <c r="E107" s="28" t="s">
        <v>1215</v>
      </c>
      <c r="F107" s="20"/>
      <c r="G107" s="27" t="s">
        <v>799</v>
      </c>
      <c r="H107" s="28" t="s">
        <v>658</v>
      </c>
      <c r="I107" s="20"/>
      <c r="J107" s="27" t="s">
        <v>801</v>
      </c>
      <c r="K107" s="28" t="s">
        <v>1269</v>
      </c>
      <c r="L107" s="20"/>
      <c r="M107" s="27" t="s">
        <v>803</v>
      </c>
      <c r="N107" s="28" t="s">
        <v>576</v>
      </c>
      <c r="O107" s="20"/>
    </row>
    <row r="108" ht="180.0" customHeight="1">
      <c r="A108" s="31" t="str">
        <f>IMAGE("https://assets.tcgdex.net/de/sv/sv01/068/low.jpg", 1)</f>
        <v/>
      </c>
      <c r="B108" s="22"/>
      <c r="C108" s="20"/>
      <c r="D108" s="31" t="str">
        <f>IMAGE("https://assets.tcgdex.net/de/sv/sv01/070/low.jpg", 1)</f>
        <v/>
      </c>
      <c r="E108" s="22"/>
      <c r="F108" s="20"/>
      <c r="G108" s="31" t="str">
        <f>IMAGE("https://assets.tcgdex.net/de/sv/sv01/071/low.jpg", 1)</f>
        <v/>
      </c>
      <c r="H108" s="22"/>
      <c r="I108" s="20"/>
      <c r="J108" s="31" t="str">
        <f>IMAGE("https://assets.tcgdex.net/de/sv/sv01/072/low.jpg", 1)</f>
        <v/>
      </c>
      <c r="K108" s="22"/>
      <c r="L108" s="20"/>
      <c r="M108" s="31" t="str">
        <f>IMAGE("https://assets.tcgdex.net/de/sv/sv01/073/low.jpg", 1)</f>
        <v/>
      </c>
      <c r="N108" s="22"/>
      <c r="O108" s="20"/>
    </row>
    <row r="109" ht="22.5" customHeight="1">
      <c r="A109" s="33" t="b">
        <v>1</v>
      </c>
      <c r="B109" s="33" t="b">
        <v>1</v>
      </c>
      <c r="C109" s="34" t="str">
        <f>HYPERLINK("https://prices.pokemontcg.io/cardmarket/sv1-68", "CM")</f>
        <v>CM</v>
      </c>
      <c r="D109" s="33" t="b">
        <v>1</v>
      </c>
      <c r="E109" s="33" t="b">
        <v>1</v>
      </c>
      <c r="F109" s="34" t="str">
        <f>HYPERLINK("https://prices.pokemontcg.io/cardmarket/sv1-70", "CM")</f>
        <v>CM</v>
      </c>
      <c r="G109" s="33" t="b">
        <v>1</v>
      </c>
      <c r="H109" s="33" t="b">
        <v>1</v>
      </c>
      <c r="I109" s="34" t="str">
        <f>HYPERLINK("https://prices.pokemontcg.io/cardmarket/sv1-71", "CM")</f>
        <v>CM</v>
      </c>
      <c r="J109" s="33" t="b">
        <v>1</v>
      </c>
      <c r="K109" s="33" t="b">
        <v>1</v>
      </c>
      <c r="L109" s="34" t="str">
        <f>HYPERLINK("https://prices.pokemontcg.io/cardmarket/sv1-72", "CM")</f>
        <v>CM</v>
      </c>
      <c r="M109" s="33" t="b">
        <v>1</v>
      </c>
      <c r="N109" s="33" t="b">
        <v>1</v>
      </c>
      <c r="O109" s="34" t="str">
        <f>HYPERLINK("https://prices.pokemontcg.io/cardmarket/sv1-73", "CM")</f>
        <v>CM</v>
      </c>
    </row>
    <row r="110" ht="7.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</row>
    <row r="111" ht="18.75" customHeight="1">
      <c r="A111" s="27" t="s">
        <v>805</v>
      </c>
      <c r="B111" s="28" t="s">
        <v>576</v>
      </c>
      <c r="C111" s="20"/>
      <c r="D111" s="27" t="s">
        <v>806</v>
      </c>
      <c r="E111" s="28" t="s">
        <v>1270</v>
      </c>
      <c r="F111" s="20"/>
      <c r="G111" s="27" t="s">
        <v>599</v>
      </c>
      <c r="H111" s="28" t="s">
        <v>1271</v>
      </c>
      <c r="I111" s="20"/>
      <c r="J111" s="27" t="s">
        <v>601</v>
      </c>
      <c r="K111" s="28" t="s">
        <v>624</v>
      </c>
      <c r="L111" s="20"/>
      <c r="M111" s="27" t="s">
        <v>603</v>
      </c>
      <c r="N111" s="28" t="s">
        <v>552</v>
      </c>
      <c r="O111" s="20"/>
    </row>
    <row r="112" ht="180.0" customHeight="1">
      <c r="A112" s="31" t="str">
        <f>IMAGE("https://assets.tcgdex.net/de/sv/sv01/074/low.jpg", 1)</f>
        <v/>
      </c>
      <c r="B112" s="22"/>
      <c r="C112" s="20"/>
      <c r="D112" s="31" t="str">
        <f>IMAGE("https://assets.tcgdex.net/de/sv/sv01/075/low.jpg", 1)</f>
        <v/>
      </c>
      <c r="E112" s="22"/>
      <c r="F112" s="20"/>
      <c r="G112" s="31" t="str">
        <f>IMAGE("https://assets.tcgdex.net/de/sv/sv01/079/low.jpg", 1)</f>
        <v/>
      </c>
      <c r="H112" s="22"/>
      <c r="I112" s="20"/>
      <c r="J112" s="31" t="str">
        <f>IMAGE("https://assets.tcgdex.net/de/sv/sv01/080/low.jpg", 1)</f>
        <v/>
      </c>
      <c r="K112" s="22"/>
      <c r="L112" s="20"/>
      <c r="M112" s="31" t="str">
        <f>IMAGE("https://assets.tcgdex.net/de/sv/sv01/081/low.jpg", 1)</f>
        <v/>
      </c>
      <c r="N112" s="22"/>
      <c r="O112" s="20"/>
    </row>
    <row r="113" ht="22.5" customHeight="1">
      <c r="A113" s="33" t="b">
        <v>1</v>
      </c>
      <c r="B113" s="33" t="b">
        <v>1</v>
      </c>
      <c r="C113" s="34" t="str">
        <f>HYPERLINK("https://prices.pokemontcg.io/cardmarket/sv1-74", "CM")</f>
        <v>CM</v>
      </c>
      <c r="D113" s="33" t="b">
        <v>1</v>
      </c>
      <c r="E113" s="33" t="b">
        <v>1</v>
      </c>
      <c r="F113" s="34" t="str">
        <f>HYPERLINK("https://prices.pokemontcg.io/cardmarket/sv1-75", "CM")</f>
        <v>CM</v>
      </c>
      <c r="G113" s="33" t="b">
        <v>1</v>
      </c>
      <c r="H113" s="33" t="b">
        <v>1</v>
      </c>
      <c r="I113" s="34" t="str">
        <f>HYPERLINK("https://prices.pokemontcg.io/cardmarket/sv1-79", "CM")</f>
        <v>CM</v>
      </c>
      <c r="J113" s="33" t="b">
        <v>1</v>
      </c>
      <c r="K113" s="33" t="b">
        <v>1</v>
      </c>
      <c r="L113" s="34" t="str">
        <f>HYPERLINK("https://prices.pokemontcg.io/cardmarket/sv1-80", "CM")</f>
        <v>CM</v>
      </c>
      <c r="M113" s="33" t="b">
        <v>1</v>
      </c>
      <c r="N113" s="33" t="b">
        <v>1</v>
      </c>
      <c r="O113" s="34" t="str">
        <f>HYPERLINK("https://prices.pokemontcg.io/cardmarket/sv1-81", "CM")</f>
        <v>CM</v>
      </c>
    </row>
    <row r="114" ht="7.5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</row>
    <row r="115" ht="18.75" customHeight="1">
      <c r="A115" s="27" t="s">
        <v>606</v>
      </c>
      <c r="B115" s="28" t="s">
        <v>1272</v>
      </c>
      <c r="C115" s="20"/>
      <c r="D115" s="27" t="s">
        <v>608</v>
      </c>
      <c r="E115" s="28" t="s">
        <v>1273</v>
      </c>
      <c r="F115" s="20"/>
      <c r="G115" s="27" t="s">
        <v>609</v>
      </c>
      <c r="H115" s="28" t="s">
        <v>1274</v>
      </c>
      <c r="I115" s="20"/>
      <c r="J115" s="27" t="s">
        <v>611</v>
      </c>
      <c r="K115" s="28" t="s">
        <v>1275</v>
      </c>
      <c r="L115" s="20"/>
      <c r="M115" s="27" t="s">
        <v>613</v>
      </c>
      <c r="N115" s="28" t="s">
        <v>1276</v>
      </c>
      <c r="O115" s="20"/>
    </row>
    <row r="116" ht="180.0" customHeight="1">
      <c r="A116" s="31" t="str">
        <f>IMAGE("https://assets.tcgdex.net/de/sv/sv01/083/low.jpg", 1)</f>
        <v/>
      </c>
      <c r="B116" s="22"/>
      <c r="C116" s="20"/>
      <c r="D116" s="31" t="str">
        <f>IMAGE("https://assets.tcgdex.net/de/sv/sv01/084/low.jpg", 1)</f>
        <v/>
      </c>
      <c r="E116" s="22"/>
      <c r="F116" s="20"/>
      <c r="G116" s="31" t="str">
        <f>IMAGE("https://assets.tcgdex.net/de/sv/sv01/085/low.jpg", 1)</f>
        <v/>
      </c>
      <c r="H116" s="22"/>
      <c r="I116" s="20"/>
      <c r="J116" s="31" t="str">
        <f>IMAGE("https://assets.tcgdex.net/de/sv/sv01/086/low.jpg", 1)</f>
        <v/>
      </c>
      <c r="K116" s="22"/>
      <c r="L116" s="20"/>
      <c r="M116" s="31" t="str">
        <f>IMAGE("https://assets.tcgdex.net/de/sv/sv01/087/low.jpg", 1)</f>
        <v/>
      </c>
      <c r="N116" s="22"/>
      <c r="O116" s="20"/>
    </row>
    <row r="117" ht="22.5" customHeight="1">
      <c r="A117" s="33" t="b">
        <v>1</v>
      </c>
      <c r="B117" s="33" t="b">
        <v>1</v>
      </c>
      <c r="C117" s="34" t="str">
        <f>HYPERLINK("https://prices.pokemontcg.io/cardmarket/sv1-83", "CM")</f>
        <v>CM</v>
      </c>
      <c r="D117" s="33" t="b">
        <v>1</v>
      </c>
      <c r="E117" s="33" t="b">
        <v>1</v>
      </c>
      <c r="F117" s="34" t="str">
        <f>HYPERLINK("https://prices.pokemontcg.io/cardmarket/sv1-84", "CM")</f>
        <v>CM</v>
      </c>
      <c r="G117" s="33" t="b">
        <v>1</v>
      </c>
      <c r="H117" s="33" t="b">
        <v>1</v>
      </c>
      <c r="I117" s="34" t="str">
        <f>HYPERLINK("https://prices.pokemontcg.io/cardmarket/sv1-85", "CM")</f>
        <v>CM</v>
      </c>
      <c r="J117" s="33" t="b">
        <v>1</v>
      </c>
      <c r="K117" s="33" t="b">
        <v>1</v>
      </c>
      <c r="L117" s="34" t="str">
        <f>HYPERLINK("https://prices.pokemontcg.io/cardmarket/sv1-86", "CM")</f>
        <v>CM</v>
      </c>
      <c r="M117" s="33" t="b">
        <v>1</v>
      </c>
      <c r="N117" s="33" t="b">
        <v>1</v>
      </c>
      <c r="O117" s="34" t="str">
        <f>HYPERLINK("https://prices.pokemontcg.io/cardmarket/sv1-87", "CM")</f>
        <v>CM</v>
      </c>
    </row>
    <row r="118" ht="7.5" customHeigh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</row>
    <row r="119" ht="18.75" customHeight="1">
      <c r="A119" s="27" t="s">
        <v>615</v>
      </c>
      <c r="B119" s="28" t="s">
        <v>1192</v>
      </c>
      <c r="C119" s="20"/>
      <c r="D119" s="27" t="s">
        <v>621</v>
      </c>
      <c r="E119" s="28" t="s">
        <v>1277</v>
      </c>
      <c r="F119" s="20"/>
      <c r="G119" s="27" t="s">
        <v>623</v>
      </c>
      <c r="H119" s="28" t="s">
        <v>1278</v>
      </c>
      <c r="I119" s="20"/>
      <c r="J119" s="27" t="s">
        <v>625</v>
      </c>
      <c r="K119" s="28" t="s">
        <v>1279</v>
      </c>
      <c r="L119" s="20"/>
      <c r="M119" s="27" t="s">
        <v>815</v>
      </c>
      <c r="N119" s="28" t="s">
        <v>796</v>
      </c>
      <c r="O119" s="20"/>
    </row>
    <row r="120" ht="180.0" customHeight="1">
      <c r="A120" s="31" t="str">
        <f>IMAGE("https://assets.tcgdex.net/de/sv/sv01/088/low.jpg", 1)</f>
        <v/>
      </c>
      <c r="B120" s="22"/>
      <c r="C120" s="20"/>
      <c r="D120" s="31" t="str">
        <f>IMAGE("https://assets.tcgdex.net/de/sv/sv01/091/low.jpg", 1)</f>
        <v/>
      </c>
      <c r="E120" s="22"/>
      <c r="F120" s="20"/>
      <c r="G120" s="31" t="str">
        <f>IMAGE("https://assets.tcgdex.net/de/sv/sv01/092/low.jpg", 1)</f>
        <v/>
      </c>
      <c r="H120" s="22"/>
      <c r="I120" s="20"/>
      <c r="J120" s="31" t="str">
        <f>IMAGE("https://assets.tcgdex.net/de/sv/sv01/093/low.jpg", 1)</f>
        <v/>
      </c>
      <c r="K120" s="22"/>
      <c r="L120" s="20"/>
      <c r="M120" s="31" t="str">
        <f>IMAGE("https://assets.tcgdex.net/de/sv/sv01/097/low.jpg", 1)</f>
        <v/>
      </c>
      <c r="N120" s="22"/>
      <c r="O120" s="20"/>
    </row>
    <row r="121" ht="22.5" customHeight="1">
      <c r="A121" s="33" t="b">
        <v>1</v>
      </c>
      <c r="B121" s="33" t="b">
        <v>1</v>
      </c>
      <c r="C121" s="34" t="str">
        <f>HYPERLINK("https://prices.pokemontcg.io/cardmarket/sv1-88", "CM")</f>
        <v>CM</v>
      </c>
      <c r="D121" s="33" t="b">
        <v>1</v>
      </c>
      <c r="E121" s="33" t="b">
        <v>1</v>
      </c>
      <c r="F121" s="34" t="str">
        <f>HYPERLINK("https://prices.pokemontcg.io/cardmarket/sv1-91", "CM")</f>
        <v>CM</v>
      </c>
      <c r="G121" s="33" t="b">
        <v>1</v>
      </c>
      <c r="H121" s="33" t="b">
        <v>1</v>
      </c>
      <c r="I121" s="34" t="str">
        <f>HYPERLINK("https://prices.pokemontcg.io/cardmarket/sv1-92", "CM")</f>
        <v>CM</v>
      </c>
      <c r="J121" s="33" t="b">
        <v>1</v>
      </c>
      <c r="K121" s="33" t="b">
        <v>1</v>
      </c>
      <c r="L121" s="34" t="str">
        <f>HYPERLINK("https://prices.pokemontcg.io/cardmarket/sv1-93", "CM")</f>
        <v>CM</v>
      </c>
      <c r="M121" s="33" t="b">
        <v>1</v>
      </c>
      <c r="N121" s="33" t="b">
        <v>1</v>
      </c>
      <c r="O121" s="34" t="str">
        <f>HYPERLINK("https://prices.pokemontcg.io/cardmarket/sv1-97", "CM")</f>
        <v>CM</v>
      </c>
    </row>
    <row r="122" ht="7.5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</row>
    <row r="123" ht="18.75" customHeight="1">
      <c r="A123" s="27" t="s">
        <v>817</v>
      </c>
      <c r="B123" s="28" t="s">
        <v>796</v>
      </c>
      <c r="C123" s="20"/>
      <c r="D123" s="27" t="s">
        <v>819</v>
      </c>
      <c r="E123" s="28" t="s">
        <v>1280</v>
      </c>
      <c r="F123" s="20"/>
      <c r="G123" s="27" t="s">
        <v>629</v>
      </c>
      <c r="H123" s="28" t="s">
        <v>1220</v>
      </c>
      <c r="I123" s="20"/>
      <c r="J123" s="27" t="s">
        <v>632</v>
      </c>
      <c r="K123" s="28" t="s">
        <v>749</v>
      </c>
      <c r="L123" s="20"/>
      <c r="M123" s="27" t="s">
        <v>636</v>
      </c>
      <c r="N123" s="28" t="s">
        <v>798</v>
      </c>
      <c r="O123" s="20"/>
    </row>
    <row r="124" ht="180.0" customHeight="1">
      <c r="A124" s="31" t="str">
        <f>IMAGE("https://assets.tcgdex.net/de/sv/sv01/098/low.jpg", 1)</f>
        <v/>
      </c>
      <c r="B124" s="22"/>
      <c r="C124" s="20"/>
      <c r="D124" s="31" t="str">
        <f>IMAGE("https://assets.tcgdex.net/de/sv/sv01/099/low.jpg", 1)</f>
        <v/>
      </c>
      <c r="E124" s="22"/>
      <c r="F124" s="20"/>
      <c r="G124" s="31" t="str">
        <f>IMAGE("https://assets.tcgdex.net/de/sv/sv01/101/low.jpg", 1)</f>
        <v/>
      </c>
      <c r="H124" s="22"/>
      <c r="I124" s="20"/>
      <c r="J124" s="31" t="str">
        <f>IMAGE("https://assets.tcgdex.net/de/sv/sv01/103/low.jpg", 1)</f>
        <v/>
      </c>
      <c r="K124" s="22"/>
      <c r="L124" s="20"/>
      <c r="M124" s="31" t="str">
        <f>IMAGE("https://assets.tcgdex.net/de/sv/sv01/105/low.jpg", 1)</f>
        <v/>
      </c>
      <c r="N124" s="22"/>
      <c r="O124" s="20"/>
    </row>
    <row r="125" ht="22.5" customHeight="1">
      <c r="A125" s="33" t="b">
        <v>1</v>
      </c>
      <c r="B125" s="33" t="b">
        <v>1</v>
      </c>
      <c r="C125" s="34" t="str">
        <f>HYPERLINK("https://prices.pokemontcg.io/cardmarket/sv1-98", "CM")</f>
        <v>CM</v>
      </c>
      <c r="D125" s="33" t="b">
        <v>1</v>
      </c>
      <c r="E125" s="33" t="b">
        <v>1</v>
      </c>
      <c r="F125" s="34" t="str">
        <f>HYPERLINK("https://prices.pokemontcg.io/cardmarket/sv1-99", "CM")</f>
        <v>CM</v>
      </c>
      <c r="G125" s="33" t="b">
        <v>1</v>
      </c>
      <c r="H125" s="33" t="b">
        <v>1</v>
      </c>
      <c r="I125" s="34" t="str">
        <f>HYPERLINK("https://prices.pokemontcg.io/cardmarket/sv1-101", "CM")</f>
        <v>CM</v>
      </c>
      <c r="J125" s="33" t="b">
        <v>1</v>
      </c>
      <c r="K125" s="33" t="b">
        <v>1</v>
      </c>
      <c r="L125" s="34" t="str">
        <f>HYPERLINK("https://prices.pokemontcg.io/cardmarket/sv1-103", "CM")</f>
        <v>CM</v>
      </c>
      <c r="M125" s="33" t="b">
        <v>1</v>
      </c>
      <c r="N125" s="33" t="b">
        <v>1</v>
      </c>
      <c r="O125" s="34" t="str">
        <f>HYPERLINK("https://prices.pokemontcg.io/cardmarket/sv1-105", "CM")</f>
        <v>CM</v>
      </c>
    </row>
    <row r="126" ht="7.5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</row>
    <row r="127" ht="18.75" customHeight="1">
      <c r="A127" s="27" t="s">
        <v>638</v>
      </c>
      <c r="B127" s="28" t="s">
        <v>580</v>
      </c>
      <c r="C127" s="20"/>
      <c r="D127" s="27" t="s">
        <v>640</v>
      </c>
      <c r="E127" s="28" t="s">
        <v>1281</v>
      </c>
      <c r="F127" s="20"/>
      <c r="G127" s="27" t="s">
        <v>642</v>
      </c>
      <c r="H127" s="28" t="s">
        <v>1282</v>
      </c>
      <c r="I127" s="20"/>
      <c r="J127" s="27" t="s">
        <v>643</v>
      </c>
      <c r="K127" s="28" t="s">
        <v>1283</v>
      </c>
      <c r="L127" s="20"/>
      <c r="M127" s="27" t="s">
        <v>645</v>
      </c>
      <c r="N127" s="28" t="s">
        <v>1284</v>
      </c>
      <c r="O127" s="20"/>
    </row>
    <row r="128" ht="180.0" customHeight="1">
      <c r="A128" s="31" t="str">
        <f>IMAGE("https://assets.tcgdex.net/de/sv/sv01/106/low.jpg", 1)</f>
        <v/>
      </c>
      <c r="B128" s="22"/>
      <c r="C128" s="20"/>
      <c r="D128" s="31" t="str">
        <f>IMAGE("https://assets.tcgdex.net/de/sv/sv01/107/low.jpg", 1)</f>
        <v/>
      </c>
      <c r="E128" s="22"/>
      <c r="F128" s="20"/>
      <c r="G128" s="31" t="str">
        <f>IMAGE("https://assets.tcgdex.net/de/sv/sv01/108/low.jpg", 1)</f>
        <v/>
      </c>
      <c r="H128" s="22"/>
      <c r="I128" s="20"/>
      <c r="J128" s="31" t="str">
        <f>IMAGE("https://assets.tcgdex.net/de/sv/sv01/109/low.jpg", 1)</f>
        <v/>
      </c>
      <c r="K128" s="22"/>
      <c r="L128" s="20"/>
      <c r="M128" s="31" t="str">
        <f>IMAGE("https://assets.tcgdex.net/de/sv/sv01/110/low.jpg", 1)</f>
        <v/>
      </c>
      <c r="N128" s="22"/>
      <c r="O128" s="20"/>
    </row>
    <row r="129" ht="22.5" customHeight="1">
      <c r="A129" s="33" t="b">
        <v>1</v>
      </c>
      <c r="B129" s="33" t="b">
        <v>1</v>
      </c>
      <c r="C129" s="34" t="str">
        <f>HYPERLINK("https://prices.pokemontcg.io/cardmarket/sv1-106", "CM")</f>
        <v>CM</v>
      </c>
      <c r="D129" s="33" t="b">
        <v>1</v>
      </c>
      <c r="E129" s="33" t="b">
        <v>1</v>
      </c>
      <c r="F129" s="34" t="str">
        <f>HYPERLINK("https://prices.pokemontcg.io/cardmarket/sv1-107", "CM")</f>
        <v>CM</v>
      </c>
      <c r="G129" s="33" t="b">
        <v>1</v>
      </c>
      <c r="H129" s="33" t="b">
        <v>1</v>
      </c>
      <c r="I129" s="34" t="str">
        <f>HYPERLINK("https://prices.pokemontcg.io/cardmarket/sv1-108", "CM")</f>
        <v>CM</v>
      </c>
      <c r="J129" s="33" t="b">
        <v>1</v>
      </c>
      <c r="K129" s="33" t="b">
        <v>1</v>
      </c>
      <c r="L129" s="34" t="str">
        <f>HYPERLINK("https://prices.pokemontcg.io/cardmarket/sv1-109", "CM")</f>
        <v>CM</v>
      </c>
      <c r="M129" s="33" t="b">
        <v>1</v>
      </c>
      <c r="N129" s="33" t="b">
        <v>1</v>
      </c>
      <c r="O129" s="34" t="str">
        <f>HYPERLINK("https://prices.pokemontcg.io/cardmarket/sv1-110", "CM")</f>
        <v>CM</v>
      </c>
    </row>
    <row r="130" ht="7.5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</row>
    <row r="131" ht="18.75" customHeight="1">
      <c r="A131" s="27" t="s">
        <v>651</v>
      </c>
      <c r="B131" s="28" t="s">
        <v>998</v>
      </c>
      <c r="C131" s="20"/>
      <c r="D131" s="27" t="s">
        <v>653</v>
      </c>
      <c r="E131" s="28" t="s">
        <v>1285</v>
      </c>
      <c r="F131" s="20"/>
      <c r="G131" s="27" t="s">
        <v>825</v>
      </c>
      <c r="H131" s="28" t="s">
        <v>1006</v>
      </c>
      <c r="I131" s="20"/>
      <c r="J131" s="27" t="s">
        <v>655</v>
      </c>
      <c r="K131" s="28" t="s">
        <v>1286</v>
      </c>
      <c r="L131" s="20"/>
      <c r="M131" s="27" t="s">
        <v>657</v>
      </c>
      <c r="N131" s="28" t="s">
        <v>1287</v>
      </c>
      <c r="O131" s="20"/>
    </row>
    <row r="132" ht="180.0" customHeight="1">
      <c r="A132" s="31" t="str">
        <f>IMAGE("https://assets.tcgdex.net/de/sv/sv01/113/low.jpg", 1)</f>
        <v/>
      </c>
      <c r="B132" s="22"/>
      <c r="C132" s="20"/>
      <c r="D132" s="31" t="str">
        <f>IMAGE("https://assets.tcgdex.net/de/sv/sv01/115/low.jpg", 1)</f>
        <v/>
      </c>
      <c r="E132" s="22"/>
      <c r="F132" s="20"/>
      <c r="G132" s="31" t="str">
        <f>IMAGE("https://assets.tcgdex.net/de/sv/sv01/116/low.jpg", 1)</f>
        <v/>
      </c>
      <c r="H132" s="22"/>
      <c r="I132" s="20"/>
      <c r="J132" s="31" t="str">
        <f>IMAGE("https://assets.tcgdex.net/de/sv/sv01/117/low.jpg", 1)</f>
        <v/>
      </c>
      <c r="K132" s="22"/>
      <c r="L132" s="20"/>
      <c r="M132" s="31" t="str">
        <f>IMAGE("https://assets.tcgdex.net/de/sv/sv01/119/low.jpg", 1)</f>
        <v/>
      </c>
      <c r="N132" s="22"/>
      <c r="O132" s="20"/>
    </row>
    <row r="133" ht="22.5" customHeight="1">
      <c r="A133" s="33" t="b">
        <v>1</v>
      </c>
      <c r="B133" s="33" t="b">
        <v>1</v>
      </c>
      <c r="C133" s="34" t="str">
        <f>HYPERLINK("https://prices.pokemontcg.io/cardmarket/sv1-113", "CM")</f>
        <v>CM</v>
      </c>
      <c r="D133" s="33" t="b">
        <v>1</v>
      </c>
      <c r="E133" s="33" t="b">
        <v>1</v>
      </c>
      <c r="F133" s="34" t="str">
        <f>HYPERLINK("https://prices.pokemontcg.io/cardmarket/sv1-115", "CM")</f>
        <v>CM</v>
      </c>
      <c r="G133" s="33" t="b">
        <v>1</v>
      </c>
      <c r="H133" s="33" t="b">
        <v>1</v>
      </c>
      <c r="I133" s="34" t="str">
        <f>HYPERLINK("https://prices.pokemontcg.io/cardmarket/sv1-116", "CM")</f>
        <v>CM</v>
      </c>
      <c r="J133" s="33" t="b">
        <v>1</v>
      </c>
      <c r="K133" s="33" t="b">
        <v>1</v>
      </c>
      <c r="L133" s="34" t="str">
        <f>HYPERLINK("https://prices.pokemontcg.io/cardmarket/sv1-117", "CM")</f>
        <v>CM</v>
      </c>
      <c r="M133" s="33" t="b">
        <v>1</v>
      </c>
      <c r="N133" s="33" t="b">
        <v>1</v>
      </c>
      <c r="O133" s="34" t="str">
        <f>HYPERLINK("https://prices.pokemontcg.io/cardmarket/sv1-119", "CM")</f>
        <v>CM</v>
      </c>
    </row>
    <row r="134" ht="7.5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</row>
    <row r="135" ht="18.75" customHeight="1">
      <c r="A135" s="27" t="s">
        <v>659</v>
      </c>
      <c r="B135" s="28" t="s">
        <v>1288</v>
      </c>
      <c r="C135" s="20"/>
      <c r="D135" s="27" t="s">
        <v>831</v>
      </c>
      <c r="E135" s="28" t="s">
        <v>802</v>
      </c>
      <c r="F135" s="20"/>
      <c r="G135" s="27" t="s">
        <v>661</v>
      </c>
      <c r="H135" s="28" t="s">
        <v>554</v>
      </c>
      <c r="I135" s="20"/>
      <c r="J135" s="27" t="s">
        <v>835</v>
      </c>
      <c r="K135" s="28" t="s">
        <v>1289</v>
      </c>
      <c r="L135" s="20"/>
      <c r="M135" s="27" t="s">
        <v>662</v>
      </c>
      <c r="N135" s="28" t="s">
        <v>1290</v>
      </c>
      <c r="O135" s="20"/>
    </row>
    <row r="136" ht="180.0" customHeight="1">
      <c r="A136" s="31" t="str">
        <f>IMAGE("https://assets.tcgdex.net/de/sv/sv01/120/low.jpg", 1)</f>
        <v/>
      </c>
      <c r="B136" s="22"/>
      <c r="C136" s="20"/>
      <c r="D136" s="31" t="str">
        <f>IMAGE("https://assets.tcgdex.net/de/sv/sv01/123/low.jpg", 1)</f>
        <v/>
      </c>
      <c r="E136" s="22"/>
      <c r="F136" s="20"/>
      <c r="G136" s="31" t="str">
        <f>IMAGE("https://assets.tcgdex.net/de/sv/sv01/125/low.jpg", 1)</f>
        <v/>
      </c>
      <c r="H136" s="22"/>
      <c r="I136" s="20"/>
      <c r="J136" s="31" t="str">
        <f>IMAGE("https://assets.tcgdex.net/de/sv/sv01/126/low.jpg", 1)</f>
        <v/>
      </c>
      <c r="K136" s="22"/>
      <c r="L136" s="20"/>
      <c r="M136" s="31" t="str">
        <f>IMAGE("https://assets.tcgdex.net/de/sv/sv01/127/low.jpg", 1)</f>
        <v/>
      </c>
      <c r="N136" s="22"/>
      <c r="O136" s="20"/>
    </row>
    <row r="137" ht="22.5" customHeight="1">
      <c r="A137" s="33" t="b">
        <v>1</v>
      </c>
      <c r="B137" s="33" t="b">
        <v>1</v>
      </c>
      <c r="C137" s="34" t="str">
        <f>HYPERLINK("https://prices.pokemontcg.io/cardmarket/sv1-120", "CM")</f>
        <v>CM</v>
      </c>
      <c r="D137" s="33" t="b">
        <v>1</v>
      </c>
      <c r="E137" s="33" t="b">
        <v>1</v>
      </c>
      <c r="F137" s="34" t="str">
        <f>HYPERLINK("https://prices.pokemontcg.io/cardmarket/sv1-123", "CM")</f>
        <v>CM</v>
      </c>
      <c r="G137" s="33" t="b">
        <v>1</v>
      </c>
      <c r="H137" s="33" t="b">
        <v>1</v>
      </c>
      <c r="I137" s="34" t="str">
        <f>HYPERLINK("https://prices.pokemontcg.io/cardmarket/sv1-125", "CM")</f>
        <v>CM</v>
      </c>
      <c r="J137" s="33" t="b">
        <v>1</v>
      </c>
      <c r="K137" s="33" t="b">
        <v>1</v>
      </c>
      <c r="L137" s="34" t="str">
        <f>HYPERLINK("https://prices.pokemontcg.io/cardmarket/sv1-126", "CM")</f>
        <v>CM</v>
      </c>
      <c r="M137" s="33" t="b">
        <v>1</v>
      </c>
      <c r="N137" s="33" t="b">
        <v>1</v>
      </c>
      <c r="O137" s="34" t="str">
        <f>HYPERLINK("https://prices.pokemontcg.io/cardmarket/sv1-127", "CM")</f>
        <v>CM</v>
      </c>
    </row>
    <row r="138" ht="7.5" customHeight="1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</row>
    <row r="139" ht="18.75" customHeight="1">
      <c r="A139" s="27" t="s">
        <v>839</v>
      </c>
      <c r="B139" s="28" t="s">
        <v>1291</v>
      </c>
      <c r="C139" s="20"/>
      <c r="D139" s="27" t="s">
        <v>841</v>
      </c>
      <c r="E139" s="28" t="s">
        <v>1292</v>
      </c>
      <c r="F139" s="20"/>
      <c r="G139" s="27" t="s">
        <v>842</v>
      </c>
      <c r="H139" s="28" t="s">
        <v>1293</v>
      </c>
      <c r="I139" s="20"/>
      <c r="J139" s="27" t="s">
        <v>844</v>
      </c>
      <c r="K139" s="28" t="s">
        <v>648</v>
      </c>
      <c r="L139" s="20"/>
      <c r="M139" s="27" t="s">
        <v>664</v>
      </c>
      <c r="N139" s="28" t="s">
        <v>650</v>
      </c>
      <c r="O139" s="20"/>
    </row>
    <row r="140" ht="180.0" customHeight="1">
      <c r="A140" s="31" t="str">
        <f>IMAGE("https://assets.tcgdex.net/de/sv/sv01/129/low.jpg", 1)</f>
        <v/>
      </c>
      <c r="B140" s="22"/>
      <c r="C140" s="20"/>
      <c r="D140" s="31" t="str">
        <f>IMAGE("https://assets.tcgdex.net/de/sv/sv01/130/low.jpg", 1)</f>
        <v/>
      </c>
      <c r="E140" s="22"/>
      <c r="F140" s="20"/>
      <c r="G140" s="31" t="str">
        <f>IMAGE("https://assets.tcgdex.net/de/sv/sv01/131/low.jpg", 1)</f>
        <v/>
      </c>
      <c r="H140" s="22"/>
      <c r="I140" s="20"/>
      <c r="J140" s="31" t="str">
        <f>IMAGE("https://assets.tcgdex.net/de/sv/sv01/132/low.jpg", 1)</f>
        <v/>
      </c>
      <c r="K140" s="22"/>
      <c r="L140" s="20"/>
      <c r="M140" s="31" t="str">
        <f>IMAGE("https://assets.tcgdex.net/de/sv/sv01/133/low.jpg", 1)</f>
        <v/>
      </c>
      <c r="N140" s="22"/>
      <c r="O140" s="20"/>
    </row>
    <row r="141" ht="22.5" customHeight="1">
      <c r="A141" s="33" t="b">
        <v>1</v>
      </c>
      <c r="B141" s="33" t="b">
        <v>1</v>
      </c>
      <c r="C141" s="34" t="str">
        <f>HYPERLINK("https://prices.pokemontcg.io/cardmarket/sv1-129", "CM")</f>
        <v>CM</v>
      </c>
      <c r="D141" s="33" t="b">
        <v>1</v>
      </c>
      <c r="E141" s="33" t="b">
        <v>1</v>
      </c>
      <c r="F141" s="34" t="str">
        <f>HYPERLINK("https://prices.pokemontcg.io/cardmarket/sv1-130", "CM")</f>
        <v>CM</v>
      </c>
      <c r="G141" s="33" t="b">
        <v>1</v>
      </c>
      <c r="H141" s="33" t="b">
        <v>1</v>
      </c>
      <c r="I141" s="34" t="str">
        <f>HYPERLINK("https://prices.pokemontcg.io/cardmarket/sv1-131", "CM")</f>
        <v>CM</v>
      </c>
      <c r="J141" s="33" t="b">
        <v>1</v>
      </c>
      <c r="K141" s="33" t="b">
        <v>1</v>
      </c>
      <c r="L141" s="34" t="str">
        <f>HYPERLINK("https://prices.pokemontcg.io/cardmarket/sv1-132", "CM")</f>
        <v>CM</v>
      </c>
      <c r="M141" s="33" t="b">
        <v>1</v>
      </c>
      <c r="N141" s="33" t="b">
        <v>1</v>
      </c>
      <c r="O141" s="34" t="str">
        <f>HYPERLINK("https://prices.pokemontcg.io/cardmarket/sv1-133", "CM")</f>
        <v>CM</v>
      </c>
    </row>
    <row r="142" ht="7.5" customHeight="1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</row>
    <row r="143" ht="18.75" customHeight="1">
      <c r="A143" s="27" t="s">
        <v>666</v>
      </c>
      <c r="B143" s="28" t="s">
        <v>652</v>
      </c>
      <c r="C143" s="20"/>
      <c r="D143" s="27" t="s">
        <v>845</v>
      </c>
      <c r="E143" s="28" t="s">
        <v>800</v>
      </c>
      <c r="F143" s="20"/>
      <c r="G143" s="27" t="s">
        <v>668</v>
      </c>
      <c r="H143" s="28" t="s">
        <v>800</v>
      </c>
      <c r="I143" s="20"/>
      <c r="J143" s="27" t="s">
        <v>670</v>
      </c>
      <c r="K143" s="28" t="s">
        <v>1294</v>
      </c>
      <c r="L143" s="20"/>
      <c r="M143" s="27" t="s">
        <v>672</v>
      </c>
      <c r="N143" s="28" t="s">
        <v>1295</v>
      </c>
      <c r="O143" s="20"/>
    </row>
    <row r="144" ht="180.0" customHeight="1">
      <c r="A144" s="31" t="str">
        <f>IMAGE("https://assets.tcgdex.net/de/sv/sv01/134/low.jpg", 1)</f>
        <v/>
      </c>
      <c r="B144" s="22"/>
      <c r="C144" s="20"/>
      <c r="D144" s="31" t="str">
        <f>IMAGE("https://assets.tcgdex.net/de/sv/sv01/135/low.jpg", 1)</f>
        <v/>
      </c>
      <c r="E144" s="22"/>
      <c r="F144" s="20"/>
      <c r="G144" s="31" t="str">
        <f>IMAGE("https://assets.tcgdex.net/de/sv/sv01/136/low.jpg", 1)</f>
        <v/>
      </c>
      <c r="H144" s="22"/>
      <c r="I144" s="20"/>
      <c r="J144" s="31" t="str">
        <f>IMAGE("https://assets.tcgdex.net/de/sv/sv01/137/low.jpg", 1)</f>
        <v/>
      </c>
      <c r="K144" s="22"/>
      <c r="L144" s="20"/>
      <c r="M144" s="31" t="str">
        <f>IMAGE("https://assets.tcgdex.net/de/sv/sv01/138/low.jpg", 1)</f>
        <v/>
      </c>
      <c r="N144" s="22"/>
      <c r="O144" s="20"/>
    </row>
    <row r="145" ht="22.5" customHeight="1">
      <c r="A145" s="33" t="b">
        <v>1</v>
      </c>
      <c r="B145" s="33" t="b">
        <v>1</v>
      </c>
      <c r="C145" s="34" t="str">
        <f>HYPERLINK("https://prices.pokemontcg.io/cardmarket/sv1-134", "CM")</f>
        <v>CM</v>
      </c>
      <c r="D145" s="33" t="b">
        <v>1</v>
      </c>
      <c r="E145" s="33" t="b">
        <v>1</v>
      </c>
      <c r="F145" s="34" t="str">
        <f>HYPERLINK("https://prices.pokemontcg.io/cardmarket/sv1-135", "CM")</f>
        <v>CM</v>
      </c>
      <c r="G145" s="33" t="b">
        <v>1</v>
      </c>
      <c r="H145" s="33" t="b">
        <v>1</v>
      </c>
      <c r="I145" s="34" t="str">
        <f>HYPERLINK("https://prices.pokemontcg.io/cardmarket/sv1-136", "CM")</f>
        <v>CM</v>
      </c>
      <c r="J145" s="33" t="b">
        <v>1</v>
      </c>
      <c r="K145" s="33" t="b">
        <v>1</v>
      </c>
      <c r="L145" s="34" t="str">
        <f>HYPERLINK("https://prices.pokemontcg.io/cardmarket/sv1-137", "CM")</f>
        <v>CM</v>
      </c>
      <c r="M145" s="33" t="b">
        <v>1</v>
      </c>
      <c r="N145" s="33" t="b">
        <v>1</v>
      </c>
      <c r="O145" s="34" t="str">
        <f>HYPERLINK("https://prices.pokemontcg.io/cardmarket/sv1-138", "CM")</f>
        <v>CM</v>
      </c>
    </row>
    <row r="146" ht="7.5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</row>
    <row r="147" ht="18.75" customHeight="1">
      <c r="A147" s="27" t="s">
        <v>847</v>
      </c>
      <c r="B147" s="28" t="s">
        <v>761</v>
      </c>
      <c r="C147" s="20"/>
      <c r="D147" s="27" t="s">
        <v>678</v>
      </c>
      <c r="E147" s="28" t="s">
        <v>804</v>
      </c>
      <c r="F147" s="20"/>
      <c r="G147" s="27" t="s">
        <v>679</v>
      </c>
      <c r="H147" s="28" t="s">
        <v>1296</v>
      </c>
      <c r="I147" s="20"/>
      <c r="J147" s="27" t="s">
        <v>850</v>
      </c>
      <c r="K147" s="28" t="s">
        <v>1297</v>
      </c>
      <c r="L147" s="20"/>
      <c r="M147" s="27" t="s">
        <v>681</v>
      </c>
      <c r="N147" s="28" t="s">
        <v>1298</v>
      </c>
      <c r="O147" s="20"/>
    </row>
    <row r="148" ht="180.0" customHeight="1">
      <c r="A148" s="31" t="str">
        <f>IMAGE("https://assets.tcgdex.net/de/sv/sv01/140/low.jpg", 1)</f>
        <v/>
      </c>
      <c r="B148" s="22"/>
      <c r="C148" s="20"/>
      <c r="D148" s="31" t="str">
        <f>IMAGE("https://assets.tcgdex.net/de/sv/sv01/143/low.jpg", 1)</f>
        <v/>
      </c>
      <c r="E148" s="22"/>
      <c r="F148" s="20"/>
      <c r="G148" s="31" t="str">
        <f>IMAGE("https://assets.tcgdex.net/de/sv/sv01/144/low.jpg", 1)</f>
        <v/>
      </c>
      <c r="H148" s="22"/>
      <c r="I148" s="20"/>
      <c r="J148" s="31" t="str">
        <f>IMAGE("https://assets.tcgdex.net/de/sv/sv01/145/low.jpg", 1)</f>
        <v/>
      </c>
      <c r="K148" s="22"/>
      <c r="L148" s="20"/>
      <c r="M148" s="31" t="str">
        <f>IMAGE("https://assets.tcgdex.net/de/sv/sv01/146/low.jpg", 1)</f>
        <v/>
      </c>
      <c r="N148" s="22"/>
      <c r="O148" s="20"/>
    </row>
    <row r="149" ht="22.5" customHeight="1">
      <c r="A149" s="33" t="b">
        <v>1</v>
      </c>
      <c r="B149" s="33" t="b">
        <v>1</v>
      </c>
      <c r="C149" s="34" t="str">
        <f>HYPERLINK("https://prices.pokemontcg.io/cardmarket/sv1-140", "CM")</f>
        <v>CM</v>
      </c>
      <c r="D149" s="33" t="b">
        <v>1</v>
      </c>
      <c r="E149" s="33" t="b">
        <v>1</v>
      </c>
      <c r="F149" s="34" t="str">
        <f>HYPERLINK("https://prices.pokemontcg.io/cardmarket/sv1-143", "CM")</f>
        <v>CM</v>
      </c>
      <c r="G149" s="33" t="b">
        <v>1</v>
      </c>
      <c r="H149" s="33" t="b">
        <v>1</v>
      </c>
      <c r="I149" s="34" t="str">
        <f>HYPERLINK("https://prices.pokemontcg.io/cardmarket/sv1-144", "CM")</f>
        <v>CM</v>
      </c>
      <c r="J149" s="33" t="b">
        <v>1</v>
      </c>
      <c r="K149" s="33" t="b">
        <v>1</v>
      </c>
      <c r="L149" s="34" t="str">
        <f>HYPERLINK("https://prices.pokemontcg.io/cardmarket/sv1-145", "CM")</f>
        <v>CM</v>
      </c>
      <c r="M149" s="33" t="b">
        <v>1</v>
      </c>
      <c r="N149" s="33" t="b">
        <v>1</v>
      </c>
      <c r="O149" s="34" t="str">
        <f>HYPERLINK("https://prices.pokemontcg.io/cardmarket/sv1-146", "CM")</f>
        <v>CM</v>
      </c>
    </row>
    <row r="150" ht="7.5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</row>
    <row r="151" ht="18.75" customHeight="1">
      <c r="A151" s="27" t="s">
        <v>683</v>
      </c>
      <c r="B151" s="28" t="s">
        <v>1298</v>
      </c>
      <c r="C151" s="20"/>
      <c r="D151" s="27" t="s">
        <v>685</v>
      </c>
      <c r="E151" s="28" t="s">
        <v>942</v>
      </c>
      <c r="F151" s="20"/>
      <c r="G151" s="27" t="s">
        <v>852</v>
      </c>
      <c r="H151" s="28" t="s">
        <v>1299</v>
      </c>
      <c r="I151" s="20"/>
      <c r="J151" s="27" t="s">
        <v>855</v>
      </c>
      <c r="K151" s="28" t="s">
        <v>1300</v>
      </c>
      <c r="L151" s="20"/>
      <c r="M151" s="27" t="s">
        <v>687</v>
      </c>
      <c r="N151" s="28" t="s">
        <v>690</v>
      </c>
      <c r="O151" s="20"/>
    </row>
    <row r="152" ht="180.0" customHeight="1">
      <c r="A152" s="31" t="str">
        <f>IMAGE("https://assets.tcgdex.net/de/sv/sv01/147/low.jpg", 1)</f>
        <v/>
      </c>
      <c r="B152" s="22"/>
      <c r="C152" s="20"/>
      <c r="D152" s="31" t="str">
        <f>IMAGE("https://assets.tcgdex.net/de/sv/sv01/148/low.jpg", 1)</f>
        <v/>
      </c>
      <c r="E152" s="22"/>
      <c r="F152" s="20"/>
      <c r="G152" s="31" t="str">
        <f>IMAGE("https://assets.tcgdex.net/de/sv/sv01/149/low.jpg", 1)</f>
        <v/>
      </c>
      <c r="H152" s="22"/>
      <c r="I152" s="20"/>
      <c r="J152" s="31" t="str">
        <f>IMAGE("https://assets.tcgdex.net/de/sv/sv01/152/low.jpg", 1)</f>
        <v/>
      </c>
      <c r="K152" s="22"/>
      <c r="L152" s="20"/>
      <c r="M152" s="31" t="str">
        <f>IMAGE("https://assets.tcgdex.net/de/sv/sv01/153/low.jpg", 1)</f>
        <v/>
      </c>
      <c r="N152" s="22"/>
      <c r="O152" s="20"/>
    </row>
    <row r="153" ht="22.5" customHeight="1">
      <c r="A153" s="33" t="b">
        <v>1</v>
      </c>
      <c r="B153" s="33" t="b">
        <v>1</v>
      </c>
      <c r="C153" s="34" t="str">
        <f>HYPERLINK("https://prices.pokemontcg.io/cardmarket/sv1-147", "CM")</f>
        <v>CM</v>
      </c>
      <c r="D153" s="33" t="b">
        <v>1</v>
      </c>
      <c r="E153" s="33" t="b">
        <v>1</v>
      </c>
      <c r="F153" s="34" t="str">
        <f>HYPERLINK("https://prices.pokemontcg.io/cardmarket/sv1-148", "CM")</f>
        <v>CM</v>
      </c>
      <c r="G153" s="33" t="b">
        <v>1</v>
      </c>
      <c r="H153" s="33" t="b">
        <v>1</v>
      </c>
      <c r="I153" s="34" t="str">
        <f>HYPERLINK("https://prices.pokemontcg.io/cardmarket/sv1-149", "CM")</f>
        <v>CM</v>
      </c>
      <c r="J153" s="33" t="b">
        <v>1</v>
      </c>
      <c r="K153" s="33" t="b">
        <v>1</v>
      </c>
      <c r="L153" s="34" t="str">
        <f>HYPERLINK("https://prices.pokemontcg.io/cardmarket/sv1-152", "CM")</f>
        <v>CM</v>
      </c>
      <c r="M153" s="33" t="b">
        <v>1</v>
      </c>
      <c r="N153" s="33" t="b">
        <v>1</v>
      </c>
      <c r="O153" s="34" t="str">
        <f>HYPERLINK("https://prices.pokemontcg.io/cardmarket/sv1-153", "CM")</f>
        <v>CM</v>
      </c>
    </row>
    <row r="154" ht="7.5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</row>
    <row r="155" ht="18.75" customHeight="1">
      <c r="A155" s="27" t="s">
        <v>691</v>
      </c>
      <c r="B155" s="28" t="s">
        <v>1228</v>
      </c>
      <c r="C155" s="20"/>
      <c r="D155" s="27" t="s">
        <v>857</v>
      </c>
      <c r="E155" s="28" t="s">
        <v>1228</v>
      </c>
      <c r="F155" s="20"/>
      <c r="G155" s="27" t="s">
        <v>693</v>
      </c>
      <c r="H155" s="28" t="s">
        <v>1301</v>
      </c>
      <c r="I155" s="20"/>
      <c r="J155" s="27" t="s">
        <v>861</v>
      </c>
      <c r="K155" s="28" t="s">
        <v>1230</v>
      </c>
      <c r="L155" s="20"/>
      <c r="M155" s="27" t="s">
        <v>863</v>
      </c>
      <c r="N155" s="28" t="s">
        <v>814</v>
      </c>
      <c r="O155" s="20"/>
    </row>
    <row r="156" ht="180.0" customHeight="1">
      <c r="A156" s="31" t="str">
        <f>IMAGE("https://assets.tcgdex.net/de/sv/sv01/155/low.jpg", 1)</f>
        <v/>
      </c>
      <c r="B156" s="22"/>
      <c r="C156" s="20"/>
      <c r="D156" s="31" t="str">
        <f>IMAGE("https://assets.tcgdex.net/de/sv/sv01/156/low.jpg", 1)</f>
        <v/>
      </c>
      <c r="E156" s="22"/>
      <c r="F156" s="20"/>
      <c r="G156" s="31" t="str">
        <f>IMAGE("https://assets.tcgdex.net/de/sv/sv01/158/low.jpg", 1)</f>
        <v/>
      </c>
      <c r="H156" s="22"/>
      <c r="I156" s="20"/>
      <c r="J156" s="31" t="str">
        <f>IMAGE("https://assets.tcgdex.net/de/sv/sv01/159/low.jpg", 1)</f>
        <v/>
      </c>
      <c r="K156" s="22"/>
      <c r="L156" s="20"/>
      <c r="M156" s="31" t="str">
        <f>IMAGE("https://assets.tcgdex.net/de/sv/sv01/163/low.jpg", 1)</f>
        <v/>
      </c>
      <c r="N156" s="22"/>
      <c r="O156" s="20"/>
    </row>
    <row r="157" ht="22.5" customHeight="1">
      <c r="A157" s="33" t="b">
        <v>1</v>
      </c>
      <c r="B157" s="33" t="b">
        <v>1</v>
      </c>
      <c r="C157" s="34" t="str">
        <f>HYPERLINK("https://prices.pokemontcg.io/cardmarket/sv1-155", "CM")</f>
        <v>CM</v>
      </c>
      <c r="D157" s="33" t="b">
        <v>1</v>
      </c>
      <c r="E157" s="33" t="b">
        <v>1</v>
      </c>
      <c r="F157" s="34" t="str">
        <f>HYPERLINK("https://prices.pokemontcg.io/cardmarket/sv1-156", "CM")</f>
        <v>CM</v>
      </c>
      <c r="G157" s="33" t="b">
        <v>1</v>
      </c>
      <c r="H157" s="33" t="b">
        <v>1</v>
      </c>
      <c r="I157" s="34" t="str">
        <f>HYPERLINK("https://prices.pokemontcg.io/cardmarket/sv1-158", "CM")</f>
        <v>CM</v>
      </c>
      <c r="J157" s="33" t="b">
        <v>1</v>
      </c>
      <c r="K157" s="33" t="b">
        <v>1</v>
      </c>
      <c r="L157" s="34" t="str">
        <f>HYPERLINK("https://prices.pokemontcg.io/cardmarket/sv1-159", "CM")</f>
        <v>CM</v>
      </c>
      <c r="M157" s="33" t="b">
        <v>1</v>
      </c>
      <c r="N157" s="33" t="b">
        <v>1</v>
      </c>
      <c r="O157" s="34" t="str">
        <f>HYPERLINK("https://prices.pokemontcg.io/cardmarket/sv1-163", "CM")</f>
        <v>CM</v>
      </c>
    </row>
    <row r="158" ht="7.5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</row>
    <row r="159" ht="18.75" customHeight="1">
      <c r="A159" s="27" t="s">
        <v>865</v>
      </c>
      <c r="B159" s="28" t="s">
        <v>814</v>
      </c>
      <c r="C159" s="20"/>
      <c r="D159" s="27" t="s">
        <v>871</v>
      </c>
      <c r="E159" s="28" t="s">
        <v>1302</v>
      </c>
      <c r="F159" s="20"/>
      <c r="G159" s="27" t="s">
        <v>877</v>
      </c>
      <c r="H159" s="28" t="s">
        <v>1303</v>
      </c>
      <c r="I159" s="20"/>
      <c r="J159" s="27" t="s">
        <v>879</v>
      </c>
      <c r="K159" s="28" t="s">
        <v>948</v>
      </c>
      <c r="L159" s="20"/>
      <c r="M159" s="27" t="s">
        <v>881</v>
      </c>
      <c r="N159" s="28" t="s">
        <v>949</v>
      </c>
      <c r="O159" s="20"/>
    </row>
    <row r="160" ht="180.0" customHeight="1">
      <c r="A160" s="31" t="str">
        <f>IMAGE("https://assets.tcgdex.net/de/sv/sv01/164/low.jpg", 1)</f>
        <v/>
      </c>
      <c r="B160" s="22"/>
      <c r="C160" s="20"/>
      <c r="D160" s="31" t="str">
        <f>IMAGE("https://assets.tcgdex.net/de/sv/sv01/167/low.jpg", 1)</f>
        <v/>
      </c>
      <c r="E160" s="22"/>
      <c r="F160" s="20"/>
      <c r="G160" s="31" t="str">
        <f>IMAGE("https://assets.tcgdex.net/de/sv/sv01/170/low.jpg", 1)</f>
        <v/>
      </c>
      <c r="H160" s="22"/>
      <c r="I160" s="20"/>
      <c r="J160" s="31" t="str">
        <f>IMAGE("https://assets.tcgdex.net/de/sv/sv01/171/low.jpg", 1)</f>
        <v/>
      </c>
      <c r="K160" s="22"/>
      <c r="L160" s="20"/>
      <c r="M160" s="31" t="str">
        <f>IMAGE("https://assets.tcgdex.net/de/sv/sv01/172/low.jpg", 1)</f>
        <v/>
      </c>
      <c r="N160" s="22"/>
      <c r="O160" s="20"/>
    </row>
    <row r="161" ht="22.5" customHeight="1">
      <c r="A161" s="33" t="b">
        <v>1</v>
      </c>
      <c r="B161" s="33" t="b">
        <v>1</v>
      </c>
      <c r="C161" s="34" t="str">
        <f>HYPERLINK("https://prices.pokemontcg.io/cardmarket/sv1-164", "CM")</f>
        <v>CM</v>
      </c>
      <c r="D161" s="33" t="b">
        <v>1</v>
      </c>
      <c r="E161" s="33" t="b">
        <v>1</v>
      </c>
      <c r="F161" s="34" t="str">
        <f>HYPERLINK("https://prices.pokemontcg.io/cardmarket/sv1-167", "CM")</f>
        <v>CM</v>
      </c>
      <c r="G161" s="33" t="b">
        <v>1</v>
      </c>
      <c r="H161" s="33" t="b">
        <v>1</v>
      </c>
      <c r="I161" s="34" t="str">
        <f>HYPERLINK("https://prices.pokemontcg.io/cardmarket/sv1-170", "CM")</f>
        <v>CM</v>
      </c>
      <c r="J161" s="33" t="b">
        <v>1</v>
      </c>
      <c r="K161" s="33" t="b">
        <v>1</v>
      </c>
      <c r="L161" s="34" t="str">
        <f>HYPERLINK("https://prices.pokemontcg.io/cardmarket/sv1-171", "CM")</f>
        <v>CM</v>
      </c>
      <c r="M161" s="33" t="b">
        <v>1</v>
      </c>
      <c r="N161" s="33" t="b">
        <v>1</v>
      </c>
      <c r="O161" s="34" t="str">
        <f>HYPERLINK("https://prices.pokemontcg.io/cardmarket/sv1-172", "CM")</f>
        <v>CM</v>
      </c>
    </row>
    <row r="162" ht="7.5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</row>
    <row r="163" ht="18.75" customHeight="1">
      <c r="A163" s="27" t="s">
        <v>1304</v>
      </c>
      <c r="B163" s="28" t="s">
        <v>1305</v>
      </c>
      <c r="C163" s="20"/>
      <c r="D163" s="27" t="s">
        <v>1306</v>
      </c>
      <c r="E163" s="28" t="s">
        <v>1307</v>
      </c>
      <c r="F163" s="20"/>
      <c r="G163" s="27" t="s">
        <v>703</v>
      </c>
      <c r="H163" s="28" t="s">
        <v>1308</v>
      </c>
      <c r="I163" s="20"/>
      <c r="J163" s="27" t="s">
        <v>886</v>
      </c>
      <c r="K163" s="28" t="s">
        <v>1309</v>
      </c>
      <c r="L163" s="20"/>
      <c r="M163" s="27" t="s">
        <v>888</v>
      </c>
      <c r="N163" s="28" t="s">
        <v>1310</v>
      </c>
      <c r="O163" s="20"/>
    </row>
    <row r="164" ht="180.0" customHeight="1">
      <c r="A164" s="31" t="str">
        <f>IMAGE("https://assets.tcgdex.net/de/sv/sv01/175/low.jpg", 1)</f>
        <v/>
      </c>
      <c r="B164" s="22"/>
      <c r="C164" s="20"/>
      <c r="D164" s="31" t="str">
        <f>IMAGE("https://assets.tcgdex.net/de/sv/sv01/176/low.jpg", 1)</f>
        <v/>
      </c>
      <c r="E164" s="22"/>
      <c r="F164" s="20"/>
      <c r="G164" s="31" t="str">
        <f>IMAGE("https://assets.tcgdex.net/de/sv/sv01/179/low.jpg", 1)</f>
        <v/>
      </c>
      <c r="H164" s="22"/>
      <c r="I164" s="20"/>
      <c r="J164" s="31" t="str">
        <f>IMAGE("https://assets.tcgdex.net/de/sv/sv01/180/low.jpg", 1)</f>
        <v/>
      </c>
      <c r="K164" s="22"/>
      <c r="L164" s="20"/>
      <c r="M164" s="31" t="str">
        <f>IMAGE("https://assets.tcgdex.net/de/sv/sv01/181/low.jpg", 1)</f>
        <v/>
      </c>
      <c r="N164" s="22"/>
      <c r="O164" s="20"/>
    </row>
    <row r="165" ht="22.5" customHeight="1">
      <c r="A165" s="33" t="b">
        <v>1</v>
      </c>
      <c r="B165" s="33" t="b">
        <v>1</v>
      </c>
      <c r="C165" s="34" t="str">
        <f>HYPERLINK("https://prices.pokemontcg.io/cardmarket/sv1-175", "CM")</f>
        <v>CM</v>
      </c>
      <c r="D165" s="33" t="b">
        <v>1</v>
      </c>
      <c r="E165" s="33" t="b">
        <v>1</v>
      </c>
      <c r="F165" s="34" t="str">
        <f>HYPERLINK("https://prices.pokemontcg.io/cardmarket/sv1-176", "CM")</f>
        <v>CM</v>
      </c>
      <c r="G165" s="33" t="b">
        <v>1</v>
      </c>
      <c r="H165" s="33" t="b">
        <v>1</v>
      </c>
      <c r="I165" s="34" t="str">
        <f>HYPERLINK("https://prices.pokemontcg.io/cardmarket/sv1-179", "CM")</f>
        <v>CM</v>
      </c>
      <c r="J165" s="33" t="b">
        <v>1</v>
      </c>
      <c r="K165" s="33" t="b">
        <v>1</v>
      </c>
      <c r="L165" s="34" t="str">
        <f>HYPERLINK("https://prices.pokemontcg.io/cardmarket/sv1-180", "CM")</f>
        <v>CM</v>
      </c>
      <c r="M165" s="33" t="b">
        <v>1</v>
      </c>
      <c r="N165" s="33" t="b">
        <v>1</v>
      </c>
      <c r="O165" s="34" t="str">
        <f>HYPERLINK("https://prices.pokemontcg.io/cardmarket/sv1-181", "CM")</f>
        <v>CM</v>
      </c>
    </row>
    <row r="166" ht="7.5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</row>
    <row r="167" ht="18.75" customHeight="1">
      <c r="A167" s="27" t="s">
        <v>705</v>
      </c>
      <c r="B167" s="28" t="s">
        <v>1311</v>
      </c>
      <c r="C167" s="20"/>
      <c r="D167" s="27" t="s">
        <v>709</v>
      </c>
      <c r="E167" s="28" t="s">
        <v>955</v>
      </c>
      <c r="F167" s="20"/>
      <c r="G167" s="27" t="s">
        <v>892</v>
      </c>
      <c r="H167" s="28" t="s">
        <v>1034</v>
      </c>
      <c r="I167" s="20"/>
      <c r="J167" s="27" t="s">
        <v>894</v>
      </c>
      <c r="K167" s="28" t="s">
        <v>956</v>
      </c>
      <c r="L167" s="20"/>
      <c r="M167" s="27" t="s">
        <v>1312</v>
      </c>
      <c r="N167" s="28" t="s">
        <v>1040</v>
      </c>
      <c r="O167" s="20"/>
    </row>
    <row r="168" ht="180.0" customHeight="1">
      <c r="A168" s="31" t="str">
        <f>IMAGE("https://assets.tcgdex.net/de/sv/sv01/182/low.jpg", 1)</f>
        <v/>
      </c>
      <c r="B168" s="22"/>
      <c r="C168" s="20"/>
      <c r="D168" s="31" t="str">
        <f>IMAGE("https://assets.tcgdex.net/de/sv/sv01/185/low.jpg", 1)</f>
        <v/>
      </c>
      <c r="E168" s="22"/>
      <c r="F168" s="20"/>
      <c r="G168" s="31" t="str">
        <f>IMAGE("https://assets.tcgdex.net/de/sv/sv01/187/low.jpg", 1)</f>
        <v/>
      </c>
      <c r="H168" s="22"/>
      <c r="I168" s="20"/>
      <c r="J168" s="31" t="str">
        <f>IMAGE("https://assets.tcgdex.net/de/sv/sv01/188/low.jpg", 1)</f>
        <v/>
      </c>
      <c r="K168" s="22"/>
      <c r="L168" s="20"/>
      <c r="M168" s="31" t="str">
        <f>IMAGE("https://assets.tcgdex.net/de/sv/sv01/190/low.jpg", 1)</f>
        <v/>
      </c>
      <c r="N168" s="22"/>
      <c r="O168" s="20"/>
    </row>
    <row r="169" ht="22.5" customHeight="1">
      <c r="A169" s="33" t="b">
        <v>1</v>
      </c>
      <c r="B169" s="33" t="b">
        <v>1</v>
      </c>
      <c r="C169" s="34" t="str">
        <f>HYPERLINK("https://prices.pokemontcg.io/cardmarket/sv1-182", "CM")</f>
        <v>CM</v>
      </c>
      <c r="D169" s="33" t="b">
        <v>1</v>
      </c>
      <c r="E169" s="33" t="b">
        <v>1</v>
      </c>
      <c r="F169" s="34" t="str">
        <f>HYPERLINK("https://prices.pokemontcg.io/cardmarket/sv1-185", "CM")</f>
        <v>CM</v>
      </c>
      <c r="G169" s="33" t="b">
        <v>1</v>
      </c>
      <c r="H169" s="33" t="b">
        <v>1</v>
      </c>
      <c r="I169" s="34" t="str">
        <f>HYPERLINK("https://prices.pokemontcg.io/cardmarket/sv1-187", "CM")</f>
        <v>CM</v>
      </c>
      <c r="J169" s="33" t="b">
        <v>1</v>
      </c>
      <c r="K169" s="33" t="b">
        <v>1</v>
      </c>
      <c r="L169" s="34" t="str">
        <f>HYPERLINK("https://prices.pokemontcg.io/cardmarket/sv1-188", "CM")</f>
        <v>CM</v>
      </c>
      <c r="M169" s="33" t="b">
        <v>1</v>
      </c>
      <c r="N169" s="33" t="b">
        <v>1</v>
      </c>
      <c r="O169" s="34" t="str">
        <f>HYPERLINK("https://prices.pokemontcg.io/cardmarket/sv1-190", "CM")</f>
        <v>CM</v>
      </c>
    </row>
    <row r="170" ht="7.5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</row>
    <row r="171" ht="18.75" customHeight="1">
      <c r="A171" s="27" t="s">
        <v>1313</v>
      </c>
      <c r="B171" s="28" t="s">
        <v>1314</v>
      </c>
      <c r="C171" s="20"/>
      <c r="D171" s="27" t="s">
        <v>898</v>
      </c>
      <c r="E171" s="28" t="s">
        <v>1315</v>
      </c>
      <c r="F171" s="20"/>
      <c r="G171" s="27" t="s">
        <v>713</v>
      </c>
      <c r="H171" s="28" t="s">
        <v>959</v>
      </c>
      <c r="I171" s="20"/>
      <c r="J171" s="27" t="s">
        <v>715</v>
      </c>
      <c r="K171" s="28" t="s">
        <v>1316</v>
      </c>
      <c r="L171" s="20"/>
      <c r="M171" s="27" t="s">
        <v>717</v>
      </c>
      <c r="N171" s="28" t="s">
        <v>1038</v>
      </c>
      <c r="O171" s="20"/>
    </row>
    <row r="172" ht="180.0" customHeight="1">
      <c r="A172" s="31" t="str">
        <f>IMAGE("https://assets.tcgdex.net/de/sv/sv01/192/low.jpg", 1)</f>
        <v/>
      </c>
      <c r="B172" s="22"/>
      <c r="C172" s="20"/>
      <c r="D172" s="31" t="str">
        <f>IMAGE("https://assets.tcgdex.net/de/sv/sv01/193/low.jpg", 1)</f>
        <v/>
      </c>
      <c r="E172" s="22"/>
      <c r="F172" s="20"/>
      <c r="G172" s="31" t="str">
        <f>IMAGE("https://assets.tcgdex.net/de/sv/sv01/194/low.jpg", 1)</f>
        <v/>
      </c>
      <c r="H172" s="22"/>
      <c r="I172" s="20"/>
      <c r="J172" s="31" t="str">
        <f>IMAGE("https://assets.tcgdex.net/de/sv/sv01/195/low.jpg", 1)</f>
        <v/>
      </c>
      <c r="K172" s="22"/>
      <c r="L172" s="20"/>
      <c r="M172" s="31" t="str">
        <f>IMAGE("https://assets.tcgdex.net/de/sv/sv01/196/low.jpg", 1)</f>
        <v/>
      </c>
      <c r="N172" s="22"/>
      <c r="O172" s="20"/>
    </row>
    <row r="173" ht="22.5" customHeight="1">
      <c r="A173" s="33" t="b">
        <v>1</v>
      </c>
      <c r="B173" s="33" t="b">
        <v>1</v>
      </c>
      <c r="C173" s="34" t="str">
        <f>HYPERLINK("https://prices.pokemontcg.io/cardmarket/sv1-192", "CM")</f>
        <v>CM</v>
      </c>
      <c r="D173" s="33" t="b">
        <v>1</v>
      </c>
      <c r="E173" s="33" t="b">
        <v>1</v>
      </c>
      <c r="F173" s="34" t="str">
        <f>HYPERLINK("https://prices.pokemontcg.io/cardmarket/sv1-193", "CM")</f>
        <v>CM</v>
      </c>
      <c r="G173" s="33" t="b">
        <v>1</v>
      </c>
      <c r="H173" s="33" t="b">
        <v>1</v>
      </c>
      <c r="I173" s="34" t="str">
        <f>HYPERLINK("https://prices.pokemontcg.io/cardmarket/sv1-194", "CM")</f>
        <v>CM</v>
      </c>
      <c r="J173" s="33" t="b">
        <v>1</v>
      </c>
      <c r="K173" s="33" t="b">
        <v>1</v>
      </c>
      <c r="L173" s="34" t="str">
        <f>HYPERLINK("https://prices.pokemontcg.io/cardmarket/sv1-195", "CM")</f>
        <v>CM</v>
      </c>
      <c r="M173" s="33" t="b">
        <v>1</v>
      </c>
      <c r="N173" s="33" t="b">
        <v>1</v>
      </c>
      <c r="O173" s="34" t="str">
        <f>HYPERLINK("https://prices.pokemontcg.io/cardmarket/sv1-196", "CM")</f>
        <v>CM</v>
      </c>
    </row>
    <row r="174" ht="7.5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</row>
    <row r="175" ht="18.75" customHeight="1">
      <c r="A175" s="27" t="s">
        <v>719</v>
      </c>
      <c r="B175" s="28" t="s">
        <v>1317</v>
      </c>
      <c r="C175" s="20"/>
      <c r="D175" s="27" t="s">
        <v>720</v>
      </c>
      <c r="E175" s="28" t="s">
        <v>1318</v>
      </c>
      <c r="F175" s="20"/>
      <c r="G175" s="27" t="s">
        <v>724</v>
      </c>
      <c r="H175" s="28" t="s">
        <v>1209</v>
      </c>
      <c r="I175" s="20"/>
      <c r="J175" s="27" t="s">
        <v>726</v>
      </c>
      <c r="K175" s="28" t="s">
        <v>1252</v>
      </c>
      <c r="L175" s="20"/>
      <c r="M175" s="27" t="s">
        <v>730</v>
      </c>
      <c r="N175" s="28" t="s">
        <v>1257</v>
      </c>
      <c r="O175" s="20"/>
    </row>
    <row r="176" ht="180.0" customHeight="1">
      <c r="A176" s="31" t="str">
        <f>IMAGE("https://assets.tcgdex.net/de/sv/sv01/197/low.jpg", 1)</f>
        <v/>
      </c>
      <c r="B176" s="22"/>
      <c r="C176" s="20"/>
      <c r="D176" s="31" t="str">
        <f>IMAGE("https://assets.tcgdex.net/de/sv/sv01/198/low.jpg", 1)</f>
        <v/>
      </c>
      <c r="E176" s="22"/>
      <c r="F176" s="20"/>
      <c r="G176" s="31" t="str">
        <f>IMAGE("https://assets.tcgdex.net/de/sv/sv01/200/low.jpg", 1)</f>
        <v/>
      </c>
      <c r="H176" s="22"/>
      <c r="I176" s="20"/>
      <c r="J176" s="31" t="str">
        <f>IMAGE("https://assets.tcgdex.net/de/sv/sv01/201/low.jpg", 1)</f>
        <v/>
      </c>
      <c r="K176" s="22"/>
      <c r="L176" s="20"/>
      <c r="M176" s="31" t="str">
        <f>IMAGE("https://assets.tcgdex.net/de/sv/sv01/203/low.jpg", 1)</f>
        <v/>
      </c>
      <c r="N176" s="22"/>
      <c r="O176" s="20"/>
    </row>
    <row r="177" ht="22.5" customHeight="1">
      <c r="A177" s="33" t="b">
        <v>1</v>
      </c>
      <c r="B177" s="33" t="b">
        <v>1</v>
      </c>
      <c r="C177" s="34" t="str">
        <f>HYPERLINK("https://prices.pokemontcg.io/cardmarket/sv1-197", "CM")</f>
        <v>CM</v>
      </c>
      <c r="D177" s="33" t="b">
        <v>1</v>
      </c>
      <c r="E177" s="33" t="b">
        <v>1</v>
      </c>
      <c r="F177" s="34" t="str">
        <f>HYPERLINK("https://prices.pokemontcg.io/cardmarket/sv1-198", "CM")</f>
        <v>CM</v>
      </c>
      <c r="G177" s="33" t="b">
        <v>1</v>
      </c>
      <c r="H177" s="33" t="b">
        <v>1</v>
      </c>
      <c r="I177" s="34" t="str">
        <f>HYPERLINK("https://prices.pokemontcg.io/cardmarket/sv1-200", "CM")</f>
        <v>CM</v>
      </c>
      <c r="J177" s="33" t="b">
        <v>1</v>
      </c>
      <c r="K177" s="33" t="b">
        <v>1</v>
      </c>
      <c r="L177" s="34" t="str">
        <f>HYPERLINK("https://prices.pokemontcg.io/cardmarket/sv1-201", "CM")</f>
        <v>CM</v>
      </c>
      <c r="M177" s="33" t="b">
        <v>1</v>
      </c>
      <c r="N177" s="33" t="b">
        <v>1</v>
      </c>
      <c r="O177" s="34" t="str">
        <f>HYPERLINK("https://prices.pokemontcg.io/cardmarket/sv1-203", "CM")</f>
        <v>CM</v>
      </c>
    </row>
    <row r="178" ht="7.5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</row>
    <row r="179" ht="18.75" customHeight="1">
      <c r="A179" s="27" t="s">
        <v>1319</v>
      </c>
      <c r="B179" s="28" t="s">
        <v>1263</v>
      </c>
      <c r="C179" s="20"/>
      <c r="D179" s="27" t="s">
        <v>1320</v>
      </c>
      <c r="E179" s="28" t="s">
        <v>530</v>
      </c>
      <c r="F179" s="20"/>
      <c r="G179" s="27" t="s">
        <v>1321</v>
      </c>
      <c r="H179" s="28" t="s">
        <v>1273</v>
      </c>
      <c r="I179" s="20"/>
      <c r="J179" s="27" t="s">
        <v>1322</v>
      </c>
      <c r="K179" s="28" t="s">
        <v>1274</v>
      </c>
      <c r="L179" s="20"/>
      <c r="M179" s="27" t="s">
        <v>1323</v>
      </c>
      <c r="N179" s="28" t="s">
        <v>796</v>
      </c>
      <c r="O179" s="20"/>
    </row>
    <row r="180" ht="180.0" customHeight="1">
      <c r="A180" s="31" t="str">
        <f>IMAGE("https://assets.tcgdex.net/de/sv/sv01/205/low.jpg", 1)</f>
        <v/>
      </c>
      <c r="B180" s="22"/>
      <c r="C180" s="20"/>
      <c r="D180" s="31" t="str">
        <f>IMAGE("https://assets.tcgdex.net/de/sv/sv01/209/low.jpg", 1)</f>
        <v/>
      </c>
      <c r="E180" s="22"/>
      <c r="F180" s="20"/>
      <c r="G180" s="31" t="str">
        <f>IMAGE("https://assets.tcgdex.net/de/sv/sv01/211/low.jpg", 1)</f>
        <v/>
      </c>
      <c r="H180" s="22"/>
      <c r="I180" s="20"/>
      <c r="J180" s="31" t="str">
        <f>IMAGE("https://assets.tcgdex.net/de/sv/sv01/212/low.jpg", 1)</f>
        <v/>
      </c>
      <c r="K180" s="22"/>
      <c r="L180" s="20"/>
      <c r="M180" s="31" t="str">
        <f>IMAGE("https://assets.tcgdex.net/de/sv/sv01/213/low.jpg", 1)</f>
        <v/>
      </c>
      <c r="N180" s="22"/>
      <c r="O180" s="20"/>
    </row>
    <row r="181" ht="22.5" customHeight="1">
      <c r="A181" s="33" t="b">
        <v>1</v>
      </c>
      <c r="B181" s="33" t="b">
        <v>1</v>
      </c>
      <c r="C181" s="34" t="str">
        <f>HYPERLINK("https://prices.pokemontcg.io/cardmarket/sv1-205", "CM")</f>
        <v>CM</v>
      </c>
      <c r="D181" s="33" t="b">
        <v>1</v>
      </c>
      <c r="E181" s="33" t="b">
        <v>1</v>
      </c>
      <c r="F181" s="34" t="str">
        <f>HYPERLINK("https://prices.pokemontcg.io/cardmarket/sv1-209", "CM")</f>
        <v>CM</v>
      </c>
      <c r="G181" s="33" t="b">
        <v>1</v>
      </c>
      <c r="H181" s="33" t="b">
        <v>1</v>
      </c>
      <c r="I181" s="34" t="str">
        <f>HYPERLINK("https://prices.pokemontcg.io/cardmarket/sv1-211", "CM")</f>
        <v>CM</v>
      </c>
      <c r="J181" s="33" t="b">
        <v>1</v>
      </c>
      <c r="K181" s="33" t="b">
        <v>1</v>
      </c>
      <c r="L181" s="34" t="str">
        <f>HYPERLINK("https://prices.pokemontcg.io/cardmarket/sv1-212", "CM")</f>
        <v>CM</v>
      </c>
      <c r="M181" s="33" t="b">
        <v>1</v>
      </c>
      <c r="N181" s="33" t="b">
        <v>1</v>
      </c>
      <c r="O181" s="34" t="str">
        <f>HYPERLINK("https://prices.pokemontcg.io/cardmarket/sv1-213", "CM")</f>
        <v>CM</v>
      </c>
    </row>
    <row r="182" ht="7.5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</row>
    <row r="183" ht="18.75" customHeight="1">
      <c r="A183" s="27" t="s">
        <v>1324</v>
      </c>
      <c r="B183" s="28" t="s">
        <v>998</v>
      </c>
      <c r="C183" s="20"/>
      <c r="D183" s="27" t="s">
        <v>1325</v>
      </c>
      <c r="E183" s="28" t="s">
        <v>1285</v>
      </c>
      <c r="F183" s="20"/>
      <c r="G183" s="27" t="s">
        <v>1326</v>
      </c>
      <c r="H183" s="28" t="s">
        <v>1224</v>
      </c>
      <c r="I183" s="20"/>
      <c r="J183" s="27" t="s">
        <v>1327</v>
      </c>
      <c r="K183" s="28" t="s">
        <v>1294</v>
      </c>
      <c r="L183" s="20"/>
      <c r="M183" s="27" t="s">
        <v>1328</v>
      </c>
      <c r="N183" s="28" t="s">
        <v>1295</v>
      </c>
      <c r="O183" s="20"/>
    </row>
    <row r="184" ht="180.0" customHeight="1">
      <c r="A184" s="31" t="str">
        <f>IMAGE("https://assets.tcgdex.net/de/sv/sv01/215/low.jpg", 1)</f>
        <v/>
      </c>
      <c r="B184" s="22"/>
      <c r="C184" s="20"/>
      <c r="D184" s="31" t="str">
        <f>IMAGE("https://assets.tcgdex.net/de/sv/sv01/216/low.jpg", 1)</f>
        <v/>
      </c>
      <c r="E184" s="22"/>
      <c r="F184" s="20"/>
      <c r="G184" s="31" t="str">
        <f>IMAGE("https://assets.tcgdex.net/de/sv/sv01/217/low.jpg", 1)</f>
        <v/>
      </c>
      <c r="H184" s="22"/>
      <c r="I184" s="20"/>
      <c r="J184" s="31" t="str">
        <f>IMAGE("https://assets.tcgdex.net/de/sv/sv01/218/low.jpg", 1)</f>
        <v/>
      </c>
      <c r="K184" s="22"/>
      <c r="L184" s="20"/>
      <c r="M184" s="31" t="str">
        <f>IMAGE("https://assets.tcgdex.net/de/sv/sv01/219/low.jpg", 1)</f>
        <v/>
      </c>
      <c r="N184" s="22"/>
      <c r="O184" s="20"/>
    </row>
    <row r="185" ht="22.5" customHeight="1">
      <c r="A185" s="33" t="b">
        <v>1</v>
      </c>
      <c r="B185" s="33" t="b">
        <v>1</v>
      </c>
      <c r="C185" s="34" t="str">
        <f>HYPERLINK("https://prices.pokemontcg.io/cardmarket/sv1-215", "CM")</f>
        <v>CM</v>
      </c>
      <c r="D185" s="33" t="b">
        <v>1</v>
      </c>
      <c r="E185" s="33" t="b">
        <v>1</v>
      </c>
      <c r="F185" s="34" t="str">
        <f>HYPERLINK("https://prices.pokemontcg.io/cardmarket/sv1-216", "CM")</f>
        <v>CM</v>
      </c>
      <c r="G185" s="33" t="b">
        <v>1</v>
      </c>
      <c r="H185" s="33" t="b">
        <v>1</v>
      </c>
      <c r="I185" s="34" t="str">
        <f>HYPERLINK("https://prices.pokemontcg.io/cardmarket/sv1-217", "CM")</f>
        <v>CM</v>
      </c>
      <c r="J185" s="33" t="b">
        <v>1</v>
      </c>
      <c r="K185" s="33" t="b">
        <v>1</v>
      </c>
      <c r="L185" s="34" t="str">
        <f>HYPERLINK("https://prices.pokemontcg.io/cardmarket/sv1-218", "CM")</f>
        <v>CM</v>
      </c>
      <c r="M185" s="33" t="b">
        <v>1</v>
      </c>
      <c r="N185" s="33" t="b">
        <v>1</v>
      </c>
      <c r="O185" s="34" t="str">
        <f>HYPERLINK("https://prices.pokemontcg.io/cardmarket/sv1-219", "CM")</f>
        <v>CM</v>
      </c>
    </row>
    <row r="186" ht="7.5" customHeigh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</row>
    <row r="187" ht="18.75" customHeight="1">
      <c r="A187" s="27" t="s">
        <v>1329</v>
      </c>
      <c r="B187" s="28" t="s">
        <v>652</v>
      </c>
      <c r="C187" s="20"/>
      <c r="D187" s="27" t="s">
        <v>1330</v>
      </c>
      <c r="E187" s="28" t="s">
        <v>942</v>
      </c>
      <c r="F187" s="20"/>
      <c r="G187" s="27" t="s">
        <v>1331</v>
      </c>
      <c r="H187" s="28" t="s">
        <v>1250</v>
      </c>
      <c r="I187" s="20"/>
      <c r="J187" s="27" t="s">
        <v>1332</v>
      </c>
      <c r="K187" s="28" t="s">
        <v>1253</v>
      </c>
      <c r="L187" s="20"/>
      <c r="M187" s="27" t="s">
        <v>1333</v>
      </c>
      <c r="N187" s="28" t="s">
        <v>1260</v>
      </c>
      <c r="O187" s="20"/>
    </row>
    <row r="188" ht="180.0" customHeight="1">
      <c r="A188" s="31" t="str">
        <f>IMAGE("https://assets.tcgdex.net/de/sv/sv01/220/low.jpg", 1)</f>
        <v/>
      </c>
      <c r="B188" s="22"/>
      <c r="C188" s="20"/>
      <c r="D188" s="31" t="str">
        <f>IMAGE("https://assets.tcgdex.net/de/sv/sv01/221/low.jpg", 1)</f>
        <v/>
      </c>
      <c r="E188" s="22"/>
      <c r="F188" s="20"/>
      <c r="G188" s="31" t="str">
        <f>IMAGE("https://assets.tcgdex.net/de/sv/sv01/223/low.jpg", 1)</f>
        <v/>
      </c>
      <c r="H188" s="22"/>
      <c r="I188" s="20"/>
      <c r="J188" s="31" t="str">
        <f>IMAGE("https://assets.tcgdex.net/de/sv/sv01/224/low.jpg", 1)</f>
        <v/>
      </c>
      <c r="K188" s="22"/>
      <c r="L188" s="20"/>
      <c r="M188" s="31" t="str">
        <f>IMAGE("https://assets.tcgdex.net/de/sv/sv01/225/low.jpg", 1)</f>
        <v/>
      </c>
      <c r="N188" s="22"/>
      <c r="O188" s="20"/>
    </row>
    <row r="189" ht="22.5" customHeight="1">
      <c r="A189" s="33" t="b">
        <v>1</v>
      </c>
      <c r="B189" s="33" t="b">
        <v>1</v>
      </c>
      <c r="C189" s="34" t="str">
        <f>HYPERLINK("https://prices.pokemontcg.io/cardmarket/sv1-220", "CM")</f>
        <v>CM</v>
      </c>
      <c r="D189" s="33" t="b">
        <v>1</v>
      </c>
      <c r="E189" s="33" t="b">
        <v>1</v>
      </c>
      <c r="F189" s="34" t="str">
        <f>HYPERLINK("https://prices.pokemontcg.io/cardmarket/sv1-221", "CM")</f>
        <v>CM</v>
      </c>
      <c r="G189" s="33" t="b">
        <v>1</v>
      </c>
      <c r="H189" s="33" t="b">
        <v>1</v>
      </c>
      <c r="I189" s="34" t="str">
        <f>HYPERLINK("https://prices.pokemontcg.io/cardmarket/sv1-223", "CM")</f>
        <v>CM</v>
      </c>
      <c r="J189" s="33" t="b">
        <v>1</v>
      </c>
      <c r="K189" s="33" t="b">
        <v>1</v>
      </c>
      <c r="L189" s="34" t="str">
        <f>HYPERLINK("https://prices.pokemontcg.io/cardmarket/sv1-224", "CM")</f>
        <v>CM</v>
      </c>
      <c r="M189" s="33" t="b">
        <v>1</v>
      </c>
      <c r="N189" s="33" t="b">
        <v>1</v>
      </c>
      <c r="O189" s="34" t="str">
        <f>HYPERLINK("https://prices.pokemontcg.io/cardmarket/sv1-225", "CM")</f>
        <v>CM</v>
      </c>
    </row>
    <row r="190" ht="7.5" customHeight="1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</row>
    <row r="191" ht="18.75" customHeight="1">
      <c r="A191" s="27" t="s">
        <v>1334</v>
      </c>
      <c r="B191" s="28" t="s">
        <v>552</v>
      </c>
      <c r="C191" s="20"/>
      <c r="D191" s="27" t="s">
        <v>1335</v>
      </c>
      <c r="E191" s="28" t="s">
        <v>1275</v>
      </c>
      <c r="F191" s="20"/>
      <c r="G191" s="27" t="s">
        <v>1336</v>
      </c>
      <c r="H191" s="28" t="s">
        <v>802</v>
      </c>
      <c r="I191" s="20"/>
      <c r="J191" s="27" t="s">
        <v>1337</v>
      </c>
      <c r="K191" s="28" t="s">
        <v>554</v>
      </c>
      <c r="L191" s="20"/>
      <c r="M191" s="27" t="s">
        <v>1338</v>
      </c>
      <c r="N191" s="28" t="s">
        <v>1293</v>
      </c>
      <c r="O191" s="20"/>
    </row>
    <row r="192" ht="180.0" customHeight="1">
      <c r="A192" s="31" t="str">
        <f>IMAGE("https://assets.tcgdex.net/de/sv/sv01/227/low.jpg", 1)</f>
        <v/>
      </c>
      <c r="B192" s="22"/>
      <c r="C192" s="20"/>
      <c r="D192" s="31" t="str">
        <f>IMAGE("https://assets.tcgdex.net/de/sv/sv01/228/low.jpg", 1)</f>
        <v/>
      </c>
      <c r="E192" s="22"/>
      <c r="F192" s="20"/>
      <c r="G192" s="31" t="str">
        <f>IMAGE("https://assets.tcgdex.net/de/sv/sv01/230/low.jpg", 1)</f>
        <v/>
      </c>
      <c r="H192" s="22"/>
      <c r="I192" s="20"/>
      <c r="J192" s="31" t="str">
        <f>IMAGE("https://assets.tcgdex.net/de/sv/sv01/231/low.jpg", 1)</f>
        <v/>
      </c>
      <c r="K192" s="22"/>
      <c r="L192" s="20"/>
      <c r="M192" s="31" t="str">
        <f>IMAGE("https://assets.tcgdex.net/de/sv/sv01/232/low.jpg", 1)</f>
        <v/>
      </c>
      <c r="N192" s="22"/>
      <c r="O192" s="20"/>
    </row>
    <row r="193" ht="22.5" customHeight="1">
      <c r="A193" s="33" t="b">
        <v>1</v>
      </c>
      <c r="B193" s="33" t="b">
        <v>1</v>
      </c>
      <c r="C193" s="34" t="str">
        <f>HYPERLINK("https://prices.pokemontcg.io/cardmarket/sv1-227", "CM")</f>
        <v>CM</v>
      </c>
      <c r="D193" s="33" t="b">
        <v>1</v>
      </c>
      <c r="E193" s="33" t="b">
        <v>1</v>
      </c>
      <c r="F193" s="34" t="str">
        <f>HYPERLINK("https://prices.pokemontcg.io/cardmarket/sv1-228", "CM")</f>
        <v>CM</v>
      </c>
      <c r="G193" s="33" t="b">
        <v>1</v>
      </c>
      <c r="H193" s="33" t="b">
        <v>1</v>
      </c>
      <c r="I193" s="34" t="str">
        <f>HYPERLINK("https://prices.pokemontcg.io/cardmarket/sv1-230", "CM")</f>
        <v>CM</v>
      </c>
      <c r="J193" s="33" t="b">
        <v>1</v>
      </c>
      <c r="K193" s="33" t="b">
        <v>1</v>
      </c>
      <c r="L193" s="34" t="str">
        <f>HYPERLINK("https://prices.pokemontcg.io/cardmarket/sv1-231", "CM")</f>
        <v>CM</v>
      </c>
      <c r="M193" s="33" t="b">
        <v>1</v>
      </c>
      <c r="N193" s="33" t="b">
        <v>1</v>
      </c>
      <c r="O193" s="34" t="str">
        <f>HYPERLINK("https://prices.pokemontcg.io/cardmarket/sv1-232", "CM")</f>
        <v>CM</v>
      </c>
    </row>
    <row r="194" ht="7.5" customHeight="1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</row>
    <row r="195" ht="18.75" customHeight="1">
      <c r="A195" s="27" t="s">
        <v>1339</v>
      </c>
      <c r="B195" s="28" t="s">
        <v>804</v>
      </c>
      <c r="C195" s="20"/>
      <c r="D195" s="27" t="s">
        <v>1340</v>
      </c>
      <c r="E195" s="28" t="s">
        <v>1301</v>
      </c>
      <c r="F195" s="20"/>
      <c r="G195" s="27" t="s">
        <v>1341</v>
      </c>
      <c r="H195" s="28" t="s">
        <v>1305</v>
      </c>
      <c r="I195" s="20"/>
      <c r="J195" s="27" t="s">
        <v>1342</v>
      </c>
      <c r="K195" s="28" t="s">
        <v>1236</v>
      </c>
      <c r="L195" s="20"/>
      <c r="M195" s="27" t="s">
        <v>1343</v>
      </c>
      <c r="N195" s="28" t="s">
        <v>1308</v>
      </c>
      <c r="O195" s="20"/>
    </row>
    <row r="196" ht="180.0" customHeight="1">
      <c r="A196" s="31" t="str">
        <f>IMAGE("https://assets.tcgdex.net/de/sv/sv01/233/low.jpg", 1)</f>
        <v/>
      </c>
      <c r="B196" s="22"/>
      <c r="C196" s="20"/>
      <c r="D196" s="31" t="str">
        <f>IMAGE("https://assets.tcgdex.net/de/sv/sv01/234/low.jpg", 1)</f>
        <v/>
      </c>
      <c r="E196" s="22"/>
      <c r="F196" s="20"/>
      <c r="G196" s="31" t="str">
        <f>IMAGE("https://assets.tcgdex.net/de/sv/sv01/236/low.jpg", 1)</f>
        <v/>
      </c>
      <c r="H196" s="22"/>
      <c r="I196" s="20"/>
      <c r="J196" s="31" t="str">
        <f>IMAGE("https://assets.tcgdex.net/de/sv/sv01/237/low.jpg", 1)</f>
        <v/>
      </c>
      <c r="K196" s="22"/>
      <c r="L196" s="20"/>
      <c r="M196" s="31" t="str">
        <f>IMAGE("https://assets.tcgdex.net/de/sv/sv01/238/low.jpg", 1)</f>
        <v/>
      </c>
      <c r="N196" s="22"/>
      <c r="O196" s="20"/>
    </row>
    <row r="197" ht="22.5" customHeight="1">
      <c r="A197" s="33" t="b">
        <v>1</v>
      </c>
      <c r="B197" s="33" t="b">
        <v>1</v>
      </c>
      <c r="C197" s="34" t="str">
        <f>HYPERLINK("https://prices.pokemontcg.io/cardmarket/sv1-233", "CM")</f>
        <v>CM</v>
      </c>
      <c r="D197" s="33" t="b">
        <v>1</v>
      </c>
      <c r="E197" s="33" t="b">
        <v>1</v>
      </c>
      <c r="F197" s="34" t="str">
        <f>HYPERLINK("https://prices.pokemontcg.io/cardmarket/sv1-234", "CM")</f>
        <v>CM</v>
      </c>
      <c r="G197" s="33" t="b">
        <v>1</v>
      </c>
      <c r="H197" s="33" t="b">
        <v>1</v>
      </c>
      <c r="I197" s="34" t="str">
        <f>HYPERLINK("https://prices.pokemontcg.io/cardmarket/sv1-236", "CM")</f>
        <v>CM</v>
      </c>
      <c r="J197" s="33" t="b">
        <v>1</v>
      </c>
      <c r="K197" s="33" t="b">
        <v>1</v>
      </c>
      <c r="L197" s="34" t="str">
        <f>HYPERLINK("https://prices.pokemontcg.io/cardmarket/sv1-237", "CM")</f>
        <v>CM</v>
      </c>
      <c r="M197" s="33" t="b">
        <v>1</v>
      </c>
      <c r="N197" s="33" t="b">
        <v>1</v>
      </c>
      <c r="O197" s="34" t="str">
        <f>HYPERLINK("https://prices.pokemontcg.io/cardmarket/sv1-238", "CM")</f>
        <v>CM</v>
      </c>
    </row>
    <row r="198" ht="7.5" customHeight="1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</row>
    <row r="199" ht="18.75" customHeight="1">
      <c r="A199" s="27" t="s">
        <v>1344</v>
      </c>
      <c r="B199" s="28" t="s">
        <v>1040</v>
      </c>
      <c r="C199" s="20"/>
      <c r="D199" s="27" t="s">
        <v>1345</v>
      </c>
      <c r="E199" s="28" t="s">
        <v>1040</v>
      </c>
      <c r="F199" s="20"/>
      <c r="G199" s="27" t="s">
        <v>1346</v>
      </c>
      <c r="H199" s="28" t="s">
        <v>1316</v>
      </c>
      <c r="I199" s="20"/>
      <c r="J199" s="27" t="s">
        <v>1347</v>
      </c>
      <c r="K199" s="28" t="s">
        <v>1250</v>
      </c>
      <c r="L199" s="20"/>
      <c r="M199" s="27" t="s">
        <v>1348</v>
      </c>
      <c r="N199" s="28" t="s">
        <v>1275</v>
      </c>
      <c r="O199" s="20"/>
    </row>
    <row r="200" ht="180.0" customHeight="1">
      <c r="A200" s="31" t="str">
        <f>IMAGE("https://assets.tcgdex.net/de/sv/sv01/240/low.jpg", 1)</f>
        <v/>
      </c>
      <c r="B200" s="22"/>
      <c r="C200" s="20"/>
      <c r="D200" s="31" t="str">
        <f>IMAGE("https://assets.tcgdex.net/de/sv/sv01/241/low.jpg", 1)</f>
        <v/>
      </c>
      <c r="E200" s="22"/>
      <c r="F200" s="20"/>
      <c r="G200" s="31" t="str">
        <f>IMAGE("https://assets.tcgdex.net/de/sv/sv01/242/low.jpg", 1)</f>
        <v/>
      </c>
      <c r="H200" s="22"/>
      <c r="I200" s="20"/>
      <c r="J200" s="31" t="str">
        <f>IMAGE("https://assets.tcgdex.net/de/sv/sv01/243/low.jpg", 1)</f>
        <v/>
      </c>
      <c r="K200" s="22"/>
      <c r="L200" s="20"/>
      <c r="M200" s="31" t="str">
        <f>IMAGE("https://assets.tcgdex.net/de/sv/sv01/245/low.jpg", 1)</f>
        <v/>
      </c>
      <c r="N200" s="22"/>
      <c r="O200" s="20"/>
    </row>
    <row r="201" ht="22.5" customHeight="1">
      <c r="A201" s="33" t="b">
        <v>1</v>
      </c>
      <c r="B201" s="33" t="b">
        <v>1</v>
      </c>
      <c r="C201" s="34" t="str">
        <f>HYPERLINK("https://prices.pokemontcg.io/cardmarket/sv1-240", "CM")</f>
        <v>CM</v>
      </c>
      <c r="D201" s="33" t="b">
        <v>1</v>
      </c>
      <c r="E201" s="33" t="b">
        <v>1</v>
      </c>
      <c r="F201" s="34" t="str">
        <f>HYPERLINK("https://prices.pokemontcg.io/cardmarket/sv1-241", "CM")</f>
        <v>CM</v>
      </c>
      <c r="G201" s="33" t="b">
        <v>1</v>
      </c>
      <c r="H201" s="33" t="b">
        <v>1</v>
      </c>
      <c r="I201" s="34" t="str">
        <f>HYPERLINK("https://prices.pokemontcg.io/cardmarket/sv1-242", "CM")</f>
        <v>CM</v>
      </c>
      <c r="J201" s="33" t="b">
        <v>1</v>
      </c>
      <c r="K201" s="33" t="b">
        <v>1</v>
      </c>
      <c r="L201" s="34" t="str">
        <f>HYPERLINK("https://prices.pokemontcg.io/cardmarket/sv1-243", "CM")</f>
        <v>CM</v>
      </c>
      <c r="M201" s="33" t="b">
        <v>1</v>
      </c>
      <c r="N201" s="33" t="b">
        <v>1</v>
      </c>
      <c r="O201" s="34" t="str">
        <f>HYPERLINK("https://prices.pokemontcg.io/cardmarket/sv1-245", "CM")</f>
        <v>CM</v>
      </c>
    </row>
    <row r="202" ht="7.5" customHeight="1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</row>
    <row r="203" ht="18.75" customHeight="1">
      <c r="A203" s="27" t="s">
        <v>1349</v>
      </c>
      <c r="B203" s="28" t="s">
        <v>554</v>
      </c>
      <c r="C203" s="20"/>
      <c r="D203" s="27" t="s">
        <v>1350</v>
      </c>
      <c r="E203" s="28" t="s">
        <v>1194</v>
      </c>
      <c r="F203" s="20"/>
      <c r="G203" s="27" t="s">
        <v>1351</v>
      </c>
      <c r="H203" s="28" t="s">
        <v>1305</v>
      </c>
      <c r="I203" s="20"/>
      <c r="J203" s="27" t="s">
        <v>1352</v>
      </c>
      <c r="K203" s="28" t="s">
        <v>1308</v>
      </c>
      <c r="L203" s="20"/>
      <c r="M203" s="27" t="s">
        <v>1353</v>
      </c>
      <c r="N203" s="28" t="s">
        <v>552</v>
      </c>
      <c r="O203" s="20"/>
    </row>
    <row r="204" ht="180.0" customHeight="1">
      <c r="A204" s="31" t="str">
        <f>IMAGE("https://assets.tcgdex.net/de/sv/sv01/247/low.jpg", 1)</f>
        <v/>
      </c>
      <c r="B204" s="22"/>
      <c r="C204" s="20"/>
      <c r="D204" s="31" t="str">
        <f>IMAGE("https://assets.tcgdex.net/de/sv/sv01/249/low.jpg", 1)</f>
        <v/>
      </c>
      <c r="E204" s="22"/>
      <c r="F204" s="20"/>
      <c r="G204" s="31" t="str">
        <f>IMAGE("https://assets.tcgdex.net/de/sv/sv01/250/low.jpg", 1)</f>
        <v/>
      </c>
      <c r="H204" s="22"/>
      <c r="I204" s="20"/>
      <c r="J204" s="31" t="str">
        <f>IMAGE("https://assets.tcgdex.net/de/sv/sv01/251/low.jpg", 1)</f>
        <v/>
      </c>
      <c r="K204" s="22"/>
      <c r="L204" s="20"/>
      <c r="M204" s="31" t="str">
        <f>IMAGE("https://assets.tcgdex.net/de/sv/sv01/253/low.jpg", 1)</f>
        <v/>
      </c>
      <c r="N204" s="22"/>
      <c r="O204" s="20"/>
    </row>
    <row r="205" ht="22.5" customHeight="1">
      <c r="A205" s="33" t="b">
        <v>1</v>
      </c>
      <c r="B205" s="33" t="b">
        <v>1</v>
      </c>
      <c r="C205" s="34" t="str">
        <f>HYPERLINK("https://prices.pokemontcg.io/cardmarket/sv1-247", "CM")</f>
        <v>CM</v>
      </c>
      <c r="D205" s="33" t="b">
        <v>1</v>
      </c>
      <c r="E205" s="33" t="b">
        <v>1</v>
      </c>
      <c r="F205" s="34" t="str">
        <f>HYPERLINK("https://prices.pokemontcg.io/cardmarket/sv1-249", "CM")</f>
        <v>CM</v>
      </c>
      <c r="G205" s="33" t="b">
        <v>1</v>
      </c>
      <c r="H205" s="33" t="b">
        <v>1</v>
      </c>
      <c r="I205" s="34" t="str">
        <f>HYPERLINK("https://prices.pokemontcg.io/cardmarket/sv1-250", "CM")</f>
        <v>CM</v>
      </c>
      <c r="J205" s="33" t="b">
        <v>1</v>
      </c>
      <c r="K205" s="33" t="b">
        <v>1</v>
      </c>
      <c r="L205" s="34" t="str">
        <f>HYPERLINK("https://prices.pokemontcg.io/cardmarket/sv1-251", "CM")</f>
        <v>CM</v>
      </c>
      <c r="M205" s="33" t="b">
        <v>1</v>
      </c>
      <c r="N205" s="33" t="b">
        <v>1</v>
      </c>
      <c r="O205" s="34" t="str">
        <f>HYPERLINK("https://prices.pokemontcg.io/cardmarket/sv1-253", "CM")</f>
        <v>CM</v>
      </c>
    </row>
    <row r="206" ht="7.5" customHeight="1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</row>
    <row r="207" ht="18.75" customHeight="1">
      <c r="A207" s="27" t="s">
        <v>1354</v>
      </c>
      <c r="B207" s="28" t="s">
        <v>1310</v>
      </c>
      <c r="C207" s="20"/>
      <c r="D207" s="27" t="s">
        <v>1355</v>
      </c>
      <c r="E207" s="28" t="s">
        <v>1035</v>
      </c>
      <c r="F207" s="20"/>
      <c r="G207" s="27" t="s">
        <v>1356</v>
      </c>
      <c r="H207" s="28" t="s">
        <v>1357</v>
      </c>
      <c r="I207" s="20"/>
      <c r="J207" s="26"/>
      <c r="K207" s="26"/>
      <c r="L207" s="26"/>
      <c r="M207" s="26"/>
      <c r="N207" s="26"/>
      <c r="O207" s="26"/>
    </row>
    <row r="208" ht="180.0" customHeight="1">
      <c r="A208" s="31" t="str">
        <f>IMAGE("https://assets.tcgdex.net/de/sv/sv01/255/low.jpg", 1)</f>
        <v/>
      </c>
      <c r="B208" s="22"/>
      <c r="C208" s="20"/>
      <c r="D208" s="31" t="str">
        <f>IMAGE("https://assets.tcgdex.net/de/sv/sv01/256/low.jpg", 1)</f>
        <v/>
      </c>
      <c r="E208" s="22"/>
      <c r="F208" s="20"/>
      <c r="G208" s="31" t="str">
        <f>IMAGE("https://assets.tcgdex.net/de/sv/sv01/257/low.jpg", 1)</f>
        <v/>
      </c>
      <c r="H208" s="22"/>
      <c r="I208" s="20"/>
      <c r="J208" s="26"/>
      <c r="K208" s="26"/>
      <c r="L208" s="26"/>
      <c r="M208" s="26"/>
      <c r="N208" s="26"/>
      <c r="O208" s="26"/>
    </row>
    <row r="209" ht="22.5" customHeight="1">
      <c r="A209" s="33" t="b">
        <v>1</v>
      </c>
      <c r="B209" s="33" t="b">
        <v>1</v>
      </c>
      <c r="C209" s="34" t="str">
        <f>HYPERLINK("https://prices.pokemontcg.io/cardmarket/sv1-255", "CM")</f>
        <v>CM</v>
      </c>
      <c r="D209" s="33" t="b">
        <v>1</v>
      </c>
      <c r="E209" s="33" t="b">
        <v>1</v>
      </c>
      <c r="F209" s="34" t="str">
        <f>HYPERLINK("https://prices.pokemontcg.io/cardmarket/sv1-256", "CM")</f>
        <v>CM</v>
      </c>
      <c r="G209" s="33" t="b">
        <v>1</v>
      </c>
      <c r="H209" s="33" t="b">
        <v>1</v>
      </c>
      <c r="I209" s="34" t="str">
        <f>HYPERLINK("https://prices.pokemontcg.io/cardmarket/sv1-257", "CM")</f>
        <v>CM</v>
      </c>
      <c r="J209" s="26"/>
      <c r="K209" s="26"/>
      <c r="L209" s="26"/>
      <c r="M209" s="26"/>
      <c r="N209" s="26"/>
      <c r="O209" s="26"/>
    </row>
    <row r="210" ht="7.5" customHeight="1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</row>
  </sheetData>
  <mergeCells count="518">
    <mergeCell ref="B79:C79"/>
    <mergeCell ref="E79:F79"/>
    <mergeCell ref="H79:I79"/>
    <mergeCell ref="K79:L79"/>
    <mergeCell ref="N79:O79"/>
    <mergeCell ref="A80:C80"/>
    <mergeCell ref="D80:F80"/>
    <mergeCell ref="M80:O80"/>
    <mergeCell ref="G80:I80"/>
    <mergeCell ref="J80:L80"/>
    <mergeCell ref="B83:C83"/>
    <mergeCell ref="E83:F83"/>
    <mergeCell ref="H83:I83"/>
    <mergeCell ref="K83:L83"/>
    <mergeCell ref="N83:O83"/>
    <mergeCell ref="H87:I87"/>
    <mergeCell ref="K87:L87"/>
    <mergeCell ref="J88:L88"/>
    <mergeCell ref="M88:O88"/>
    <mergeCell ref="A84:C84"/>
    <mergeCell ref="D84:F84"/>
    <mergeCell ref="G84:I84"/>
    <mergeCell ref="J84:L84"/>
    <mergeCell ref="M84:O84"/>
    <mergeCell ref="E87:F87"/>
    <mergeCell ref="N87:O87"/>
    <mergeCell ref="K91:L91"/>
    <mergeCell ref="N91:O91"/>
    <mergeCell ref="A92:C92"/>
    <mergeCell ref="D92:F92"/>
    <mergeCell ref="G92:I92"/>
    <mergeCell ref="J92:L92"/>
    <mergeCell ref="M92:O92"/>
    <mergeCell ref="B87:C87"/>
    <mergeCell ref="A88:C88"/>
    <mergeCell ref="D88:F88"/>
    <mergeCell ref="G88:I88"/>
    <mergeCell ref="B91:C91"/>
    <mergeCell ref="E91:F91"/>
    <mergeCell ref="H91:I91"/>
    <mergeCell ref="B95:C95"/>
    <mergeCell ref="E95:F95"/>
    <mergeCell ref="H95:I95"/>
    <mergeCell ref="K95:L95"/>
    <mergeCell ref="N95:O95"/>
    <mergeCell ref="A96:C96"/>
    <mergeCell ref="D96:F96"/>
    <mergeCell ref="M96:O96"/>
    <mergeCell ref="G96:I96"/>
    <mergeCell ref="J96:L96"/>
    <mergeCell ref="B99:C99"/>
    <mergeCell ref="E99:F99"/>
    <mergeCell ref="H99:I99"/>
    <mergeCell ref="K99:L99"/>
    <mergeCell ref="N99:O99"/>
    <mergeCell ref="H103:I103"/>
    <mergeCell ref="K103:L103"/>
    <mergeCell ref="J104:L104"/>
    <mergeCell ref="M104:O104"/>
    <mergeCell ref="A100:C100"/>
    <mergeCell ref="D100:F100"/>
    <mergeCell ref="G100:I100"/>
    <mergeCell ref="J100:L100"/>
    <mergeCell ref="M100:O100"/>
    <mergeCell ref="E103:F103"/>
    <mergeCell ref="N103:O103"/>
    <mergeCell ref="K107:L107"/>
    <mergeCell ref="N107:O107"/>
    <mergeCell ref="A108:C108"/>
    <mergeCell ref="D108:F108"/>
    <mergeCell ref="G108:I108"/>
    <mergeCell ref="J108:L108"/>
    <mergeCell ref="M108:O108"/>
    <mergeCell ref="B103:C103"/>
    <mergeCell ref="A104:C104"/>
    <mergeCell ref="D104:F104"/>
    <mergeCell ref="G104:I104"/>
    <mergeCell ref="B107:C107"/>
    <mergeCell ref="E107:F107"/>
    <mergeCell ref="H107:I107"/>
    <mergeCell ref="B111:C111"/>
    <mergeCell ref="E111:F111"/>
    <mergeCell ref="H111:I111"/>
    <mergeCell ref="K111:L111"/>
    <mergeCell ref="N111:O111"/>
    <mergeCell ref="A112:C112"/>
    <mergeCell ref="D112:F112"/>
    <mergeCell ref="M112:O112"/>
    <mergeCell ref="G112:I112"/>
    <mergeCell ref="J112:L112"/>
    <mergeCell ref="B115:C115"/>
    <mergeCell ref="E115:F115"/>
    <mergeCell ref="H115:I115"/>
    <mergeCell ref="K115:L115"/>
    <mergeCell ref="N115:O115"/>
    <mergeCell ref="H119:I119"/>
    <mergeCell ref="K119:L119"/>
    <mergeCell ref="J120:L120"/>
    <mergeCell ref="M120:O120"/>
    <mergeCell ref="A116:C116"/>
    <mergeCell ref="D116:F116"/>
    <mergeCell ref="G116:I116"/>
    <mergeCell ref="J116:L116"/>
    <mergeCell ref="M116:O116"/>
    <mergeCell ref="E119:F119"/>
    <mergeCell ref="N119:O119"/>
    <mergeCell ref="K123:L123"/>
    <mergeCell ref="N123:O123"/>
    <mergeCell ref="A124:C124"/>
    <mergeCell ref="D124:F124"/>
    <mergeCell ref="G124:I124"/>
    <mergeCell ref="J124:L124"/>
    <mergeCell ref="M124:O124"/>
    <mergeCell ref="B119:C119"/>
    <mergeCell ref="A120:C120"/>
    <mergeCell ref="D120:F120"/>
    <mergeCell ref="G120:I120"/>
    <mergeCell ref="B123:C123"/>
    <mergeCell ref="E123:F123"/>
    <mergeCell ref="H123:I123"/>
    <mergeCell ref="B127:C127"/>
    <mergeCell ref="E127:F127"/>
    <mergeCell ref="H127:I127"/>
    <mergeCell ref="K127:L127"/>
    <mergeCell ref="N127:O127"/>
    <mergeCell ref="A128:C128"/>
    <mergeCell ref="D128:F128"/>
    <mergeCell ref="M128:O128"/>
    <mergeCell ref="G128:I128"/>
    <mergeCell ref="J128:L128"/>
    <mergeCell ref="B131:C131"/>
    <mergeCell ref="E131:F131"/>
    <mergeCell ref="H131:I131"/>
    <mergeCell ref="K131:L131"/>
    <mergeCell ref="N131:O131"/>
    <mergeCell ref="H135:I135"/>
    <mergeCell ref="K135:L135"/>
    <mergeCell ref="J136:L136"/>
    <mergeCell ref="M136:O136"/>
    <mergeCell ref="A132:C132"/>
    <mergeCell ref="D132:F132"/>
    <mergeCell ref="G132:I132"/>
    <mergeCell ref="J132:L132"/>
    <mergeCell ref="M132:O132"/>
    <mergeCell ref="E135:F135"/>
    <mergeCell ref="N135:O135"/>
    <mergeCell ref="K139:L139"/>
    <mergeCell ref="N139:O139"/>
    <mergeCell ref="A140:C140"/>
    <mergeCell ref="D140:F140"/>
    <mergeCell ref="G140:I140"/>
    <mergeCell ref="J140:L140"/>
    <mergeCell ref="M140:O140"/>
    <mergeCell ref="B135:C135"/>
    <mergeCell ref="A136:C136"/>
    <mergeCell ref="D136:F136"/>
    <mergeCell ref="G136:I136"/>
    <mergeCell ref="B139:C139"/>
    <mergeCell ref="E139:F139"/>
    <mergeCell ref="H139:I139"/>
    <mergeCell ref="B143:C143"/>
    <mergeCell ref="E143:F143"/>
    <mergeCell ref="H143:I143"/>
    <mergeCell ref="K143:L143"/>
    <mergeCell ref="N143:O143"/>
    <mergeCell ref="A144:C144"/>
    <mergeCell ref="D144:F144"/>
    <mergeCell ref="M144:O144"/>
    <mergeCell ref="G144:I144"/>
    <mergeCell ref="J144:L144"/>
    <mergeCell ref="B147:C147"/>
    <mergeCell ref="E147:F147"/>
    <mergeCell ref="H147:I147"/>
    <mergeCell ref="K147:L147"/>
    <mergeCell ref="N147:O147"/>
    <mergeCell ref="H151:I151"/>
    <mergeCell ref="K151:L151"/>
    <mergeCell ref="J152:L152"/>
    <mergeCell ref="M152:O152"/>
    <mergeCell ref="A148:C148"/>
    <mergeCell ref="D148:F148"/>
    <mergeCell ref="G148:I148"/>
    <mergeCell ref="J148:L148"/>
    <mergeCell ref="M148:O148"/>
    <mergeCell ref="E151:F151"/>
    <mergeCell ref="N151:O151"/>
    <mergeCell ref="K155:L155"/>
    <mergeCell ref="N155:O155"/>
    <mergeCell ref="A156:C156"/>
    <mergeCell ref="D156:F156"/>
    <mergeCell ref="G156:I156"/>
    <mergeCell ref="J156:L156"/>
    <mergeCell ref="M156:O156"/>
    <mergeCell ref="B151:C151"/>
    <mergeCell ref="A152:C152"/>
    <mergeCell ref="D152:F152"/>
    <mergeCell ref="G152:I152"/>
    <mergeCell ref="B155:C155"/>
    <mergeCell ref="E155:F155"/>
    <mergeCell ref="H155:I155"/>
    <mergeCell ref="B159:C159"/>
    <mergeCell ref="E159:F159"/>
    <mergeCell ref="H159:I159"/>
    <mergeCell ref="K159:L159"/>
    <mergeCell ref="N159:O159"/>
    <mergeCell ref="A160:C160"/>
    <mergeCell ref="D160:F160"/>
    <mergeCell ref="M160:O160"/>
    <mergeCell ref="G160:I160"/>
    <mergeCell ref="J160:L160"/>
    <mergeCell ref="B163:C163"/>
    <mergeCell ref="E163:F163"/>
    <mergeCell ref="H163:I163"/>
    <mergeCell ref="K163:L163"/>
    <mergeCell ref="N163:O163"/>
    <mergeCell ref="H167:I167"/>
    <mergeCell ref="K167:L167"/>
    <mergeCell ref="J168:L168"/>
    <mergeCell ref="M168:O168"/>
    <mergeCell ref="A164:C164"/>
    <mergeCell ref="D164:F164"/>
    <mergeCell ref="G164:I164"/>
    <mergeCell ref="J164:L164"/>
    <mergeCell ref="M164:O164"/>
    <mergeCell ref="E167:F167"/>
    <mergeCell ref="N167:O167"/>
    <mergeCell ref="K171:L171"/>
    <mergeCell ref="N171:O171"/>
    <mergeCell ref="A172:C172"/>
    <mergeCell ref="D172:F172"/>
    <mergeCell ref="G172:I172"/>
    <mergeCell ref="J172:L172"/>
    <mergeCell ref="M172:O172"/>
    <mergeCell ref="B167:C167"/>
    <mergeCell ref="A168:C168"/>
    <mergeCell ref="D168:F168"/>
    <mergeCell ref="G168:I168"/>
    <mergeCell ref="B171:C171"/>
    <mergeCell ref="E171:F171"/>
    <mergeCell ref="H171:I171"/>
    <mergeCell ref="B191:C191"/>
    <mergeCell ref="E191:F191"/>
    <mergeCell ref="H191:I191"/>
    <mergeCell ref="K191:L191"/>
    <mergeCell ref="N191:O191"/>
    <mergeCell ref="A192:C192"/>
    <mergeCell ref="D192:F192"/>
    <mergeCell ref="M192:O192"/>
    <mergeCell ref="G192:I192"/>
    <mergeCell ref="J192:L192"/>
    <mergeCell ref="B195:C195"/>
    <mergeCell ref="E195:F195"/>
    <mergeCell ref="H195:I195"/>
    <mergeCell ref="K195:L195"/>
    <mergeCell ref="N195:O195"/>
    <mergeCell ref="H199:I199"/>
    <mergeCell ref="K199:L199"/>
    <mergeCell ref="J200:L200"/>
    <mergeCell ref="M200:O200"/>
    <mergeCell ref="A196:C196"/>
    <mergeCell ref="D196:F196"/>
    <mergeCell ref="G196:I196"/>
    <mergeCell ref="J196:L196"/>
    <mergeCell ref="M196:O196"/>
    <mergeCell ref="E199:F199"/>
    <mergeCell ref="N199:O199"/>
    <mergeCell ref="K203:L203"/>
    <mergeCell ref="N203:O203"/>
    <mergeCell ref="A204:C204"/>
    <mergeCell ref="D204:F204"/>
    <mergeCell ref="G204:I204"/>
    <mergeCell ref="J204:L204"/>
    <mergeCell ref="M204:O204"/>
    <mergeCell ref="B207:C207"/>
    <mergeCell ref="E207:F207"/>
    <mergeCell ref="H207:I207"/>
    <mergeCell ref="A208:C208"/>
    <mergeCell ref="D208:F208"/>
    <mergeCell ref="G208:I208"/>
    <mergeCell ref="B199:C199"/>
    <mergeCell ref="A200:C200"/>
    <mergeCell ref="D200:F200"/>
    <mergeCell ref="G200:I200"/>
    <mergeCell ref="B203:C203"/>
    <mergeCell ref="E203:F203"/>
    <mergeCell ref="H203:I203"/>
    <mergeCell ref="B175:C175"/>
    <mergeCell ref="E175:F175"/>
    <mergeCell ref="H175:I175"/>
    <mergeCell ref="K175:L175"/>
    <mergeCell ref="N175:O175"/>
    <mergeCell ref="A176:C176"/>
    <mergeCell ref="D176:F176"/>
    <mergeCell ref="M176:O176"/>
    <mergeCell ref="G176:I176"/>
    <mergeCell ref="J176:L176"/>
    <mergeCell ref="B179:C179"/>
    <mergeCell ref="E179:F179"/>
    <mergeCell ref="H179:I179"/>
    <mergeCell ref="K179:L179"/>
    <mergeCell ref="N179:O179"/>
    <mergeCell ref="H183:I183"/>
    <mergeCell ref="K183:L183"/>
    <mergeCell ref="J184:L184"/>
    <mergeCell ref="M184:O184"/>
    <mergeCell ref="A180:C180"/>
    <mergeCell ref="D180:F180"/>
    <mergeCell ref="G180:I180"/>
    <mergeCell ref="J180:L180"/>
    <mergeCell ref="M180:O180"/>
    <mergeCell ref="E183:F183"/>
    <mergeCell ref="N183:O183"/>
    <mergeCell ref="K187:L187"/>
    <mergeCell ref="N187:O187"/>
    <mergeCell ref="A188:C188"/>
    <mergeCell ref="D188:F188"/>
    <mergeCell ref="G188:I188"/>
    <mergeCell ref="J188:L188"/>
    <mergeCell ref="M188:O188"/>
    <mergeCell ref="B183:C183"/>
    <mergeCell ref="A184:C184"/>
    <mergeCell ref="D184:F184"/>
    <mergeCell ref="G184:I184"/>
    <mergeCell ref="B187:C187"/>
    <mergeCell ref="E187:F187"/>
    <mergeCell ref="H187:I187"/>
    <mergeCell ref="B15:C15"/>
    <mergeCell ref="E15:F15"/>
    <mergeCell ref="H15:I15"/>
    <mergeCell ref="K15:L15"/>
    <mergeCell ref="N15:O15"/>
    <mergeCell ref="A16:C16"/>
    <mergeCell ref="D16:F16"/>
    <mergeCell ref="M16:O16"/>
    <mergeCell ref="G16:I16"/>
    <mergeCell ref="J16:L16"/>
    <mergeCell ref="B19:C19"/>
    <mergeCell ref="E19:F19"/>
    <mergeCell ref="H19:I19"/>
    <mergeCell ref="K19:L19"/>
    <mergeCell ref="N19:O19"/>
    <mergeCell ref="H23:I23"/>
    <mergeCell ref="K23:L23"/>
    <mergeCell ref="A20:C20"/>
    <mergeCell ref="D20:F20"/>
    <mergeCell ref="G20:I20"/>
    <mergeCell ref="J20:L20"/>
    <mergeCell ref="M20:O20"/>
    <mergeCell ref="E23:F23"/>
    <mergeCell ref="N23:O23"/>
    <mergeCell ref="K27:L27"/>
    <mergeCell ref="N27:O27"/>
    <mergeCell ref="B23:C23"/>
    <mergeCell ref="A24:C24"/>
    <mergeCell ref="D24:F24"/>
    <mergeCell ref="G24:I24"/>
    <mergeCell ref="J24:L24"/>
    <mergeCell ref="M24:O24"/>
    <mergeCell ref="B27:C27"/>
    <mergeCell ref="A1:N1"/>
    <mergeCell ref="A2:O2"/>
    <mergeCell ref="B3:C3"/>
    <mergeCell ref="E3:F3"/>
    <mergeCell ref="H3:I3"/>
    <mergeCell ref="K3:L3"/>
    <mergeCell ref="N3:O3"/>
    <mergeCell ref="H7:I7"/>
    <mergeCell ref="K7:L7"/>
    <mergeCell ref="J8:L8"/>
    <mergeCell ref="M8:O8"/>
    <mergeCell ref="A4:C4"/>
    <mergeCell ref="D4:F4"/>
    <mergeCell ref="G4:I4"/>
    <mergeCell ref="J4:L4"/>
    <mergeCell ref="M4:O4"/>
    <mergeCell ref="E7:F7"/>
    <mergeCell ref="N7:O7"/>
    <mergeCell ref="K11:L11"/>
    <mergeCell ref="N11:O11"/>
    <mergeCell ref="A12:C12"/>
    <mergeCell ref="D12:F12"/>
    <mergeCell ref="G12:I12"/>
    <mergeCell ref="J12:L12"/>
    <mergeCell ref="M12:O12"/>
    <mergeCell ref="B7:C7"/>
    <mergeCell ref="A8:C8"/>
    <mergeCell ref="D8:F8"/>
    <mergeCell ref="G8:I8"/>
    <mergeCell ref="B11:C11"/>
    <mergeCell ref="E11:F11"/>
    <mergeCell ref="H11:I11"/>
    <mergeCell ref="E27:F27"/>
    <mergeCell ref="H27:I27"/>
    <mergeCell ref="A28:C28"/>
    <mergeCell ref="D28:F28"/>
    <mergeCell ref="G28:I28"/>
    <mergeCell ref="J28:L28"/>
    <mergeCell ref="M28:O28"/>
    <mergeCell ref="B31:C31"/>
    <mergeCell ref="E31:F31"/>
    <mergeCell ref="H31:I31"/>
    <mergeCell ref="K31:L31"/>
    <mergeCell ref="N31:O31"/>
    <mergeCell ref="A32:C32"/>
    <mergeCell ref="D32:F32"/>
    <mergeCell ref="M32:O32"/>
    <mergeCell ref="G32:I32"/>
    <mergeCell ref="J32:L32"/>
    <mergeCell ref="B35:C35"/>
    <mergeCell ref="E35:F35"/>
    <mergeCell ref="H35:I35"/>
    <mergeCell ref="K35:L35"/>
    <mergeCell ref="N35:O35"/>
    <mergeCell ref="H39:I39"/>
    <mergeCell ref="K39:L39"/>
    <mergeCell ref="J40:L40"/>
    <mergeCell ref="M40:O40"/>
    <mergeCell ref="A36:C36"/>
    <mergeCell ref="D36:F36"/>
    <mergeCell ref="G36:I36"/>
    <mergeCell ref="J36:L36"/>
    <mergeCell ref="M36:O36"/>
    <mergeCell ref="E39:F39"/>
    <mergeCell ref="N39:O39"/>
    <mergeCell ref="K43:L43"/>
    <mergeCell ref="N43:O43"/>
    <mergeCell ref="A44:C44"/>
    <mergeCell ref="D44:F44"/>
    <mergeCell ref="G44:I44"/>
    <mergeCell ref="J44:L44"/>
    <mergeCell ref="M44:O44"/>
    <mergeCell ref="B39:C39"/>
    <mergeCell ref="A40:C40"/>
    <mergeCell ref="D40:F40"/>
    <mergeCell ref="G40:I40"/>
    <mergeCell ref="B43:C43"/>
    <mergeCell ref="E43:F43"/>
    <mergeCell ref="H43:I43"/>
    <mergeCell ref="B47:C47"/>
    <mergeCell ref="E47:F47"/>
    <mergeCell ref="H47:I47"/>
    <mergeCell ref="K47:L47"/>
    <mergeCell ref="N47:O47"/>
    <mergeCell ref="A48:C48"/>
    <mergeCell ref="D48:F48"/>
    <mergeCell ref="M48:O48"/>
    <mergeCell ref="G48:I48"/>
    <mergeCell ref="J48:L48"/>
    <mergeCell ref="B51:C51"/>
    <mergeCell ref="E51:F51"/>
    <mergeCell ref="H51:I51"/>
    <mergeCell ref="K51:L51"/>
    <mergeCell ref="N51:O51"/>
    <mergeCell ref="H55:I55"/>
    <mergeCell ref="K55:L55"/>
    <mergeCell ref="J56:L56"/>
    <mergeCell ref="M56:O56"/>
    <mergeCell ref="A52:C52"/>
    <mergeCell ref="D52:F52"/>
    <mergeCell ref="G52:I52"/>
    <mergeCell ref="J52:L52"/>
    <mergeCell ref="M52:O52"/>
    <mergeCell ref="E55:F55"/>
    <mergeCell ref="N55:O55"/>
    <mergeCell ref="K59:L59"/>
    <mergeCell ref="N59:O59"/>
    <mergeCell ref="A60:C60"/>
    <mergeCell ref="D60:F60"/>
    <mergeCell ref="G60:I60"/>
    <mergeCell ref="J60:L60"/>
    <mergeCell ref="M60:O60"/>
    <mergeCell ref="B55:C55"/>
    <mergeCell ref="A56:C56"/>
    <mergeCell ref="D56:F56"/>
    <mergeCell ref="G56:I56"/>
    <mergeCell ref="B59:C59"/>
    <mergeCell ref="E59:F59"/>
    <mergeCell ref="H59:I59"/>
    <mergeCell ref="B63:C63"/>
    <mergeCell ref="E63:F63"/>
    <mergeCell ref="H63:I63"/>
    <mergeCell ref="K63:L63"/>
    <mergeCell ref="N63:O63"/>
    <mergeCell ref="A64:C64"/>
    <mergeCell ref="D64:F64"/>
    <mergeCell ref="M64:O64"/>
    <mergeCell ref="G64:I64"/>
    <mergeCell ref="J64:L64"/>
    <mergeCell ref="B67:C67"/>
    <mergeCell ref="E67:F67"/>
    <mergeCell ref="H67:I67"/>
    <mergeCell ref="K67:L67"/>
    <mergeCell ref="N67:O67"/>
    <mergeCell ref="H71:I71"/>
    <mergeCell ref="K71:L71"/>
    <mergeCell ref="J72:L72"/>
    <mergeCell ref="M72:O72"/>
    <mergeCell ref="A68:C68"/>
    <mergeCell ref="D68:F68"/>
    <mergeCell ref="G68:I68"/>
    <mergeCell ref="J68:L68"/>
    <mergeCell ref="M68:O68"/>
    <mergeCell ref="E71:F71"/>
    <mergeCell ref="N71:O71"/>
    <mergeCell ref="K75:L75"/>
    <mergeCell ref="N75:O75"/>
    <mergeCell ref="A76:C76"/>
    <mergeCell ref="D76:F76"/>
    <mergeCell ref="G76:I76"/>
    <mergeCell ref="J76:L76"/>
    <mergeCell ref="M76:O76"/>
    <mergeCell ref="B71:C71"/>
    <mergeCell ref="A72:C72"/>
    <mergeCell ref="D72:F72"/>
    <mergeCell ref="G72:I72"/>
    <mergeCell ref="B75:C75"/>
    <mergeCell ref="E75:F75"/>
    <mergeCell ref="H75:I75"/>
  </mergeCell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.13"/>
    <col customWidth="1" min="3" max="3" width="12.63"/>
    <col customWidth="1" min="4" max="5" width="5.13"/>
    <col customWidth="1" min="6" max="6" width="12.63"/>
    <col customWidth="1" min="7" max="8" width="5.13"/>
    <col customWidth="1" min="9" max="9" width="12.63"/>
    <col customWidth="1" min="10" max="11" width="5.13"/>
    <col customWidth="1" min="12" max="12" width="12.63"/>
    <col customWidth="1" min="13" max="14" width="5.13"/>
    <col customWidth="1" min="15" max="15" width="12.63"/>
  </cols>
  <sheetData>
    <row r="1" ht="18.75" customHeight="1">
      <c r="A1" s="16" t="s">
        <v>1358</v>
      </c>
      <c r="O1" s="17" t="b">
        <v>0</v>
      </c>
    </row>
    <row r="2" ht="18.75" customHeight="1">
      <c r="A2" s="3" t="s">
        <v>1359</v>
      </c>
    </row>
    <row r="3" ht="18.75" customHeight="1">
      <c r="A3" s="37"/>
      <c r="B3" s="38"/>
      <c r="C3" s="38"/>
      <c r="D3" s="37"/>
      <c r="E3" s="38"/>
      <c r="F3" s="38"/>
      <c r="G3" s="37"/>
      <c r="H3" s="38"/>
      <c r="I3" s="38"/>
      <c r="J3" s="37"/>
      <c r="K3" s="38"/>
      <c r="L3" s="38"/>
      <c r="M3" s="37"/>
      <c r="N3" s="38"/>
      <c r="O3" s="38"/>
    </row>
    <row r="4" ht="180.0" customHeight="1">
      <c r="A4" s="38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</row>
    <row r="5" ht="22.5" customHeight="1">
      <c r="A5" s="38"/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</row>
    <row r="6" ht="7.5" customHeight="1">
      <c r="A6" s="38"/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</row>
    <row r="7" ht="18.75" customHeight="1">
      <c r="A7" s="37"/>
      <c r="B7" s="38"/>
      <c r="C7" s="38"/>
      <c r="D7" s="37"/>
      <c r="E7" s="38"/>
      <c r="F7" s="38"/>
      <c r="G7" s="37"/>
      <c r="H7" s="38"/>
      <c r="I7" s="38"/>
      <c r="J7" s="37"/>
      <c r="K7" s="38"/>
      <c r="L7" s="38"/>
      <c r="M7" s="37"/>
      <c r="N7" s="38"/>
      <c r="O7" s="38"/>
    </row>
    <row r="8" ht="180.0" customHeight="1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</row>
    <row r="9" ht="22.5" customHeight="1">
      <c r="A9" s="38"/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</row>
    <row r="10" ht="7.5" customHeight="1">
      <c r="A10" s="38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</row>
    <row r="11" ht="18.75" customHeight="1">
      <c r="A11" s="37"/>
      <c r="B11" s="38"/>
      <c r="C11" s="38"/>
      <c r="D11" s="37"/>
      <c r="E11" s="38"/>
      <c r="F11" s="38"/>
      <c r="G11" s="37"/>
      <c r="H11" s="38"/>
      <c r="I11" s="38"/>
      <c r="J11" s="37"/>
      <c r="K11" s="38"/>
      <c r="L11" s="38"/>
      <c r="M11" s="37"/>
      <c r="N11" s="38"/>
      <c r="O11" s="38"/>
    </row>
    <row r="12" ht="180.0" customHeight="1">
      <c r="A12" s="38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</row>
    <row r="13" ht="22.5" customHeight="1">
      <c r="A13" s="38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</row>
    <row r="14" ht="7.5" customHeight="1">
      <c r="A14" s="38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</row>
    <row r="15" ht="18.75" customHeight="1">
      <c r="A15" s="37"/>
      <c r="B15" s="38"/>
      <c r="C15" s="38"/>
      <c r="D15" s="37"/>
      <c r="E15" s="38"/>
      <c r="F15" s="38"/>
      <c r="G15" s="37"/>
      <c r="H15" s="38"/>
      <c r="I15" s="38"/>
      <c r="J15" s="37"/>
      <c r="K15" s="38"/>
      <c r="L15" s="38"/>
      <c r="M15" s="37"/>
      <c r="N15" s="38"/>
      <c r="O15" s="38"/>
    </row>
    <row r="16" ht="180.0" customHeight="1">
      <c r="A16" s="38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</row>
    <row r="17" ht="22.5" customHeight="1">
      <c r="A17" s="38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</row>
    <row r="18" ht="7.5" customHeight="1">
      <c r="A18" s="38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</row>
    <row r="19" ht="18.75" customHeight="1">
      <c r="A19" s="37"/>
      <c r="B19" s="38"/>
      <c r="C19" s="38"/>
      <c r="D19" s="37"/>
      <c r="E19" s="38"/>
      <c r="F19" s="38"/>
      <c r="G19" s="37"/>
      <c r="H19" s="38"/>
      <c r="I19" s="38"/>
      <c r="J19" s="37"/>
      <c r="K19" s="38"/>
      <c r="L19" s="38"/>
      <c r="M19" s="37"/>
      <c r="N19" s="38"/>
      <c r="O19" s="38"/>
    </row>
    <row r="20" ht="180.0" customHeight="1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</row>
    <row r="21" ht="22.5" customHeight="1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</row>
    <row r="22" ht="7.5" customHeight="1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</row>
    <row r="23" ht="18.75" customHeight="1">
      <c r="A23" s="37"/>
      <c r="B23" s="38"/>
      <c r="C23" s="38"/>
      <c r="D23" s="37"/>
      <c r="E23" s="38"/>
      <c r="F23" s="38"/>
      <c r="G23" s="37"/>
      <c r="H23" s="38"/>
      <c r="I23" s="38"/>
      <c r="J23" s="37"/>
      <c r="K23" s="38"/>
      <c r="L23" s="38"/>
      <c r="M23" s="37"/>
      <c r="N23" s="38"/>
      <c r="O23" s="38"/>
    </row>
    <row r="24" ht="180.0" customHeight="1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</row>
    <row r="25" ht="22.5" customHeight="1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</row>
    <row r="26" ht="7.5" customHeight="1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</row>
    <row r="27" ht="18.75" customHeight="1">
      <c r="A27" s="37"/>
      <c r="B27" s="38"/>
      <c r="C27" s="38"/>
      <c r="D27" s="37"/>
      <c r="E27" s="38"/>
      <c r="F27" s="38"/>
      <c r="G27" s="37"/>
      <c r="H27" s="38"/>
      <c r="I27" s="38"/>
      <c r="J27" s="37"/>
      <c r="K27" s="38"/>
      <c r="L27" s="38"/>
      <c r="M27" s="37"/>
      <c r="N27" s="38"/>
      <c r="O27" s="38"/>
    </row>
    <row r="28" ht="180.0" customHeight="1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</row>
    <row r="29" ht="22.5" customHeight="1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</row>
    <row r="30" ht="7.5" customHeight="1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</row>
    <row r="31" ht="18.75" customHeight="1">
      <c r="A31" s="37"/>
      <c r="B31" s="38"/>
      <c r="C31" s="38"/>
      <c r="D31" s="37"/>
      <c r="E31" s="38"/>
      <c r="F31" s="38"/>
      <c r="G31" s="37"/>
      <c r="H31" s="38"/>
      <c r="I31" s="38"/>
      <c r="J31" s="37"/>
      <c r="K31" s="38"/>
      <c r="L31" s="38"/>
      <c r="M31" s="37"/>
      <c r="N31" s="38"/>
      <c r="O31" s="38"/>
    </row>
    <row r="32" ht="180.0" customHeight="1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</row>
    <row r="33" ht="22.5" customHeight="1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</row>
    <row r="34" ht="7.5" customHeight="1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</row>
    <row r="35" ht="18.75" customHeight="1">
      <c r="A35" s="37"/>
      <c r="B35" s="38"/>
      <c r="C35" s="38"/>
      <c r="D35" s="37"/>
      <c r="E35" s="38"/>
      <c r="F35" s="38"/>
      <c r="G35" s="37"/>
      <c r="H35" s="38"/>
      <c r="I35" s="38"/>
      <c r="J35" s="37"/>
      <c r="K35" s="38"/>
      <c r="L35" s="38"/>
      <c r="M35" s="37"/>
      <c r="N35" s="38"/>
      <c r="O35" s="38"/>
    </row>
    <row r="36" ht="180.0" customHeight="1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</row>
    <row r="37" ht="22.5" customHeight="1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</row>
    <row r="38" ht="7.5" customHeight="1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</row>
    <row r="39" ht="18.75" customHeight="1">
      <c r="A39" s="37"/>
      <c r="B39" s="38"/>
      <c r="C39" s="38"/>
      <c r="D39" s="37"/>
      <c r="E39" s="38"/>
      <c r="F39" s="38"/>
      <c r="G39" s="37"/>
      <c r="H39" s="38"/>
      <c r="I39" s="38"/>
      <c r="J39" s="37"/>
      <c r="K39" s="38"/>
      <c r="L39" s="38"/>
      <c r="M39" s="37"/>
      <c r="N39" s="38"/>
      <c r="O39" s="38"/>
    </row>
    <row r="40" ht="180.0" customHeight="1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</row>
    <row r="41" ht="22.5" customHeight="1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</row>
    <row r="42" ht="7.5" customHeight="1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</row>
    <row r="43" ht="18.75" customHeight="1">
      <c r="A43" s="37"/>
      <c r="B43" s="38"/>
      <c r="C43" s="38"/>
      <c r="D43" s="37"/>
      <c r="E43" s="38"/>
      <c r="F43" s="38"/>
      <c r="G43" s="37"/>
      <c r="H43" s="38"/>
      <c r="I43" s="38"/>
      <c r="J43" s="37"/>
      <c r="K43" s="38"/>
      <c r="L43" s="38"/>
      <c r="M43" s="37"/>
      <c r="N43" s="38"/>
      <c r="O43" s="38"/>
    </row>
    <row r="44" ht="180.0" customHeight="1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</row>
    <row r="45" ht="22.5" customHeight="1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</row>
    <row r="46" ht="7.5" customHeight="1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</row>
    <row r="47" ht="18.75" customHeight="1">
      <c r="A47" s="37"/>
      <c r="B47" s="38"/>
      <c r="C47" s="38"/>
      <c r="D47" s="37"/>
      <c r="E47" s="38"/>
      <c r="F47" s="38"/>
      <c r="G47" s="37"/>
      <c r="H47" s="38"/>
      <c r="I47" s="38"/>
      <c r="J47" s="37"/>
      <c r="K47" s="38"/>
      <c r="L47" s="38"/>
      <c r="M47" s="37"/>
      <c r="N47" s="38"/>
      <c r="O47" s="38"/>
    </row>
    <row r="48" ht="180.0" customHeight="1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</row>
    <row r="49" ht="22.5" customHeight="1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</row>
    <row r="50" ht="7.5" customHeight="1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</row>
    <row r="51" ht="18.75" customHeight="1">
      <c r="A51" s="37"/>
      <c r="B51" s="38"/>
      <c r="C51" s="38"/>
      <c r="D51" s="37"/>
      <c r="E51" s="38"/>
      <c r="F51" s="38"/>
      <c r="G51" s="37"/>
      <c r="H51" s="38"/>
      <c r="I51" s="38"/>
      <c r="J51" s="37"/>
      <c r="K51" s="38"/>
      <c r="L51" s="38"/>
      <c r="M51" s="37"/>
      <c r="N51" s="38"/>
      <c r="O51" s="38"/>
    </row>
    <row r="52" ht="180.0" customHeight="1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</row>
    <row r="53" ht="22.5" customHeight="1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</row>
    <row r="54" ht="7.5" customHeight="1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</row>
    <row r="55" ht="18.75" customHeight="1">
      <c r="A55" s="37"/>
      <c r="B55" s="38"/>
      <c r="C55" s="38"/>
      <c r="D55" s="37"/>
      <c r="E55" s="38"/>
      <c r="F55" s="38"/>
      <c r="G55" s="37"/>
      <c r="H55" s="38"/>
      <c r="I55" s="38"/>
      <c r="J55" s="37"/>
      <c r="K55" s="38"/>
      <c r="L55" s="38"/>
      <c r="M55" s="37"/>
      <c r="N55" s="38"/>
      <c r="O55" s="38"/>
    </row>
    <row r="56" ht="180.0" customHeight="1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</row>
    <row r="57" ht="22.5" customHeight="1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</row>
    <row r="58" ht="7.5" customHeight="1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</row>
    <row r="59" ht="18.75" customHeight="1">
      <c r="A59" s="37"/>
      <c r="B59" s="38"/>
      <c r="C59" s="38"/>
      <c r="D59" s="37"/>
      <c r="E59" s="38"/>
      <c r="F59" s="38"/>
      <c r="G59" s="37"/>
      <c r="H59" s="38"/>
      <c r="I59" s="38"/>
      <c r="J59" s="37"/>
      <c r="K59" s="38"/>
      <c r="L59" s="38"/>
      <c r="M59" s="37"/>
      <c r="N59" s="38"/>
      <c r="O59" s="38"/>
    </row>
    <row r="60" ht="180.0" customHeight="1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</row>
    <row r="61" ht="22.5" customHeight="1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</row>
    <row r="62" ht="7.5" customHeight="1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</row>
    <row r="63" ht="18.75" customHeight="1">
      <c r="A63" s="37"/>
      <c r="B63" s="38"/>
      <c r="C63" s="38"/>
      <c r="D63" s="37"/>
      <c r="E63" s="38"/>
      <c r="F63" s="38"/>
      <c r="G63" s="37"/>
      <c r="H63" s="38"/>
      <c r="I63" s="38"/>
      <c r="J63" s="37"/>
      <c r="K63" s="38"/>
      <c r="L63" s="38"/>
      <c r="M63" s="37"/>
      <c r="N63" s="38"/>
      <c r="O63" s="38"/>
    </row>
    <row r="64" ht="180.0" customHeight="1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</row>
    <row r="65" ht="22.5" customHeight="1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</row>
    <row r="66" ht="7.5" customHeight="1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</row>
    <row r="67" ht="18.75" customHeight="1">
      <c r="A67" s="37"/>
      <c r="B67" s="38"/>
      <c r="C67" s="38"/>
      <c r="D67" s="37"/>
      <c r="E67" s="38"/>
      <c r="F67" s="38"/>
      <c r="G67" s="37"/>
      <c r="H67" s="38"/>
      <c r="I67" s="38"/>
      <c r="J67" s="37"/>
      <c r="K67" s="38"/>
      <c r="L67" s="38"/>
      <c r="M67" s="37"/>
      <c r="N67" s="38"/>
      <c r="O67" s="38"/>
    </row>
    <row r="68" ht="180.0" customHeight="1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</row>
    <row r="69" ht="22.5" customHeight="1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</row>
    <row r="70" ht="7.5" customHeight="1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</row>
    <row r="71" ht="18.75" customHeight="1">
      <c r="A71" s="37"/>
      <c r="B71" s="38"/>
      <c r="C71" s="38"/>
      <c r="D71" s="37"/>
      <c r="E71" s="38"/>
      <c r="F71" s="38"/>
      <c r="G71" s="37"/>
      <c r="H71" s="38"/>
      <c r="I71" s="38"/>
      <c r="J71" s="37"/>
      <c r="K71" s="38"/>
      <c r="L71" s="38"/>
      <c r="M71" s="37"/>
      <c r="N71" s="38"/>
      <c r="O71" s="38"/>
    </row>
    <row r="72" ht="180.0" customHeight="1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</row>
    <row r="73" ht="22.5" customHeight="1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</row>
    <row r="74" ht="7.5" customHeight="1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</row>
    <row r="75" ht="18.75" customHeight="1">
      <c r="A75" s="37"/>
      <c r="B75" s="38"/>
      <c r="C75" s="38"/>
      <c r="D75" s="37"/>
      <c r="E75" s="38"/>
      <c r="F75" s="38"/>
      <c r="G75" s="37"/>
      <c r="H75" s="38"/>
      <c r="I75" s="38"/>
      <c r="J75" s="37"/>
      <c r="K75" s="38"/>
      <c r="L75" s="38"/>
      <c r="M75" s="37"/>
      <c r="N75" s="38"/>
      <c r="O75" s="38"/>
    </row>
    <row r="76" ht="180.0" customHeight="1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</row>
    <row r="77" ht="22.5" customHeight="1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</row>
    <row r="78" ht="7.5" customHeight="1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</row>
    <row r="79" ht="18.75" customHeight="1">
      <c r="A79" s="37"/>
      <c r="B79" s="38"/>
      <c r="C79" s="38"/>
      <c r="D79" s="37"/>
      <c r="E79" s="38"/>
      <c r="F79" s="38"/>
      <c r="G79" s="37"/>
      <c r="H79" s="38"/>
      <c r="I79" s="38"/>
      <c r="J79" s="37"/>
      <c r="K79" s="38"/>
      <c r="L79" s="38"/>
      <c r="M79" s="37"/>
      <c r="N79" s="38"/>
      <c r="O79" s="38"/>
    </row>
    <row r="80" ht="180.0" customHeight="1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</row>
    <row r="81" ht="22.5" customHeight="1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</row>
    <row r="82" ht="7.5" customHeight="1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</row>
    <row r="83" ht="18.75" customHeight="1">
      <c r="A83" s="37"/>
      <c r="B83" s="38"/>
      <c r="C83" s="38"/>
      <c r="D83" s="37"/>
      <c r="E83" s="38"/>
      <c r="F83" s="38"/>
      <c r="G83" s="37"/>
      <c r="H83" s="38"/>
      <c r="I83" s="38"/>
      <c r="J83" s="37"/>
      <c r="K83" s="38"/>
      <c r="L83" s="38"/>
      <c r="M83" s="37"/>
      <c r="N83" s="38"/>
      <c r="O83" s="38"/>
    </row>
    <row r="84" ht="180.0" customHeight="1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</row>
    <row r="85" ht="22.5" customHeight="1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</row>
    <row r="86" ht="7.5" customHeight="1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</row>
    <row r="87" ht="18.75" customHeight="1">
      <c r="A87" s="37"/>
      <c r="B87" s="38"/>
      <c r="C87" s="38"/>
      <c r="D87" s="37"/>
      <c r="E87" s="38"/>
      <c r="F87" s="38"/>
      <c r="G87" s="37"/>
      <c r="H87" s="38"/>
      <c r="I87" s="38"/>
      <c r="J87" s="37"/>
      <c r="K87" s="38"/>
      <c r="L87" s="38"/>
      <c r="M87" s="37"/>
      <c r="N87" s="38"/>
      <c r="O87" s="38"/>
    </row>
    <row r="88" ht="180.0" customHeight="1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</row>
    <row r="89" ht="22.5" customHeight="1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</row>
    <row r="90" ht="7.5" customHeight="1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</row>
    <row r="91" ht="18.75" customHeight="1">
      <c r="A91" s="37"/>
      <c r="B91" s="38"/>
      <c r="C91" s="38"/>
      <c r="D91" s="37"/>
      <c r="E91" s="38"/>
      <c r="F91" s="38"/>
      <c r="G91" s="37"/>
      <c r="H91" s="38"/>
      <c r="I91" s="38"/>
      <c r="J91" s="37"/>
      <c r="K91" s="38"/>
      <c r="L91" s="38"/>
      <c r="M91" s="37"/>
      <c r="N91" s="38"/>
      <c r="O91" s="38"/>
    </row>
    <row r="92" ht="180.0" customHeight="1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</row>
    <row r="93" ht="22.5" customHeight="1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</row>
    <row r="94" ht="7.5" customHeight="1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</row>
    <row r="95" ht="18.75" customHeight="1">
      <c r="A95" s="37"/>
      <c r="B95" s="38"/>
      <c r="C95" s="38"/>
      <c r="D95" s="37"/>
      <c r="E95" s="38"/>
      <c r="F95" s="38"/>
      <c r="G95" s="37"/>
      <c r="H95" s="38"/>
      <c r="I95" s="38"/>
      <c r="J95" s="37"/>
      <c r="K95" s="38"/>
      <c r="L95" s="38"/>
      <c r="M95" s="37"/>
      <c r="N95" s="38"/>
      <c r="O95" s="38"/>
    </row>
    <row r="96" ht="180.0" customHeight="1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</row>
    <row r="97" ht="22.5" customHeight="1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</row>
    <row r="98" ht="7.5" customHeight="1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</row>
    <row r="99" ht="18.75" customHeight="1">
      <c r="A99" s="37"/>
      <c r="B99" s="38"/>
      <c r="C99" s="38"/>
      <c r="D99" s="37"/>
      <c r="E99" s="38"/>
      <c r="F99" s="38"/>
      <c r="G99" s="37"/>
      <c r="H99" s="38"/>
      <c r="I99" s="38"/>
      <c r="J99" s="37"/>
      <c r="K99" s="38"/>
      <c r="L99" s="38"/>
      <c r="M99" s="37"/>
      <c r="N99" s="38"/>
      <c r="O99" s="38"/>
    </row>
    <row r="100" ht="180.0" customHeight="1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</row>
    <row r="101" ht="22.5" customHeight="1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</row>
    <row r="102" ht="7.5" customHeight="1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</row>
    <row r="103" ht="18.75" customHeight="1">
      <c r="A103" s="37"/>
      <c r="B103" s="38"/>
      <c r="C103" s="38"/>
      <c r="D103" s="37"/>
      <c r="E103" s="38"/>
      <c r="F103" s="38"/>
      <c r="G103" s="37"/>
      <c r="H103" s="38"/>
      <c r="I103" s="38"/>
      <c r="J103" s="37"/>
      <c r="K103" s="38"/>
      <c r="L103" s="38"/>
      <c r="M103" s="37"/>
      <c r="N103" s="38"/>
      <c r="O103" s="38"/>
    </row>
    <row r="104" ht="180.0" customHeight="1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</row>
    <row r="105" ht="22.5" customHeight="1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</row>
    <row r="106" ht="7.5" customHeight="1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</row>
    <row r="107" ht="18.75" customHeight="1">
      <c r="A107" s="37"/>
      <c r="B107" s="38"/>
      <c r="C107" s="38"/>
      <c r="D107" s="37"/>
      <c r="E107" s="38"/>
      <c r="F107" s="38"/>
      <c r="G107" s="37"/>
      <c r="H107" s="38"/>
      <c r="I107" s="38"/>
      <c r="J107" s="37"/>
      <c r="K107" s="38"/>
      <c r="L107" s="38"/>
      <c r="M107" s="37"/>
      <c r="N107" s="38"/>
      <c r="O107" s="38"/>
    </row>
    <row r="108" ht="180.0" customHeight="1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</row>
    <row r="109" ht="22.5" customHeight="1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</row>
    <row r="110" ht="7.5" customHeight="1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</row>
    <row r="111" ht="18.75" customHeight="1">
      <c r="A111" s="37"/>
      <c r="B111" s="38"/>
      <c r="C111" s="38"/>
      <c r="D111" s="37"/>
      <c r="E111" s="38"/>
      <c r="F111" s="38"/>
      <c r="G111" s="37"/>
      <c r="H111" s="38"/>
      <c r="I111" s="38"/>
      <c r="J111" s="37"/>
      <c r="K111" s="38"/>
      <c r="L111" s="38"/>
      <c r="M111" s="37"/>
      <c r="N111" s="38"/>
      <c r="O111" s="38"/>
    </row>
    <row r="112" ht="180.0" customHeight="1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</row>
    <row r="113" ht="22.5" customHeight="1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</row>
    <row r="114" ht="7.5" customHeight="1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</row>
    <row r="115" ht="18.75" customHeight="1">
      <c r="A115" s="37"/>
      <c r="B115" s="38"/>
      <c r="C115" s="38"/>
      <c r="D115" s="37"/>
      <c r="E115" s="38"/>
      <c r="F115" s="38"/>
      <c r="G115" s="37"/>
      <c r="H115" s="38"/>
      <c r="I115" s="38"/>
      <c r="J115" s="37"/>
      <c r="K115" s="38"/>
      <c r="L115" s="38"/>
      <c r="M115" s="37"/>
      <c r="N115" s="38"/>
      <c r="O115" s="38"/>
    </row>
    <row r="116" ht="180.0" customHeight="1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</row>
    <row r="117" ht="22.5" customHeight="1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</row>
    <row r="118" ht="7.5" customHeight="1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</row>
    <row r="119" ht="18.75" customHeight="1">
      <c r="A119" s="37"/>
      <c r="B119" s="38"/>
      <c r="C119" s="38"/>
      <c r="D119" s="37"/>
      <c r="E119" s="38"/>
      <c r="F119" s="38"/>
      <c r="G119" s="37"/>
      <c r="H119" s="38"/>
      <c r="I119" s="38"/>
      <c r="J119" s="37"/>
      <c r="K119" s="38"/>
      <c r="L119" s="38"/>
      <c r="M119" s="37"/>
      <c r="N119" s="38"/>
      <c r="O119" s="38"/>
    </row>
    <row r="120" ht="180.0" customHeight="1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</row>
    <row r="121" ht="22.5" customHeight="1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</row>
    <row r="122" ht="7.5" customHeight="1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</row>
    <row r="123" ht="18.75" customHeight="1">
      <c r="A123" s="37"/>
      <c r="B123" s="38"/>
      <c r="C123" s="38"/>
      <c r="D123" s="37"/>
      <c r="E123" s="38"/>
      <c r="F123" s="38"/>
      <c r="G123" s="37"/>
      <c r="H123" s="38"/>
      <c r="I123" s="38"/>
      <c r="J123" s="37"/>
      <c r="K123" s="38"/>
      <c r="L123" s="38"/>
      <c r="M123" s="37"/>
      <c r="N123" s="38"/>
      <c r="O123" s="38"/>
    </row>
    <row r="124" ht="180.0" customHeight="1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</row>
    <row r="125" ht="22.5" customHeight="1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</row>
    <row r="126" ht="7.5" customHeight="1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</row>
    <row r="127" ht="18.75" customHeight="1">
      <c r="A127" s="37"/>
      <c r="B127" s="38"/>
      <c r="C127" s="38"/>
      <c r="D127" s="37"/>
      <c r="E127" s="38"/>
      <c r="F127" s="38"/>
      <c r="G127" s="37"/>
      <c r="H127" s="38"/>
      <c r="I127" s="38"/>
      <c r="J127" s="37"/>
      <c r="K127" s="38"/>
      <c r="L127" s="38"/>
      <c r="M127" s="37"/>
      <c r="N127" s="38"/>
      <c r="O127" s="38"/>
    </row>
    <row r="128" ht="180.0" customHeight="1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</row>
    <row r="129" ht="22.5" customHeight="1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</row>
    <row r="130" ht="7.5" customHeight="1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</row>
    <row r="131" ht="18.75" customHeight="1">
      <c r="A131" s="37"/>
      <c r="B131" s="38"/>
      <c r="C131" s="38"/>
      <c r="D131" s="37"/>
      <c r="E131" s="38"/>
      <c r="F131" s="38"/>
      <c r="G131" s="37"/>
      <c r="H131" s="38"/>
      <c r="I131" s="38"/>
      <c r="J131" s="37"/>
      <c r="K131" s="38"/>
      <c r="L131" s="38"/>
      <c r="M131" s="37"/>
      <c r="N131" s="38"/>
      <c r="O131" s="38"/>
    </row>
    <row r="132" ht="180.0" customHeight="1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</row>
    <row r="133" ht="22.5" customHeight="1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</row>
    <row r="134" ht="7.5" customHeight="1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</row>
    <row r="135" ht="18.75" customHeight="1">
      <c r="A135" s="37"/>
      <c r="B135" s="38"/>
      <c r="C135" s="38"/>
      <c r="D135" s="37"/>
      <c r="E135" s="38"/>
      <c r="F135" s="38"/>
      <c r="G135" s="37"/>
      <c r="H135" s="38"/>
      <c r="I135" s="38"/>
      <c r="J135" s="37"/>
      <c r="K135" s="38"/>
      <c r="L135" s="38"/>
      <c r="M135" s="37"/>
      <c r="N135" s="38"/>
      <c r="O135" s="38"/>
    </row>
    <row r="136" ht="180.0" customHeight="1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</row>
    <row r="137" ht="22.5" customHeight="1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</row>
    <row r="138" ht="7.5" customHeight="1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</row>
    <row r="139" ht="18.75" customHeight="1">
      <c r="A139" s="37"/>
      <c r="B139" s="38"/>
      <c r="C139" s="38"/>
      <c r="D139" s="37"/>
      <c r="E139" s="38"/>
      <c r="F139" s="38"/>
      <c r="G139" s="37"/>
      <c r="H139" s="38"/>
      <c r="I139" s="38"/>
      <c r="J139" s="37"/>
      <c r="K139" s="38"/>
      <c r="L139" s="38"/>
      <c r="M139" s="37"/>
      <c r="N139" s="38"/>
      <c r="O139" s="38"/>
    </row>
    <row r="140" ht="180.0" customHeight="1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</row>
    <row r="141" ht="22.5" customHeight="1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</row>
    <row r="142" ht="7.5" customHeight="1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</row>
    <row r="143" ht="18.75" customHeight="1">
      <c r="A143" s="37"/>
      <c r="B143" s="38"/>
      <c r="C143" s="38"/>
      <c r="D143" s="37"/>
      <c r="E143" s="38"/>
      <c r="F143" s="38"/>
      <c r="G143" s="37"/>
      <c r="H143" s="38"/>
      <c r="I143" s="38"/>
      <c r="J143" s="37"/>
      <c r="K143" s="38"/>
      <c r="L143" s="38"/>
      <c r="M143" s="37"/>
      <c r="N143" s="38"/>
      <c r="O143" s="38"/>
    </row>
    <row r="144" ht="180.0" customHeight="1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</row>
    <row r="145" ht="22.5" customHeight="1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</row>
    <row r="146" ht="7.5" customHeight="1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</row>
    <row r="147" ht="18.75" customHeight="1">
      <c r="A147" s="37"/>
      <c r="B147" s="38"/>
      <c r="C147" s="38"/>
      <c r="D147" s="37"/>
      <c r="E147" s="38"/>
      <c r="F147" s="38"/>
      <c r="G147" s="37"/>
      <c r="H147" s="38"/>
      <c r="I147" s="38"/>
      <c r="J147" s="37"/>
      <c r="K147" s="38"/>
      <c r="L147" s="38"/>
      <c r="M147" s="37"/>
      <c r="N147" s="38"/>
      <c r="O147" s="38"/>
    </row>
    <row r="148" ht="180.0" customHeight="1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</row>
    <row r="149" ht="22.5" customHeight="1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</row>
    <row r="150" ht="7.5" customHeight="1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</row>
    <row r="151" ht="18.75" customHeight="1">
      <c r="A151" s="37"/>
      <c r="B151" s="38"/>
      <c r="C151" s="38"/>
      <c r="D151" s="37"/>
      <c r="E151" s="38"/>
      <c r="F151" s="38"/>
      <c r="G151" s="37"/>
      <c r="H151" s="38"/>
      <c r="I151" s="38"/>
      <c r="J151" s="37"/>
      <c r="K151" s="38"/>
      <c r="L151" s="38"/>
      <c r="M151" s="37"/>
      <c r="N151" s="38"/>
      <c r="O151" s="38"/>
    </row>
    <row r="152" ht="180.0" customHeight="1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</row>
    <row r="153" ht="22.5" customHeight="1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</row>
    <row r="154" ht="7.5" customHeight="1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</row>
    <row r="155" ht="18.75" customHeight="1">
      <c r="A155" s="37"/>
      <c r="B155" s="38"/>
      <c r="C155" s="38"/>
      <c r="D155" s="37"/>
      <c r="E155" s="38"/>
      <c r="F155" s="38"/>
      <c r="G155" s="37"/>
      <c r="H155" s="38"/>
      <c r="I155" s="38"/>
      <c r="J155" s="37"/>
      <c r="K155" s="38"/>
      <c r="L155" s="38"/>
      <c r="M155" s="37"/>
      <c r="N155" s="38"/>
      <c r="O155" s="38"/>
    </row>
    <row r="156" ht="180.0" customHeight="1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</row>
    <row r="157" ht="22.5" customHeight="1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</row>
    <row r="158" ht="7.5" customHeight="1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</row>
    <row r="159" ht="18.75" customHeight="1">
      <c r="A159" s="37"/>
      <c r="B159" s="38"/>
      <c r="C159" s="38"/>
      <c r="D159" s="37"/>
      <c r="E159" s="38"/>
      <c r="F159" s="38"/>
      <c r="G159" s="37"/>
      <c r="H159" s="38"/>
      <c r="I159" s="38"/>
      <c r="J159" s="37"/>
      <c r="K159" s="38"/>
      <c r="L159" s="38"/>
      <c r="M159" s="37"/>
      <c r="N159" s="38"/>
      <c r="O159" s="38"/>
    </row>
    <row r="160" ht="180.0" customHeight="1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</row>
    <row r="161" ht="22.5" customHeight="1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</row>
    <row r="162" ht="7.5" customHeight="1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</row>
    <row r="163" ht="18.75" customHeight="1">
      <c r="A163" s="37"/>
      <c r="B163" s="38"/>
      <c r="C163" s="38"/>
      <c r="D163" s="37"/>
      <c r="E163" s="38"/>
      <c r="F163" s="38"/>
      <c r="G163" s="37"/>
      <c r="H163" s="38"/>
      <c r="I163" s="38"/>
      <c r="J163" s="37"/>
      <c r="K163" s="38"/>
      <c r="L163" s="38"/>
      <c r="M163" s="37"/>
      <c r="N163" s="38"/>
      <c r="O163" s="38"/>
    </row>
    <row r="164" ht="180.0" customHeight="1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</row>
    <row r="165" ht="22.5" customHeight="1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</row>
    <row r="166" ht="7.5" customHeight="1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</row>
    <row r="167" ht="18.75" customHeight="1">
      <c r="A167" s="37"/>
      <c r="B167" s="38"/>
      <c r="C167" s="38"/>
      <c r="D167" s="37"/>
      <c r="E167" s="38"/>
      <c r="F167" s="38"/>
      <c r="G167" s="37"/>
      <c r="H167" s="38"/>
      <c r="I167" s="38"/>
      <c r="J167" s="37"/>
      <c r="K167" s="38"/>
      <c r="L167" s="38"/>
      <c r="M167" s="37"/>
      <c r="N167" s="38"/>
      <c r="O167" s="38"/>
    </row>
    <row r="168" ht="180.0" customHeight="1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</row>
    <row r="169" ht="22.5" customHeight="1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</row>
    <row r="170" ht="7.5" customHeight="1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</row>
    <row r="171" ht="18.75" customHeight="1">
      <c r="A171" s="37"/>
      <c r="B171" s="38"/>
      <c r="C171" s="38"/>
      <c r="D171" s="37"/>
      <c r="E171" s="38"/>
      <c r="F171" s="38"/>
      <c r="G171" s="37"/>
      <c r="H171" s="38"/>
      <c r="I171" s="38"/>
      <c r="J171" s="37"/>
      <c r="K171" s="38"/>
      <c r="L171" s="38"/>
      <c r="M171" s="37"/>
      <c r="N171" s="38"/>
      <c r="O171" s="38"/>
    </row>
    <row r="172" ht="180.0" customHeight="1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</row>
    <row r="173" ht="22.5" customHeight="1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</row>
    <row r="174" ht="7.5" customHeight="1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</row>
    <row r="175" ht="18.75" customHeight="1">
      <c r="A175" s="37"/>
      <c r="B175" s="38"/>
      <c r="C175" s="38"/>
      <c r="D175" s="37"/>
      <c r="E175" s="38"/>
      <c r="F175" s="38"/>
      <c r="G175" s="37"/>
      <c r="H175" s="38"/>
      <c r="I175" s="38"/>
      <c r="J175" s="37"/>
      <c r="K175" s="38"/>
      <c r="L175" s="38"/>
      <c r="M175" s="37"/>
      <c r="N175" s="38"/>
      <c r="O175" s="38"/>
    </row>
    <row r="176" ht="180.0" customHeight="1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</row>
    <row r="177" ht="22.5" customHeight="1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</row>
    <row r="178" ht="7.5" customHeight="1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</row>
    <row r="179" ht="18.75" customHeight="1">
      <c r="A179" s="37"/>
      <c r="B179" s="38"/>
      <c r="C179" s="38"/>
      <c r="D179" s="37"/>
      <c r="E179" s="38"/>
      <c r="F179" s="38"/>
      <c r="G179" s="37"/>
      <c r="H179" s="38"/>
      <c r="I179" s="38"/>
      <c r="J179" s="37"/>
      <c r="K179" s="38"/>
      <c r="L179" s="38"/>
      <c r="M179" s="37"/>
      <c r="N179" s="38"/>
      <c r="O179" s="38"/>
    </row>
    <row r="180" ht="180.0" customHeight="1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</row>
    <row r="181" ht="22.5" customHeight="1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</row>
    <row r="182" ht="7.5" customHeight="1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</row>
    <row r="183" ht="18.75" customHeight="1">
      <c r="A183" s="37"/>
      <c r="B183" s="38"/>
      <c r="C183" s="38"/>
      <c r="D183" s="37"/>
      <c r="E183" s="38"/>
      <c r="F183" s="38"/>
      <c r="G183" s="37"/>
      <c r="H183" s="38"/>
      <c r="I183" s="38"/>
      <c r="J183" s="37"/>
      <c r="K183" s="38"/>
      <c r="L183" s="38"/>
      <c r="M183" s="37"/>
      <c r="N183" s="38"/>
      <c r="O183" s="38"/>
    </row>
    <row r="184" ht="180.0" customHeight="1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</row>
    <row r="185" ht="22.5" customHeight="1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</row>
    <row r="186" ht="7.5" customHeight="1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</row>
    <row r="187" ht="18.75" customHeight="1">
      <c r="A187" s="37"/>
      <c r="B187" s="38"/>
      <c r="C187" s="38"/>
      <c r="D187" s="37"/>
      <c r="E187" s="38"/>
      <c r="F187" s="38"/>
      <c r="G187" s="37"/>
      <c r="H187" s="38"/>
      <c r="I187" s="38"/>
      <c r="J187" s="37"/>
      <c r="K187" s="38"/>
      <c r="L187" s="38"/>
      <c r="M187" s="37"/>
      <c r="N187" s="38"/>
      <c r="O187" s="38"/>
    </row>
    <row r="188" ht="180.0" customHeight="1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</row>
    <row r="189" ht="22.5" customHeight="1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</row>
    <row r="190" ht="7.5" customHeight="1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</row>
    <row r="191" ht="18.75" customHeight="1">
      <c r="A191" s="37"/>
      <c r="B191" s="38"/>
      <c r="C191" s="38"/>
      <c r="D191" s="37"/>
      <c r="E191" s="38"/>
      <c r="F191" s="38"/>
      <c r="G191" s="37"/>
      <c r="H191" s="38"/>
      <c r="I191" s="38"/>
      <c r="J191" s="37"/>
      <c r="K191" s="38"/>
      <c r="L191" s="38"/>
      <c r="M191" s="37"/>
      <c r="N191" s="38"/>
      <c r="O191" s="38"/>
    </row>
    <row r="192" ht="180.0" customHeight="1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</row>
    <row r="193" ht="22.5" customHeight="1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</row>
    <row r="194" ht="7.5" customHeight="1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</row>
    <row r="195" ht="18.75" customHeight="1">
      <c r="A195" s="37"/>
      <c r="B195" s="38"/>
      <c r="C195" s="38"/>
      <c r="D195" s="37"/>
      <c r="E195" s="38"/>
      <c r="F195" s="38"/>
      <c r="G195" s="37"/>
      <c r="H195" s="38"/>
      <c r="I195" s="38"/>
      <c r="J195" s="37"/>
      <c r="K195" s="38"/>
      <c r="L195" s="38"/>
      <c r="M195" s="37"/>
      <c r="N195" s="38"/>
      <c r="O195" s="38"/>
    </row>
    <row r="196" ht="180.0" customHeight="1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</row>
    <row r="197" ht="22.5" customHeight="1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</row>
    <row r="198" ht="7.5" customHeight="1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</row>
    <row r="199" ht="18.75" customHeight="1">
      <c r="A199" s="37"/>
      <c r="B199" s="38"/>
      <c r="C199" s="38"/>
      <c r="D199" s="37"/>
      <c r="E199" s="38"/>
      <c r="F199" s="38"/>
      <c r="G199" s="37"/>
      <c r="H199" s="38"/>
      <c r="I199" s="38"/>
      <c r="J199" s="37"/>
      <c r="K199" s="38"/>
      <c r="L199" s="38"/>
      <c r="M199" s="37"/>
      <c r="N199" s="38"/>
      <c r="O199" s="38"/>
    </row>
    <row r="200" ht="180.0" customHeight="1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</row>
    <row r="201" ht="22.5" customHeight="1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</row>
    <row r="202" ht="7.5" customHeight="1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</row>
  </sheetData>
  <mergeCells count="2">
    <mergeCell ref="A1:N1"/>
    <mergeCell ref="A2:O2"/>
  </mergeCell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.13"/>
    <col customWidth="1" min="3" max="3" width="12.63"/>
    <col customWidth="1" min="4" max="5" width="5.13"/>
    <col customWidth="1" min="6" max="6" width="12.63"/>
    <col customWidth="1" min="7" max="8" width="5.13"/>
    <col customWidth="1" min="9" max="9" width="12.63"/>
    <col customWidth="1" min="10" max="11" width="5.13"/>
    <col customWidth="1" min="12" max="12" width="12.63"/>
    <col customWidth="1" min="13" max="14" width="5.13"/>
    <col customWidth="1" min="15" max="15" width="12.63"/>
  </cols>
  <sheetData>
    <row r="1" ht="18.75" customHeight="1">
      <c r="A1" s="16" t="s">
        <v>1360</v>
      </c>
      <c r="O1" s="17" t="b">
        <v>0</v>
      </c>
    </row>
    <row r="2" ht="18.75" customHeight="1">
      <c r="A2" s="3" t="s">
        <v>1361</v>
      </c>
    </row>
    <row r="3" ht="18.75" customHeight="1">
      <c r="A3" s="18" t="s">
        <v>736</v>
      </c>
      <c r="B3" s="19" t="s">
        <v>907</v>
      </c>
      <c r="C3" s="20"/>
      <c r="D3" s="18" t="s">
        <v>738</v>
      </c>
      <c r="E3" s="19" t="s">
        <v>908</v>
      </c>
      <c r="F3" s="20"/>
      <c r="G3" s="18" t="s">
        <v>739</v>
      </c>
      <c r="H3" s="19" t="s">
        <v>909</v>
      </c>
      <c r="I3" s="20"/>
      <c r="J3" s="18" t="s">
        <v>740</v>
      </c>
      <c r="K3" s="19" t="s">
        <v>911</v>
      </c>
      <c r="L3" s="20"/>
      <c r="M3" s="18" t="s">
        <v>742</v>
      </c>
      <c r="N3" s="19" t="s">
        <v>1362</v>
      </c>
      <c r="O3" s="20"/>
    </row>
    <row r="4" ht="180.0" customHeight="1">
      <c r="A4" s="21" t="str">
        <f>IMAGE("https://assets.tcgdex.net/de/sv/sv03/001/low.jpg", 1)</f>
        <v/>
      </c>
      <c r="B4" s="22"/>
      <c r="C4" s="20"/>
      <c r="D4" s="21" t="str">
        <f>IMAGE("https://assets.tcgdex.net/de/sv/sv03/002/low.jpg", 1)</f>
        <v/>
      </c>
      <c r="E4" s="22"/>
      <c r="F4" s="20"/>
      <c r="G4" s="21" t="str">
        <f>IMAGE("https://assets.tcgdex.net/de/sv/sv03/003/low.jpg", 1)</f>
        <v/>
      </c>
      <c r="H4" s="22"/>
      <c r="I4" s="20"/>
      <c r="J4" s="21" t="str">
        <f>IMAGE("https://assets.tcgdex.net/de/sv/sv03/004/low.jpg", 1)</f>
        <v/>
      </c>
      <c r="K4" s="22"/>
      <c r="L4" s="20"/>
      <c r="M4" s="21" t="str">
        <f>IMAGE("https://assets.tcgdex.net/de/sv/sv03/005/low.jpg", 1)</f>
        <v/>
      </c>
      <c r="N4" s="22"/>
      <c r="O4" s="20"/>
    </row>
    <row r="5" ht="22.5" customHeight="1">
      <c r="A5" s="23" t="b">
        <v>0</v>
      </c>
      <c r="B5" s="24" t="b">
        <v>0</v>
      </c>
      <c r="C5" s="25" t="str">
        <f>HYPERLINK("https://www.cardmarket.com/en/Pokemon/Products/Singles?idCategory=1&amp;idProduct=sv3-1", "CM")</f>
        <v>CM</v>
      </c>
      <c r="D5" s="23" t="b">
        <v>0</v>
      </c>
      <c r="E5" s="24" t="b">
        <v>0</v>
      </c>
      <c r="F5" s="25" t="str">
        <f>HYPERLINK("https://www.cardmarket.com/en/Pokemon/Products/Singles?idCategory=1&amp;idProduct=sv3-2", "CM")</f>
        <v>CM</v>
      </c>
      <c r="G5" s="23" t="b">
        <v>0</v>
      </c>
      <c r="H5" s="24" t="b">
        <v>0</v>
      </c>
      <c r="I5" s="25" t="str">
        <f>HYPERLINK("https://www.cardmarket.com/en/Pokemon/Products/Singles?idCategory=1&amp;idProduct=sv3-3", "CM")</f>
        <v>CM</v>
      </c>
      <c r="J5" s="23" t="b">
        <v>0</v>
      </c>
      <c r="K5" s="24" t="b">
        <v>0</v>
      </c>
      <c r="L5" s="25" t="str">
        <f>HYPERLINK("https://www.cardmarket.com/en/Pokemon/Products/Singles?idCategory=1&amp;idProduct=sv3-4", "CM")</f>
        <v>CM</v>
      </c>
      <c r="M5" s="23" t="b">
        <v>0</v>
      </c>
      <c r="N5" s="24" t="b">
        <v>0</v>
      </c>
      <c r="O5" s="25" t="str">
        <f>HYPERLINK("https://www.cardmarket.com/en/Pokemon/Products/Singles?idCategory=1&amp;idProduct=sv3-5", "CM")</f>
        <v>CM</v>
      </c>
    </row>
    <row r="6" ht="7.5" customHeight="1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</row>
    <row r="7" ht="18.75" customHeight="1">
      <c r="A7" s="18" t="s">
        <v>529</v>
      </c>
      <c r="B7" s="19" t="s">
        <v>1363</v>
      </c>
      <c r="C7" s="20"/>
      <c r="D7" s="18" t="s">
        <v>744</v>
      </c>
      <c r="E7" s="19" t="s">
        <v>1364</v>
      </c>
      <c r="F7" s="20"/>
      <c r="G7" s="18" t="s">
        <v>531</v>
      </c>
      <c r="H7" s="19" t="s">
        <v>1365</v>
      </c>
      <c r="I7" s="20"/>
      <c r="J7" s="18" t="s">
        <v>746</v>
      </c>
      <c r="K7" s="19" t="s">
        <v>1366</v>
      </c>
      <c r="L7" s="20"/>
      <c r="M7" s="18" t="s">
        <v>748</v>
      </c>
      <c r="N7" s="19" t="s">
        <v>1367</v>
      </c>
      <c r="O7" s="20"/>
    </row>
    <row r="8" ht="180.0" customHeight="1">
      <c r="A8" s="21" t="str">
        <f>IMAGE("https://assets.tcgdex.net/de/sv/sv03/006/low.jpg", 1)</f>
        <v/>
      </c>
      <c r="B8" s="22"/>
      <c r="C8" s="20"/>
      <c r="D8" s="21" t="str">
        <f>IMAGE("https://assets.tcgdex.net/de/sv/sv03/007/low.jpg", 1)</f>
        <v/>
      </c>
      <c r="E8" s="22"/>
      <c r="F8" s="20"/>
      <c r="G8" s="21" t="str">
        <f>IMAGE("https://assets.tcgdex.net/de/sv/sv03/008/low.jpg", 1)</f>
        <v/>
      </c>
      <c r="H8" s="22"/>
      <c r="I8" s="20"/>
      <c r="J8" s="21" t="str">
        <f>IMAGE("https://assets.tcgdex.net/de/sv/sv03/009/low.jpg", 1)</f>
        <v/>
      </c>
      <c r="K8" s="22"/>
      <c r="L8" s="20"/>
      <c r="M8" s="21" t="str">
        <f>IMAGE("https://assets.tcgdex.net/de/sv/sv03/010/low.jpg", 1)</f>
        <v/>
      </c>
      <c r="N8" s="22"/>
      <c r="O8" s="20"/>
    </row>
    <row r="9" ht="22.5" customHeight="1">
      <c r="A9" s="23" t="b">
        <v>0</v>
      </c>
      <c r="B9" s="24" t="b">
        <v>0</v>
      </c>
      <c r="C9" s="25" t="str">
        <f>HYPERLINK("https://www.cardmarket.com/en/Pokemon/Products/Singles?idCategory=1&amp;idProduct=sv3-6", "CM")</f>
        <v>CM</v>
      </c>
      <c r="D9" s="23" t="b">
        <v>0</v>
      </c>
      <c r="E9" s="24" t="b">
        <v>0</v>
      </c>
      <c r="F9" s="25" t="str">
        <f>HYPERLINK("https://www.cardmarket.com/en/Pokemon/Products/Singles?idCategory=1&amp;idProduct=sv3-7", "CM")</f>
        <v>CM</v>
      </c>
      <c r="G9" s="23" t="b">
        <v>0</v>
      </c>
      <c r="H9" s="24" t="b">
        <v>0</v>
      </c>
      <c r="I9" s="25" t="str">
        <f>HYPERLINK("https://www.cardmarket.com/en/Pokemon/Products/Singles?idCategory=1&amp;idProduct=sv3-8", "CM")</f>
        <v>CM</v>
      </c>
      <c r="J9" s="23" t="b">
        <v>0</v>
      </c>
      <c r="K9" s="24" t="b">
        <v>0</v>
      </c>
      <c r="L9" s="25" t="str">
        <f>HYPERLINK("https://www.cardmarket.com/en/Pokemon/Products/Singles?idCategory=1&amp;idProduct=sv3-9", "CM")</f>
        <v>CM</v>
      </c>
      <c r="M9" s="23" t="b">
        <v>0</v>
      </c>
      <c r="N9" s="24" t="b">
        <v>0</v>
      </c>
      <c r="O9" s="25" t="str">
        <f>HYPERLINK("https://www.cardmarket.com/en/Pokemon/Products/Singles?idCategory=1&amp;idProduct=sv3-10", "CM")</f>
        <v>CM</v>
      </c>
    </row>
    <row r="10" ht="7.5" customHeight="1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</row>
    <row r="11" ht="18.75" customHeight="1">
      <c r="A11" s="18" t="s">
        <v>750</v>
      </c>
      <c r="B11" s="19" t="s">
        <v>1368</v>
      </c>
      <c r="C11" s="20"/>
      <c r="D11" s="18" t="s">
        <v>752</v>
      </c>
      <c r="E11" s="19" t="s">
        <v>1369</v>
      </c>
      <c r="F11" s="20"/>
      <c r="G11" s="18" t="s">
        <v>754</v>
      </c>
      <c r="H11" s="19" t="s">
        <v>1370</v>
      </c>
      <c r="I11" s="20"/>
      <c r="J11" s="18" t="s">
        <v>755</v>
      </c>
      <c r="K11" s="19" t="s">
        <v>1371</v>
      </c>
      <c r="L11" s="20"/>
      <c r="M11" s="18" t="s">
        <v>533</v>
      </c>
      <c r="N11" s="19" t="s">
        <v>1372</v>
      </c>
      <c r="O11" s="20"/>
    </row>
    <row r="12" ht="180.0" customHeight="1">
      <c r="A12" s="21" t="str">
        <f>IMAGE("https://assets.tcgdex.net/de/sv/sv03/011/low.jpg", 1)</f>
        <v/>
      </c>
      <c r="B12" s="22"/>
      <c r="C12" s="20"/>
      <c r="D12" s="21" t="str">
        <f>IMAGE("https://assets.tcgdex.net/de/sv/sv03/012/low.jpg", 1)</f>
        <v/>
      </c>
      <c r="E12" s="22"/>
      <c r="F12" s="20"/>
      <c r="G12" s="21" t="str">
        <f>IMAGE("https://assets.tcgdex.net/de/sv/sv03/013/low.jpg", 1)</f>
        <v/>
      </c>
      <c r="H12" s="22"/>
      <c r="I12" s="20"/>
      <c r="J12" s="21" t="str">
        <f>IMAGE("https://assets.tcgdex.net/de/sv/sv03/014/low.jpg", 1)</f>
        <v/>
      </c>
      <c r="K12" s="22"/>
      <c r="L12" s="20"/>
      <c r="M12" s="21" t="str">
        <f>IMAGE("https://assets.tcgdex.net/de/sv/sv03/015/low.jpg", 1)</f>
        <v/>
      </c>
      <c r="N12" s="22"/>
      <c r="O12" s="20"/>
    </row>
    <row r="13" ht="22.5" customHeight="1">
      <c r="A13" s="23" t="b">
        <v>0</v>
      </c>
      <c r="B13" s="24" t="b">
        <v>0</v>
      </c>
      <c r="C13" s="25" t="str">
        <f>HYPERLINK("https://www.cardmarket.com/en/Pokemon/Products/Singles?idCategory=1&amp;idProduct=sv3-11", "CM")</f>
        <v>CM</v>
      </c>
      <c r="D13" s="23" t="b">
        <v>0</v>
      </c>
      <c r="E13" s="24" t="b">
        <v>0</v>
      </c>
      <c r="F13" s="25" t="str">
        <f>HYPERLINK("https://www.cardmarket.com/en/Pokemon/Products/Singles?idCategory=1&amp;idProduct=sv3-12", "CM")</f>
        <v>CM</v>
      </c>
      <c r="G13" s="23" t="b">
        <v>0</v>
      </c>
      <c r="H13" s="24" t="b">
        <v>0</v>
      </c>
      <c r="I13" s="25" t="str">
        <f>HYPERLINK("https://www.cardmarket.com/en/Pokemon/Products/Singles?idCategory=1&amp;idProduct=sv3-13", "CM")</f>
        <v>CM</v>
      </c>
      <c r="J13" s="23" t="b">
        <v>0</v>
      </c>
      <c r="K13" s="24" t="b">
        <v>0</v>
      </c>
      <c r="L13" s="25" t="str">
        <f>HYPERLINK("https://www.cardmarket.com/en/Pokemon/Products/Singles?idCategory=1&amp;idProduct=sv3-14", "CM")</f>
        <v>CM</v>
      </c>
      <c r="M13" s="23" t="b">
        <v>0</v>
      </c>
      <c r="N13" s="24" t="b">
        <v>0</v>
      </c>
      <c r="O13" s="25" t="str">
        <f>HYPERLINK("https://www.cardmarket.com/en/Pokemon/Products/Singles?idCategory=1&amp;idProduct=sv3-15", "CM")</f>
        <v>CM</v>
      </c>
    </row>
    <row r="14" ht="7.5" customHeight="1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</row>
    <row r="15" ht="18.75" customHeight="1">
      <c r="A15" s="18" t="s">
        <v>535</v>
      </c>
      <c r="B15" s="19" t="s">
        <v>1373</v>
      </c>
      <c r="C15" s="20"/>
      <c r="D15" s="18" t="s">
        <v>537</v>
      </c>
      <c r="E15" s="19" t="s">
        <v>1374</v>
      </c>
      <c r="F15" s="20"/>
      <c r="G15" s="18" t="s">
        <v>756</v>
      </c>
      <c r="H15" s="19" t="s">
        <v>1375</v>
      </c>
      <c r="I15" s="20"/>
      <c r="J15" s="18" t="s">
        <v>539</v>
      </c>
      <c r="K15" s="19" t="s">
        <v>548</v>
      </c>
      <c r="L15" s="20"/>
      <c r="M15" s="18" t="s">
        <v>541</v>
      </c>
      <c r="N15" s="19" t="s">
        <v>1209</v>
      </c>
      <c r="O15" s="20"/>
    </row>
    <row r="16" ht="180.0" customHeight="1">
      <c r="A16" s="21" t="str">
        <f>IMAGE("https://assets.tcgdex.net/de/sv/sv03/016/low.jpg", 1)</f>
        <v/>
      </c>
      <c r="B16" s="22"/>
      <c r="C16" s="20"/>
      <c r="D16" s="21" t="str">
        <f>IMAGE("https://assets.tcgdex.net/de/sv/sv03/017/low.jpg", 1)</f>
        <v/>
      </c>
      <c r="E16" s="22"/>
      <c r="F16" s="20"/>
      <c r="G16" s="21" t="str">
        <f>IMAGE("https://assets.tcgdex.net/de/sv/sv03/018/low.jpg", 1)</f>
        <v/>
      </c>
      <c r="H16" s="22"/>
      <c r="I16" s="20"/>
      <c r="J16" s="21" t="str">
        <f>IMAGE("https://assets.tcgdex.net/de/sv/sv03/019/low.jpg", 1)</f>
        <v/>
      </c>
      <c r="K16" s="22"/>
      <c r="L16" s="20"/>
      <c r="M16" s="21" t="str">
        <f>IMAGE("https://assets.tcgdex.net/de/sv/sv03/020/low.jpg", 1)</f>
        <v/>
      </c>
      <c r="N16" s="22"/>
      <c r="O16" s="20"/>
    </row>
    <row r="17" ht="22.5" customHeight="1">
      <c r="A17" s="23" t="b">
        <v>0</v>
      </c>
      <c r="B17" s="24" t="b">
        <v>0</v>
      </c>
      <c r="C17" s="25" t="str">
        <f>HYPERLINK("https://www.cardmarket.com/en/Pokemon/Products/Singles?idCategory=1&amp;idProduct=sv3-16", "CM")</f>
        <v>CM</v>
      </c>
      <c r="D17" s="23" t="b">
        <v>0</v>
      </c>
      <c r="E17" s="24" t="b">
        <v>0</v>
      </c>
      <c r="F17" s="25" t="str">
        <f>HYPERLINK("https://www.cardmarket.com/en/Pokemon/Products/Singles?idCategory=1&amp;idProduct=sv3-17", "CM")</f>
        <v>CM</v>
      </c>
      <c r="G17" s="23" t="b">
        <v>0</v>
      </c>
      <c r="H17" s="24" t="b">
        <v>0</v>
      </c>
      <c r="I17" s="25" t="str">
        <f>HYPERLINK("https://www.cardmarket.com/en/Pokemon/Products/Singles?idCategory=1&amp;idProduct=sv3-18", "CM")</f>
        <v>CM</v>
      </c>
      <c r="J17" s="23" t="b">
        <v>0</v>
      </c>
      <c r="K17" s="24" t="b">
        <v>0</v>
      </c>
      <c r="L17" s="25" t="str">
        <f>HYPERLINK("https://www.cardmarket.com/en/Pokemon/Products/Singles?idCategory=1&amp;idProduct=sv3-19", "CM")</f>
        <v>CM</v>
      </c>
      <c r="M17" s="23" t="b">
        <v>0</v>
      </c>
      <c r="N17" s="24" t="b">
        <v>0</v>
      </c>
      <c r="O17" s="25" t="str">
        <f>HYPERLINK("https://www.cardmarket.com/en/Pokemon/Products/Singles?idCategory=1&amp;idProduct=sv3-20", "CM")</f>
        <v>CM</v>
      </c>
    </row>
    <row r="18" ht="7.5" customHeight="1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</row>
    <row r="19" ht="18.75" customHeight="1">
      <c r="A19" s="18" t="s">
        <v>543</v>
      </c>
      <c r="B19" s="19" t="s">
        <v>1251</v>
      </c>
      <c r="C19" s="20"/>
      <c r="D19" s="18" t="s">
        <v>545</v>
      </c>
      <c r="E19" s="19" t="s">
        <v>1376</v>
      </c>
      <c r="F19" s="20"/>
      <c r="G19" s="18" t="s">
        <v>547</v>
      </c>
      <c r="H19" s="19" t="s">
        <v>1211</v>
      </c>
      <c r="I19" s="20"/>
      <c r="J19" s="18" t="s">
        <v>549</v>
      </c>
      <c r="K19" s="19" t="s">
        <v>1211</v>
      </c>
      <c r="L19" s="20"/>
      <c r="M19" s="18" t="s">
        <v>758</v>
      </c>
      <c r="N19" s="19" t="s">
        <v>1181</v>
      </c>
      <c r="O19" s="20"/>
    </row>
    <row r="20" ht="180.0" customHeight="1">
      <c r="A20" s="21" t="str">
        <f>IMAGE("https://assets.tcgdex.net/de/sv/sv03/021/low.jpg", 1)</f>
        <v/>
      </c>
      <c r="B20" s="22"/>
      <c r="C20" s="20"/>
      <c r="D20" s="21" t="str">
        <f>IMAGE("https://assets.tcgdex.net/de/sv/sv03/022/low.jpg", 1)</f>
        <v/>
      </c>
      <c r="E20" s="22"/>
      <c r="F20" s="20"/>
      <c r="G20" s="21" t="str">
        <f>IMAGE("https://assets.tcgdex.net/de/sv/sv03/023/low.jpg", 1)</f>
        <v/>
      </c>
      <c r="H20" s="22"/>
      <c r="I20" s="20"/>
      <c r="J20" s="21" t="str">
        <f>IMAGE("https://assets.tcgdex.net/de/sv/sv03/024/low.jpg", 1)</f>
        <v/>
      </c>
      <c r="K20" s="22"/>
      <c r="L20" s="20"/>
      <c r="M20" s="21" t="str">
        <f>IMAGE("https://assets.tcgdex.net/de/sv/sv03/025/low.jpg", 1)</f>
        <v/>
      </c>
      <c r="N20" s="22"/>
      <c r="O20" s="20"/>
    </row>
    <row r="21" ht="22.5" customHeight="1">
      <c r="A21" s="23" t="b">
        <v>0</v>
      </c>
      <c r="B21" s="24" t="b">
        <v>0</v>
      </c>
      <c r="C21" s="25" t="str">
        <f>HYPERLINK("https://www.cardmarket.com/en/Pokemon/Products/Singles?idCategory=1&amp;idProduct=sv3-21", "CM")</f>
        <v>CM</v>
      </c>
      <c r="D21" s="23" t="b">
        <v>0</v>
      </c>
      <c r="E21" s="24" t="b">
        <v>0</v>
      </c>
      <c r="F21" s="25" t="str">
        <f>HYPERLINK("https://www.cardmarket.com/en/Pokemon/Products/Singles?idCategory=1&amp;idProduct=sv3-22", "CM")</f>
        <v>CM</v>
      </c>
      <c r="G21" s="23" t="b">
        <v>0</v>
      </c>
      <c r="H21" s="24" t="b">
        <v>0</v>
      </c>
      <c r="I21" s="25" t="str">
        <f>HYPERLINK("https://www.cardmarket.com/en/Pokemon/Products/Singles?idCategory=1&amp;idProduct=sv3-23", "CM")</f>
        <v>CM</v>
      </c>
      <c r="J21" s="23" t="b">
        <v>0</v>
      </c>
      <c r="K21" s="24" t="b">
        <v>0</v>
      </c>
      <c r="L21" s="25" t="str">
        <f>HYPERLINK("https://www.cardmarket.com/en/Pokemon/Products/Singles?idCategory=1&amp;idProduct=sv3-24", "CM")</f>
        <v>CM</v>
      </c>
      <c r="M21" s="23" t="b">
        <v>0</v>
      </c>
      <c r="N21" s="24" t="b">
        <v>0</v>
      </c>
      <c r="O21" s="25" t="str">
        <f>HYPERLINK("https://www.cardmarket.com/en/Pokemon/Products/Singles?idCategory=1&amp;idProduct=sv3-25", "CM")</f>
        <v>CM</v>
      </c>
    </row>
    <row r="22" ht="7.5" customHeight="1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</row>
    <row r="23" ht="18.75" customHeight="1">
      <c r="A23" s="18" t="s">
        <v>760</v>
      </c>
      <c r="B23" s="19" t="s">
        <v>766</v>
      </c>
      <c r="C23" s="20"/>
      <c r="D23" s="18" t="s">
        <v>762</v>
      </c>
      <c r="E23" s="19" t="s">
        <v>1377</v>
      </c>
      <c r="F23" s="20"/>
      <c r="G23" s="18" t="s">
        <v>551</v>
      </c>
      <c r="H23" s="19" t="s">
        <v>1378</v>
      </c>
      <c r="I23" s="20"/>
      <c r="J23" s="18" t="s">
        <v>553</v>
      </c>
      <c r="K23" s="19" t="s">
        <v>1379</v>
      </c>
      <c r="L23" s="20"/>
      <c r="M23" s="18" t="s">
        <v>555</v>
      </c>
      <c r="N23" s="19" t="s">
        <v>969</v>
      </c>
      <c r="O23" s="20"/>
    </row>
    <row r="24" ht="180.0" customHeight="1">
      <c r="A24" s="21" t="str">
        <f>IMAGE("https://assets.tcgdex.net/de/sv/sv03/026/low.jpg", 1)</f>
        <v/>
      </c>
      <c r="B24" s="22"/>
      <c r="C24" s="20"/>
      <c r="D24" s="21" t="str">
        <f>IMAGE("https://assets.tcgdex.net/de/sv/sv03/027/low.jpg", 1)</f>
        <v/>
      </c>
      <c r="E24" s="22"/>
      <c r="F24" s="20"/>
      <c r="G24" s="21" t="str">
        <f>IMAGE("https://assets.tcgdex.net/de/sv/sv03/028/low.jpg", 1)</f>
        <v/>
      </c>
      <c r="H24" s="22"/>
      <c r="I24" s="20"/>
      <c r="J24" s="21" t="str">
        <f>IMAGE("https://assets.tcgdex.net/de/sv/sv03/029/low.jpg", 1)</f>
        <v/>
      </c>
      <c r="K24" s="22"/>
      <c r="L24" s="20"/>
      <c r="M24" s="21" t="str">
        <f>IMAGE("https://assets.tcgdex.net/de/sv/sv03/030/low.jpg", 1)</f>
        <v/>
      </c>
      <c r="N24" s="22"/>
      <c r="O24" s="20"/>
    </row>
    <row r="25" ht="22.5" customHeight="1">
      <c r="A25" s="23" t="b">
        <v>0</v>
      </c>
      <c r="B25" s="24" t="b">
        <v>0</v>
      </c>
      <c r="C25" s="25" t="str">
        <f>HYPERLINK("https://www.cardmarket.com/en/Pokemon/Products/Singles?idCategory=1&amp;idProduct=sv3-26", "CM")</f>
        <v>CM</v>
      </c>
      <c r="D25" s="23" t="b">
        <v>0</v>
      </c>
      <c r="E25" s="24" t="b">
        <v>0</v>
      </c>
      <c r="F25" s="25" t="str">
        <f>HYPERLINK("https://www.cardmarket.com/en/Pokemon/Products/Singles?idCategory=1&amp;idProduct=sv3-27", "CM")</f>
        <v>CM</v>
      </c>
      <c r="G25" s="23" t="b">
        <v>0</v>
      </c>
      <c r="H25" s="24" t="b">
        <v>0</v>
      </c>
      <c r="I25" s="25" t="str">
        <f>HYPERLINK("https://www.cardmarket.com/en/Pokemon/Products/Singles?idCategory=1&amp;idProduct=sv3-28", "CM")</f>
        <v>CM</v>
      </c>
      <c r="J25" s="23" t="b">
        <v>0</v>
      </c>
      <c r="K25" s="24" t="b">
        <v>0</v>
      </c>
      <c r="L25" s="25" t="str">
        <f>HYPERLINK("https://www.cardmarket.com/en/Pokemon/Products/Singles?idCategory=1&amp;idProduct=sv3-29", "CM")</f>
        <v>CM</v>
      </c>
      <c r="M25" s="23" t="b">
        <v>0</v>
      </c>
      <c r="N25" s="24" t="b">
        <v>0</v>
      </c>
      <c r="O25" s="25" t="str">
        <f>HYPERLINK("https://www.cardmarket.com/en/Pokemon/Products/Singles?idCategory=1&amp;idProduct=sv3-30", "CM")</f>
        <v>CM</v>
      </c>
    </row>
    <row r="26" ht="7.5" customHeight="1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</row>
    <row r="27" ht="18.75" customHeight="1">
      <c r="A27" s="18" t="s">
        <v>557</v>
      </c>
      <c r="B27" s="19" t="s">
        <v>1380</v>
      </c>
      <c r="C27" s="20"/>
      <c r="D27" s="18" t="s">
        <v>559</v>
      </c>
      <c r="E27" s="19" t="s">
        <v>1381</v>
      </c>
      <c r="F27" s="20"/>
      <c r="G27" s="18" t="s">
        <v>561</v>
      </c>
      <c r="H27" s="19" t="s">
        <v>677</v>
      </c>
      <c r="I27" s="20"/>
      <c r="J27" s="18" t="s">
        <v>563</v>
      </c>
      <c r="K27" s="19" t="s">
        <v>1382</v>
      </c>
      <c r="L27" s="20"/>
      <c r="M27" s="18" t="s">
        <v>565</v>
      </c>
      <c r="N27" s="19" t="s">
        <v>1383</v>
      </c>
      <c r="O27" s="20"/>
    </row>
    <row r="28" ht="180.0" customHeight="1">
      <c r="A28" s="21" t="str">
        <f>IMAGE("https://assets.tcgdex.net/de/sv/sv03/031/low.jpg", 1)</f>
        <v/>
      </c>
      <c r="B28" s="22"/>
      <c r="C28" s="20"/>
      <c r="D28" s="21" t="str">
        <f>IMAGE("https://assets.tcgdex.net/de/sv/sv03/032/low.jpg", 1)</f>
        <v/>
      </c>
      <c r="E28" s="22"/>
      <c r="F28" s="20"/>
      <c r="G28" s="21" t="str">
        <f>IMAGE("https://assets.tcgdex.net/de/sv/sv03/033/low.jpg", 1)</f>
        <v/>
      </c>
      <c r="H28" s="22"/>
      <c r="I28" s="20"/>
      <c r="J28" s="21" t="str">
        <f>IMAGE("https://assets.tcgdex.net/de/sv/sv03/034/low.jpg", 1)</f>
        <v/>
      </c>
      <c r="K28" s="22"/>
      <c r="L28" s="20"/>
      <c r="M28" s="21" t="str">
        <f>IMAGE("https://assets.tcgdex.net/de/sv/sv03/035/low.jpg", 1)</f>
        <v/>
      </c>
      <c r="N28" s="22"/>
      <c r="O28" s="20"/>
    </row>
    <row r="29" ht="22.5" customHeight="1">
      <c r="A29" s="23" t="b">
        <v>0</v>
      </c>
      <c r="B29" s="24" t="b">
        <v>0</v>
      </c>
      <c r="C29" s="25" t="str">
        <f>HYPERLINK("https://www.cardmarket.com/en/Pokemon/Products/Singles?idCategory=1&amp;idProduct=sv3-31", "CM")</f>
        <v>CM</v>
      </c>
      <c r="D29" s="23" t="b">
        <v>0</v>
      </c>
      <c r="E29" s="24" t="b">
        <v>0</v>
      </c>
      <c r="F29" s="25" t="str">
        <f>HYPERLINK("https://www.cardmarket.com/en/Pokemon/Products/Singles?idCategory=1&amp;idProduct=sv3-32", "CM")</f>
        <v>CM</v>
      </c>
      <c r="G29" s="23" t="b">
        <v>0</v>
      </c>
      <c r="H29" s="24" t="b">
        <v>0</v>
      </c>
      <c r="I29" s="25" t="str">
        <f>HYPERLINK("https://www.cardmarket.com/en/Pokemon/Products/Singles?idCategory=1&amp;idProduct=sv3-33", "CM")</f>
        <v>CM</v>
      </c>
      <c r="J29" s="23" t="b">
        <v>0</v>
      </c>
      <c r="K29" s="24" t="b">
        <v>0</v>
      </c>
      <c r="L29" s="25" t="str">
        <f>HYPERLINK("https://www.cardmarket.com/en/Pokemon/Products/Singles?idCategory=1&amp;idProduct=sv3-34", "CM")</f>
        <v>CM</v>
      </c>
      <c r="M29" s="23" t="b">
        <v>0</v>
      </c>
      <c r="N29" s="24" t="b">
        <v>0</v>
      </c>
      <c r="O29" s="25" t="str">
        <f>HYPERLINK("https://www.cardmarket.com/en/Pokemon/Products/Singles?idCategory=1&amp;idProduct=sv3-35", "CM")</f>
        <v>CM</v>
      </c>
    </row>
    <row r="30" ht="7.5" customHeight="1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</row>
    <row r="31" ht="18.75" customHeight="1">
      <c r="A31" s="18" t="s">
        <v>567</v>
      </c>
      <c r="B31" s="19" t="s">
        <v>1384</v>
      </c>
      <c r="C31" s="20"/>
      <c r="D31" s="18" t="s">
        <v>569</v>
      </c>
      <c r="E31" s="19" t="s">
        <v>1385</v>
      </c>
      <c r="F31" s="20"/>
      <c r="G31" s="18" t="s">
        <v>571</v>
      </c>
      <c r="H31" s="19" t="s">
        <v>1386</v>
      </c>
      <c r="I31" s="20"/>
      <c r="J31" s="18" t="s">
        <v>573</v>
      </c>
      <c r="K31" s="19" t="s">
        <v>1387</v>
      </c>
      <c r="L31" s="20"/>
      <c r="M31" s="18" t="s">
        <v>575</v>
      </c>
      <c r="N31" s="19" t="s">
        <v>972</v>
      </c>
      <c r="O31" s="20"/>
    </row>
    <row r="32" ht="180.0" customHeight="1">
      <c r="A32" s="21" t="str">
        <f>IMAGE("https://assets.tcgdex.net/de/sv/sv03/036/low.jpg", 1)</f>
        <v/>
      </c>
      <c r="B32" s="22"/>
      <c r="C32" s="20"/>
      <c r="D32" s="21" t="str">
        <f>IMAGE("https://assets.tcgdex.net/de/sv/sv03/037/low.jpg", 1)</f>
        <v/>
      </c>
      <c r="E32" s="22"/>
      <c r="F32" s="20"/>
      <c r="G32" s="21" t="str">
        <f>IMAGE("https://assets.tcgdex.net/de/sv/sv03/038/low.jpg", 1)</f>
        <v/>
      </c>
      <c r="H32" s="22"/>
      <c r="I32" s="20"/>
      <c r="J32" s="21" t="str">
        <f>IMAGE("https://assets.tcgdex.net/de/sv/sv03/039/low.jpg", 1)</f>
        <v/>
      </c>
      <c r="K32" s="22"/>
      <c r="L32" s="20"/>
      <c r="M32" s="21" t="str">
        <f>IMAGE("https://assets.tcgdex.net/de/sv/sv03/040/low.jpg", 1)</f>
        <v/>
      </c>
      <c r="N32" s="22"/>
      <c r="O32" s="20"/>
    </row>
    <row r="33" ht="22.5" customHeight="1">
      <c r="A33" s="23" t="b">
        <v>0</v>
      </c>
      <c r="B33" s="24" t="b">
        <v>0</v>
      </c>
      <c r="C33" s="25" t="str">
        <f>HYPERLINK("https://www.cardmarket.com/en/Pokemon/Products/Singles?idCategory=1&amp;idProduct=sv3-36", "CM")</f>
        <v>CM</v>
      </c>
      <c r="D33" s="23" t="b">
        <v>0</v>
      </c>
      <c r="E33" s="24" t="b">
        <v>0</v>
      </c>
      <c r="F33" s="25" t="str">
        <f>HYPERLINK("https://www.cardmarket.com/en/Pokemon/Products/Singles?idCategory=1&amp;idProduct=sv3-37", "CM")</f>
        <v>CM</v>
      </c>
      <c r="G33" s="23" t="b">
        <v>0</v>
      </c>
      <c r="H33" s="24" t="b">
        <v>0</v>
      </c>
      <c r="I33" s="25" t="str">
        <f>HYPERLINK("https://www.cardmarket.com/en/Pokemon/Products/Singles?idCategory=1&amp;idProduct=sv3-38", "CM")</f>
        <v>CM</v>
      </c>
      <c r="J33" s="23" t="b">
        <v>0</v>
      </c>
      <c r="K33" s="24" t="b">
        <v>0</v>
      </c>
      <c r="L33" s="25" t="str">
        <f>HYPERLINK("https://www.cardmarket.com/en/Pokemon/Products/Singles?idCategory=1&amp;idProduct=sv3-39", "CM")</f>
        <v>CM</v>
      </c>
      <c r="M33" s="23" t="b">
        <v>0</v>
      </c>
      <c r="N33" s="24" t="b">
        <v>0</v>
      </c>
      <c r="O33" s="25" t="str">
        <f>HYPERLINK("https://www.cardmarket.com/en/Pokemon/Products/Singles?idCategory=1&amp;idProduct=sv3-40", "CM")</f>
        <v>CM</v>
      </c>
    </row>
    <row r="34" ht="7.5" customHeight="1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</row>
    <row r="35" ht="18.75" customHeight="1">
      <c r="A35" s="18" t="s">
        <v>577</v>
      </c>
      <c r="B35" s="19" t="s">
        <v>973</v>
      </c>
      <c r="C35" s="20"/>
      <c r="D35" s="18" t="s">
        <v>579</v>
      </c>
      <c r="E35" s="19" t="s">
        <v>1388</v>
      </c>
      <c r="F35" s="20"/>
      <c r="G35" s="18" t="s">
        <v>763</v>
      </c>
      <c r="H35" s="19" t="s">
        <v>1213</v>
      </c>
      <c r="I35" s="20"/>
      <c r="J35" s="18" t="s">
        <v>765</v>
      </c>
      <c r="K35" s="19" t="s">
        <v>1257</v>
      </c>
      <c r="L35" s="20"/>
      <c r="M35" s="18" t="s">
        <v>581</v>
      </c>
      <c r="N35" s="19" t="s">
        <v>1072</v>
      </c>
      <c r="O35" s="20"/>
    </row>
    <row r="36" ht="180.0" customHeight="1">
      <c r="A36" s="21" t="str">
        <f>IMAGE("https://assets.tcgdex.net/de/sv/sv03/041/low.jpg", 1)</f>
        <v/>
      </c>
      <c r="B36" s="22"/>
      <c r="C36" s="20"/>
      <c r="D36" s="21" t="str">
        <f>IMAGE("https://assets.tcgdex.net/de/sv/sv03/042/low.jpg", 1)</f>
        <v/>
      </c>
      <c r="E36" s="22"/>
      <c r="F36" s="20"/>
      <c r="G36" s="21" t="str">
        <f>IMAGE("https://assets.tcgdex.net/de/sv/sv03/043/low.jpg", 1)</f>
        <v/>
      </c>
      <c r="H36" s="22"/>
      <c r="I36" s="20"/>
      <c r="J36" s="21" t="str">
        <f>IMAGE("https://assets.tcgdex.net/de/sv/sv03/044/low.jpg", 1)</f>
        <v/>
      </c>
      <c r="K36" s="22"/>
      <c r="L36" s="20"/>
      <c r="M36" s="21" t="str">
        <f>IMAGE("https://assets.tcgdex.net/de/sv/sv03/045/low.jpg", 1)</f>
        <v/>
      </c>
      <c r="N36" s="22"/>
      <c r="O36" s="20"/>
    </row>
    <row r="37" ht="22.5" customHeight="1">
      <c r="A37" s="23" t="b">
        <v>0</v>
      </c>
      <c r="B37" s="24" t="b">
        <v>0</v>
      </c>
      <c r="C37" s="25" t="str">
        <f>HYPERLINK("https://www.cardmarket.com/en/Pokemon/Products/Singles?idCategory=1&amp;idProduct=sv3-41", "CM")</f>
        <v>CM</v>
      </c>
      <c r="D37" s="23" t="b">
        <v>0</v>
      </c>
      <c r="E37" s="24" t="b">
        <v>0</v>
      </c>
      <c r="F37" s="25" t="str">
        <f>HYPERLINK("https://www.cardmarket.com/en/Pokemon/Products/Singles?idCategory=1&amp;idProduct=sv3-42", "CM")</f>
        <v>CM</v>
      </c>
      <c r="G37" s="23" t="b">
        <v>0</v>
      </c>
      <c r="H37" s="24" t="b">
        <v>0</v>
      </c>
      <c r="I37" s="25" t="str">
        <f>HYPERLINK("https://www.cardmarket.com/en/Pokemon/Products/Singles?idCategory=1&amp;idProduct=sv3-43", "CM")</f>
        <v>CM</v>
      </c>
      <c r="J37" s="23" t="b">
        <v>0</v>
      </c>
      <c r="K37" s="24" t="b">
        <v>0</v>
      </c>
      <c r="L37" s="25" t="str">
        <f>HYPERLINK("https://www.cardmarket.com/en/Pokemon/Products/Singles?idCategory=1&amp;idProduct=sv3-44", "CM")</f>
        <v>CM</v>
      </c>
      <c r="M37" s="23" t="b">
        <v>0</v>
      </c>
      <c r="N37" s="24" t="b">
        <v>0</v>
      </c>
      <c r="O37" s="25" t="str">
        <f>HYPERLINK("https://www.cardmarket.com/en/Pokemon/Products/Singles?idCategory=1&amp;idProduct=sv3-45", "CM")</f>
        <v>CM</v>
      </c>
    </row>
    <row r="38" ht="7.5" customHeight="1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</row>
    <row r="39" ht="18.75" customHeight="1">
      <c r="A39" s="18" t="s">
        <v>767</v>
      </c>
      <c r="B39" s="19" t="s">
        <v>626</v>
      </c>
      <c r="C39" s="20"/>
      <c r="D39" s="18" t="s">
        <v>769</v>
      </c>
      <c r="E39" s="19" t="s">
        <v>1389</v>
      </c>
      <c r="F39" s="20"/>
      <c r="G39" s="18" t="s">
        <v>770</v>
      </c>
      <c r="H39" s="19" t="s">
        <v>1261</v>
      </c>
      <c r="I39" s="20"/>
      <c r="J39" s="18" t="s">
        <v>772</v>
      </c>
      <c r="K39" s="19" t="s">
        <v>1214</v>
      </c>
      <c r="L39" s="20"/>
      <c r="M39" s="18" t="s">
        <v>774</v>
      </c>
      <c r="N39" s="19" t="s">
        <v>1390</v>
      </c>
      <c r="O39" s="20"/>
    </row>
    <row r="40" ht="180.0" customHeight="1">
      <c r="A40" s="21" t="str">
        <f>IMAGE("https://assets.tcgdex.net/de/sv/sv03/046/low.jpg", 1)</f>
        <v/>
      </c>
      <c r="B40" s="22"/>
      <c r="C40" s="20"/>
      <c r="D40" s="21" t="str">
        <f>IMAGE("https://assets.tcgdex.net/de/sv/sv03/047/low.jpg", 1)</f>
        <v/>
      </c>
      <c r="E40" s="22"/>
      <c r="F40" s="20"/>
      <c r="G40" s="21" t="str">
        <f>IMAGE("https://assets.tcgdex.net/de/sv/sv03/048/low.jpg", 1)</f>
        <v/>
      </c>
      <c r="H40" s="22"/>
      <c r="I40" s="20"/>
      <c r="J40" s="21" t="str">
        <f>IMAGE("https://assets.tcgdex.net/de/sv/sv03/049/low.jpg", 1)</f>
        <v/>
      </c>
      <c r="K40" s="22"/>
      <c r="L40" s="20"/>
      <c r="M40" s="21" t="str">
        <f>IMAGE("https://assets.tcgdex.net/de/sv/sv03/050/low.jpg", 1)</f>
        <v/>
      </c>
      <c r="N40" s="22"/>
      <c r="O40" s="20"/>
    </row>
    <row r="41" ht="22.5" customHeight="1">
      <c r="A41" s="23" t="b">
        <v>0</v>
      </c>
      <c r="B41" s="24" t="b">
        <v>0</v>
      </c>
      <c r="C41" s="25" t="str">
        <f>HYPERLINK("https://www.cardmarket.com/en/Pokemon/Products/Singles?idCategory=1&amp;idProduct=sv3-46", "CM")</f>
        <v>CM</v>
      </c>
      <c r="D41" s="23" t="b">
        <v>0</v>
      </c>
      <c r="E41" s="24" t="b">
        <v>0</v>
      </c>
      <c r="F41" s="25" t="str">
        <f>HYPERLINK("https://www.cardmarket.com/en/Pokemon/Products/Singles?idCategory=1&amp;idProduct=sv3-47", "CM")</f>
        <v>CM</v>
      </c>
      <c r="G41" s="23" t="b">
        <v>0</v>
      </c>
      <c r="H41" s="24" t="b">
        <v>0</v>
      </c>
      <c r="I41" s="25" t="str">
        <f>HYPERLINK("https://www.cardmarket.com/en/Pokemon/Products/Singles?idCategory=1&amp;idProduct=sv3-48", "CM")</f>
        <v>CM</v>
      </c>
      <c r="J41" s="23" t="b">
        <v>0</v>
      </c>
      <c r="K41" s="24" t="b">
        <v>0</v>
      </c>
      <c r="L41" s="25" t="str">
        <f>HYPERLINK("https://www.cardmarket.com/en/Pokemon/Products/Singles?idCategory=1&amp;idProduct=sv3-49", "CM")</f>
        <v>CM</v>
      </c>
      <c r="M41" s="23" t="b">
        <v>0</v>
      </c>
      <c r="N41" s="24" t="b">
        <v>0</v>
      </c>
      <c r="O41" s="25" t="str">
        <f>HYPERLINK("https://www.cardmarket.com/en/Pokemon/Products/Singles?idCategory=1&amp;idProduct=sv3-50", "CM")</f>
        <v>CM</v>
      </c>
    </row>
    <row r="42" ht="7.5" customHeight="1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</row>
    <row r="43" ht="18.75" customHeight="1">
      <c r="A43" s="18" t="s">
        <v>776</v>
      </c>
      <c r="B43" s="19" t="s">
        <v>1391</v>
      </c>
      <c r="C43" s="20"/>
      <c r="D43" s="18" t="s">
        <v>778</v>
      </c>
      <c r="E43" s="19" t="s">
        <v>1392</v>
      </c>
      <c r="F43" s="20"/>
      <c r="G43" s="18" t="s">
        <v>780</v>
      </c>
      <c r="H43" s="19" t="s">
        <v>1393</v>
      </c>
      <c r="I43" s="20"/>
      <c r="J43" s="18" t="s">
        <v>583</v>
      </c>
      <c r="K43" s="19" t="s">
        <v>1394</v>
      </c>
      <c r="L43" s="20"/>
      <c r="M43" s="18" t="s">
        <v>585</v>
      </c>
      <c r="N43" s="19" t="s">
        <v>1395</v>
      </c>
      <c r="O43" s="20"/>
    </row>
    <row r="44" ht="180.0" customHeight="1">
      <c r="A44" s="21" t="str">
        <f>IMAGE("https://assets.tcgdex.net/de/sv/sv03/051/low.jpg", 1)</f>
        <v/>
      </c>
      <c r="B44" s="22"/>
      <c r="C44" s="20"/>
      <c r="D44" s="21" t="str">
        <f>IMAGE("https://assets.tcgdex.net/de/sv/sv03/052/low.jpg", 1)</f>
        <v/>
      </c>
      <c r="E44" s="22"/>
      <c r="F44" s="20"/>
      <c r="G44" s="21" t="str">
        <f>IMAGE("https://assets.tcgdex.net/de/sv/sv03/053/low.jpg", 1)</f>
        <v/>
      </c>
      <c r="H44" s="22"/>
      <c r="I44" s="20"/>
      <c r="J44" s="21" t="str">
        <f>IMAGE("https://assets.tcgdex.net/de/sv/sv03/054/low.jpg", 1)</f>
        <v/>
      </c>
      <c r="K44" s="22"/>
      <c r="L44" s="20"/>
      <c r="M44" s="21" t="str">
        <f>IMAGE("https://assets.tcgdex.net/de/sv/sv03/055/low.jpg", 1)</f>
        <v/>
      </c>
      <c r="N44" s="22"/>
      <c r="O44" s="20"/>
    </row>
    <row r="45" ht="22.5" customHeight="1">
      <c r="A45" s="23" t="b">
        <v>0</v>
      </c>
      <c r="B45" s="24" t="b">
        <v>0</v>
      </c>
      <c r="C45" s="25" t="str">
        <f>HYPERLINK("https://www.cardmarket.com/en/Pokemon/Products/Singles?idCategory=1&amp;idProduct=sv3-51", "CM")</f>
        <v>CM</v>
      </c>
      <c r="D45" s="23" t="b">
        <v>0</v>
      </c>
      <c r="E45" s="24" t="b">
        <v>0</v>
      </c>
      <c r="F45" s="25" t="str">
        <f>HYPERLINK("https://www.cardmarket.com/en/Pokemon/Products/Singles?idCategory=1&amp;idProduct=sv3-52", "CM")</f>
        <v>CM</v>
      </c>
      <c r="G45" s="23" t="b">
        <v>0</v>
      </c>
      <c r="H45" s="24" t="b">
        <v>0</v>
      </c>
      <c r="I45" s="25" t="str">
        <f>HYPERLINK("https://www.cardmarket.com/en/Pokemon/Products/Singles?idCategory=1&amp;idProduct=sv3-53", "CM")</f>
        <v>CM</v>
      </c>
      <c r="J45" s="23" t="b">
        <v>0</v>
      </c>
      <c r="K45" s="24" t="b">
        <v>0</v>
      </c>
      <c r="L45" s="25" t="str">
        <f>HYPERLINK("https://www.cardmarket.com/en/Pokemon/Products/Singles?idCategory=1&amp;idProduct=sv3-54", "CM")</f>
        <v>CM</v>
      </c>
      <c r="M45" s="23" t="b">
        <v>0</v>
      </c>
      <c r="N45" s="24" t="b">
        <v>0</v>
      </c>
      <c r="O45" s="25" t="str">
        <f>HYPERLINK("https://www.cardmarket.com/en/Pokemon/Products/Singles?idCategory=1&amp;idProduct=sv3-55", "CM")</f>
        <v>CM</v>
      </c>
    </row>
    <row r="46" ht="7.5" customHeight="1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</row>
    <row r="47" ht="18.75" customHeight="1">
      <c r="A47" s="18" t="s">
        <v>782</v>
      </c>
      <c r="B47" s="19" t="s">
        <v>1396</v>
      </c>
      <c r="C47" s="20"/>
      <c r="D47" s="18" t="s">
        <v>587</v>
      </c>
      <c r="E47" s="19" t="s">
        <v>1397</v>
      </c>
      <c r="F47" s="20"/>
      <c r="G47" s="18" t="s">
        <v>589</v>
      </c>
      <c r="H47" s="19" t="s">
        <v>1182</v>
      </c>
      <c r="I47" s="20"/>
      <c r="J47" s="18" t="s">
        <v>591</v>
      </c>
      <c r="K47" s="19" t="s">
        <v>1266</v>
      </c>
      <c r="L47" s="20"/>
      <c r="M47" s="18" t="s">
        <v>593</v>
      </c>
      <c r="N47" s="19" t="s">
        <v>1398</v>
      </c>
      <c r="O47" s="20"/>
    </row>
    <row r="48" ht="180.0" customHeight="1">
      <c r="A48" s="21" t="str">
        <f>IMAGE("https://assets.tcgdex.net/de/sv/sv03/056/low.jpg", 1)</f>
        <v/>
      </c>
      <c r="B48" s="22"/>
      <c r="C48" s="20"/>
      <c r="D48" s="21" t="str">
        <f>IMAGE("https://assets.tcgdex.net/de/sv/sv03/057/low.jpg", 1)</f>
        <v/>
      </c>
      <c r="E48" s="22"/>
      <c r="F48" s="20"/>
      <c r="G48" s="21" t="str">
        <f>IMAGE("https://assets.tcgdex.net/de/sv/sv03/058/low.jpg", 1)</f>
        <v/>
      </c>
      <c r="H48" s="22"/>
      <c r="I48" s="20"/>
      <c r="J48" s="21" t="str">
        <f>IMAGE("https://assets.tcgdex.net/de/sv/sv03/059/low.jpg", 1)</f>
        <v/>
      </c>
      <c r="K48" s="22"/>
      <c r="L48" s="20"/>
      <c r="M48" s="21" t="str">
        <f>IMAGE("https://assets.tcgdex.net/de/sv/sv03/060/low.jpg", 1)</f>
        <v/>
      </c>
      <c r="N48" s="22"/>
      <c r="O48" s="20"/>
    </row>
    <row r="49" ht="22.5" customHeight="1">
      <c r="A49" s="23" t="b">
        <v>0</v>
      </c>
      <c r="B49" s="24" t="b">
        <v>0</v>
      </c>
      <c r="C49" s="25" t="str">
        <f>HYPERLINK("https://www.cardmarket.com/en/Pokemon/Products/Singles?idCategory=1&amp;idProduct=sv3-56", "CM")</f>
        <v>CM</v>
      </c>
      <c r="D49" s="23" t="b">
        <v>0</v>
      </c>
      <c r="E49" s="24" t="b">
        <v>0</v>
      </c>
      <c r="F49" s="25" t="str">
        <f>HYPERLINK("https://www.cardmarket.com/en/Pokemon/Products/Singles?idCategory=1&amp;idProduct=sv3-57", "CM")</f>
        <v>CM</v>
      </c>
      <c r="G49" s="23" t="b">
        <v>0</v>
      </c>
      <c r="H49" s="24" t="b">
        <v>0</v>
      </c>
      <c r="I49" s="25" t="str">
        <f>HYPERLINK("https://www.cardmarket.com/en/Pokemon/Products/Singles?idCategory=1&amp;idProduct=sv3-58", "CM")</f>
        <v>CM</v>
      </c>
      <c r="J49" s="23" t="b">
        <v>0</v>
      </c>
      <c r="K49" s="24" t="b">
        <v>0</v>
      </c>
      <c r="L49" s="25" t="str">
        <f>HYPERLINK("https://www.cardmarket.com/en/Pokemon/Products/Singles?idCategory=1&amp;idProduct=sv3-59", "CM")</f>
        <v>CM</v>
      </c>
      <c r="M49" s="23" t="b">
        <v>0</v>
      </c>
      <c r="N49" s="24" t="b">
        <v>0</v>
      </c>
      <c r="O49" s="25" t="str">
        <f>HYPERLINK("https://www.cardmarket.com/en/Pokemon/Products/Singles?idCategory=1&amp;idProduct=sv3-60", "CM")</f>
        <v>CM</v>
      </c>
    </row>
    <row r="50" ht="7.5" customHeight="1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</row>
    <row r="51" ht="18.75" customHeight="1">
      <c r="A51" s="18" t="s">
        <v>595</v>
      </c>
      <c r="B51" s="19" t="s">
        <v>1398</v>
      </c>
      <c r="C51" s="20"/>
      <c r="D51" s="18" t="s">
        <v>597</v>
      </c>
      <c r="E51" s="19" t="s">
        <v>568</v>
      </c>
      <c r="F51" s="20"/>
      <c r="G51" s="18" t="s">
        <v>784</v>
      </c>
      <c r="H51" s="19" t="s">
        <v>1268</v>
      </c>
      <c r="I51" s="20"/>
      <c r="J51" s="18" t="s">
        <v>786</v>
      </c>
      <c r="K51" s="19" t="s">
        <v>688</v>
      </c>
      <c r="L51" s="20"/>
      <c r="M51" s="18" t="s">
        <v>788</v>
      </c>
      <c r="N51" s="19" t="s">
        <v>1097</v>
      </c>
      <c r="O51" s="20"/>
    </row>
    <row r="52" ht="180.0" customHeight="1">
      <c r="A52" s="21" t="str">
        <f>IMAGE("https://assets.tcgdex.net/de/sv/sv03/061/low.jpg", 1)</f>
        <v/>
      </c>
      <c r="B52" s="22"/>
      <c r="C52" s="20"/>
      <c r="D52" s="21" t="str">
        <f>IMAGE("https://assets.tcgdex.net/de/sv/sv03/062/low.jpg", 1)</f>
        <v/>
      </c>
      <c r="E52" s="22"/>
      <c r="F52" s="20"/>
      <c r="G52" s="21" t="str">
        <f>IMAGE("https://assets.tcgdex.net/de/sv/sv03/063/low.jpg", 1)</f>
        <v/>
      </c>
      <c r="H52" s="22"/>
      <c r="I52" s="20"/>
      <c r="J52" s="21" t="str">
        <f>IMAGE("https://assets.tcgdex.net/de/sv/sv03/064/low.jpg", 1)</f>
        <v/>
      </c>
      <c r="K52" s="22"/>
      <c r="L52" s="20"/>
      <c r="M52" s="21" t="str">
        <f>IMAGE("https://assets.tcgdex.net/de/sv/sv03/065/low.jpg", 1)</f>
        <v/>
      </c>
      <c r="N52" s="22"/>
      <c r="O52" s="20"/>
    </row>
    <row r="53" ht="22.5" customHeight="1">
      <c r="A53" s="23" t="b">
        <v>0</v>
      </c>
      <c r="B53" s="24" t="b">
        <v>0</v>
      </c>
      <c r="C53" s="25" t="str">
        <f>HYPERLINK("https://www.cardmarket.com/en/Pokemon/Products/Singles?idCategory=1&amp;idProduct=sv3-61", "CM")</f>
        <v>CM</v>
      </c>
      <c r="D53" s="23" t="b">
        <v>0</v>
      </c>
      <c r="E53" s="24" t="b">
        <v>0</v>
      </c>
      <c r="F53" s="25" t="str">
        <f>HYPERLINK("https://www.cardmarket.com/en/Pokemon/Products/Singles?idCategory=1&amp;idProduct=sv3-62", "CM")</f>
        <v>CM</v>
      </c>
      <c r="G53" s="23" t="b">
        <v>0</v>
      </c>
      <c r="H53" s="24" t="b">
        <v>0</v>
      </c>
      <c r="I53" s="25" t="str">
        <f>HYPERLINK("https://www.cardmarket.com/en/Pokemon/Products/Singles?idCategory=1&amp;idProduct=sv3-63", "CM")</f>
        <v>CM</v>
      </c>
      <c r="J53" s="23" t="b">
        <v>0</v>
      </c>
      <c r="K53" s="24" t="b">
        <v>0</v>
      </c>
      <c r="L53" s="25" t="str">
        <f>HYPERLINK("https://www.cardmarket.com/en/Pokemon/Products/Singles?idCategory=1&amp;idProduct=sv3-64", "CM")</f>
        <v>CM</v>
      </c>
      <c r="M53" s="23" t="b">
        <v>0</v>
      </c>
      <c r="N53" s="24" t="b">
        <v>0</v>
      </c>
      <c r="O53" s="25" t="str">
        <f>HYPERLINK("https://www.cardmarket.com/en/Pokemon/Products/Singles?idCategory=1&amp;idProduct=sv3-65", "CM")</f>
        <v>CM</v>
      </c>
    </row>
    <row r="54" ht="7.5" customHeight="1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</row>
    <row r="55" ht="18.75" customHeight="1">
      <c r="A55" s="18" t="s">
        <v>790</v>
      </c>
      <c r="B55" s="19" t="s">
        <v>1399</v>
      </c>
      <c r="C55" s="20"/>
      <c r="D55" s="18" t="s">
        <v>791</v>
      </c>
      <c r="E55" s="19" t="s">
        <v>1400</v>
      </c>
      <c r="F55" s="20"/>
      <c r="G55" s="18" t="s">
        <v>793</v>
      </c>
      <c r="H55" s="19" t="s">
        <v>924</v>
      </c>
      <c r="I55" s="20"/>
      <c r="J55" s="18" t="s">
        <v>795</v>
      </c>
      <c r="K55" s="19" t="s">
        <v>1401</v>
      </c>
      <c r="L55" s="20"/>
      <c r="M55" s="18" t="s">
        <v>797</v>
      </c>
      <c r="N55" s="19" t="s">
        <v>1402</v>
      </c>
      <c r="O55" s="20"/>
    </row>
    <row r="56" ht="180.0" customHeight="1">
      <c r="A56" s="21" t="str">
        <f>IMAGE("https://assets.tcgdex.net/de/sv/sv03/066/low.jpg", 1)</f>
        <v/>
      </c>
      <c r="B56" s="22"/>
      <c r="C56" s="20"/>
      <c r="D56" s="21" t="str">
        <f>IMAGE("https://assets.tcgdex.net/de/sv/sv03/067/low.jpg", 1)</f>
        <v/>
      </c>
      <c r="E56" s="22"/>
      <c r="F56" s="20"/>
      <c r="G56" s="21" t="str">
        <f>IMAGE("https://assets.tcgdex.net/de/sv/sv03/068/low.jpg", 1)</f>
        <v/>
      </c>
      <c r="H56" s="22"/>
      <c r="I56" s="20"/>
      <c r="J56" s="21" t="str">
        <f>IMAGE("https://assets.tcgdex.net/de/sv/sv03/069/low.jpg", 1)</f>
        <v/>
      </c>
      <c r="K56" s="22"/>
      <c r="L56" s="20"/>
      <c r="M56" s="21" t="str">
        <f>IMAGE("https://assets.tcgdex.net/de/sv/sv03/070/low.jpg", 1)</f>
        <v/>
      </c>
      <c r="N56" s="22"/>
      <c r="O56" s="20"/>
    </row>
    <row r="57" ht="22.5" customHeight="1">
      <c r="A57" s="23" t="b">
        <v>0</v>
      </c>
      <c r="B57" s="24" t="b">
        <v>0</v>
      </c>
      <c r="C57" s="25" t="str">
        <f>HYPERLINK("https://www.cardmarket.com/en/Pokemon/Products/Singles?idCategory=1&amp;idProduct=sv3-66", "CM")</f>
        <v>CM</v>
      </c>
      <c r="D57" s="23" t="b">
        <v>0</v>
      </c>
      <c r="E57" s="24" t="b">
        <v>0</v>
      </c>
      <c r="F57" s="25" t="str">
        <f>HYPERLINK("https://www.cardmarket.com/en/Pokemon/Products/Singles?idCategory=1&amp;idProduct=sv3-67", "CM")</f>
        <v>CM</v>
      </c>
      <c r="G57" s="23" t="b">
        <v>0</v>
      </c>
      <c r="H57" s="24" t="b">
        <v>0</v>
      </c>
      <c r="I57" s="25" t="str">
        <f>HYPERLINK("https://www.cardmarket.com/en/Pokemon/Products/Singles?idCategory=1&amp;idProduct=sv3-68", "CM")</f>
        <v>CM</v>
      </c>
      <c r="J57" s="23" t="b">
        <v>0</v>
      </c>
      <c r="K57" s="24" t="b">
        <v>0</v>
      </c>
      <c r="L57" s="25" t="str">
        <f>HYPERLINK("https://www.cardmarket.com/en/Pokemon/Products/Singles?idCategory=1&amp;idProduct=sv3-69", "CM")</f>
        <v>CM</v>
      </c>
      <c r="M57" s="23" t="b">
        <v>0</v>
      </c>
      <c r="N57" s="24" t="b">
        <v>0</v>
      </c>
      <c r="O57" s="25" t="str">
        <f>HYPERLINK("https://www.cardmarket.com/en/Pokemon/Products/Singles?idCategory=1&amp;idProduct=sv3-70", "CM")</f>
        <v>CM</v>
      </c>
    </row>
    <row r="58" ht="7.5" customHeight="1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</row>
    <row r="59" ht="18.75" customHeight="1">
      <c r="A59" s="18" t="s">
        <v>799</v>
      </c>
      <c r="B59" s="19" t="s">
        <v>658</v>
      </c>
      <c r="C59" s="20"/>
      <c r="D59" s="18" t="s">
        <v>801</v>
      </c>
      <c r="E59" s="19" t="s">
        <v>1269</v>
      </c>
      <c r="F59" s="20"/>
      <c r="G59" s="18" t="s">
        <v>803</v>
      </c>
      <c r="H59" s="19" t="s">
        <v>1403</v>
      </c>
      <c r="I59" s="20"/>
      <c r="J59" s="18" t="s">
        <v>805</v>
      </c>
      <c r="K59" s="19" t="s">
        <v>1404</v>
      </c>
      <c r="L59" s="20"/>
      <c r="M59" s="18" t="s">
        <v>806</v>
      </c>
      <c r="N59" s="19" t="s">
        <v>1404</v>
      </c>
      <c r="O59" s="20"/>
    </row>
    <row r="60" ht="180.0" customHeight="1">
      <c r="A60" s="21" t="str">
        <f>IMAGE("https://assets.tcgdex.net/de/sv/sv03/071/low.jpg", 1)</f>
        <v/>
      </c>
      <c r="B60" s="22"/>
      <c r="C60" s="20"/>
      <c r="D60" s="21" t="str">
        <f>IMAGE("https://assets.tcgdex.net/de/sv/sv03/072/low.jpg", 1)</f>
        <v/>
      </c>
      <c r="E60" s="22"/>
      <c r="F60" s="20"/>
      <c r="G60" s="21" t="str">
        <f>IMAGE("https://assets.tcgdex.net/de/sv/sv03/073/low.jpg", 1)</f>
        <v/>
      </c>
      <c r="H60" s="22"/>
      <c r="I60" s="20"/>
      <c r="J60" s="21" t="str">
        <f>IMAGE("https://assets.tcgdex.net/de/sv/sv03/074/low.jpg", 1)</f>
        <v/>
      </c>
      <c r="K60" s="22"/>
      <c r="L60" s="20"/>
      <c r="M60" s="21" t="str">
        <f>IMAGE("https://assets.tcgdex.net/de/sv/sv03/075/low.jpg", 1)</f>
        <v/>
      </c>
      <c r="N60" s="22"/>
      <c r="O60" s="20"/>
    </row>
    <row r="61" ht="22.5" customHeight="1">
      <c r="A61" s="23" t="b">
        <v>0</v>
      </c>
      <c r="B61" s="24" t="b">
        <v>0</v>
      </c>
      <c r="C61" s="25" t="str">
        <f>HYPERLINK("https://www.cardmarket.com/en/Pokemon/Products/Singles?idCategory=1&amp;idProduct=sv3-71", "CM")</f>
        <v>CM</v>
      </c>
      <c r="D61" s="23" t="b">
        <v>0</v>
      </c>
      <c r="E61" s="24" t="b">
        <v>0</v>
      </c>
      <c r="F61" s="25" t="str">
        <f>HYPERLINK("https://www.cardmarket.com/en/Pokemon/Products/Singles?idCategory=1&amp;idProduct=sv3-72", "CM")</f>
        <v>CM</v>
      </c>
      <c r="G61" s="23" t="b">
        <v>0</v>
      </c>
      <c r="H61" s="24" t="b">
        <v>0</v>
      </c>
      <c r="I61" s="25" t="str">
        <f>HYPERLINK("https://www.cardmarket.com/en/Pokemon/Products/Singles?idCategory=1&amp;idProduct=sv3-73", "CM")</f>
        <v>CM</v>
      </c>
      <c r="J61" s="23" t="b">
        <v>0</v>
      </c>
      <c r="K61" s="24" t="b">
        <v>0</v>
      </c>
      <c r="L61" s="25" t="str">
        <f>HYPERLINK("https://www.cardmarket.com/en/Pokemon/Products/Singles?idCategory=1&amp;idProduct=sv3-74", "CM")</f>
        <v>CM</v>
      </c>
      <c r="M61" s="23" t="b">
        <v>0</v>
      </c>
      <c r="N61" s="24" t="b">
        <v>0</v>
      </c>
      <c r="O61" s="25" t="str">
        <f>HYPERLINK("https://www.cardmarket.com/en/Pokemon/Products/Singles?idCategory=1&amp;idProduct=sv3-75", "CM")</f>
        <v>CM</v>
      </c>
    </row>
    <row r="62" ht="7.5" customHeight="1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</row>
    <row r="63" ht="18.75" customHeight="1">
      <c r="A63" s="18" t="s">
        <v>808</v>
      </c>
      <c r="B63" s="19" t="s">
        <v>1404</v>
      </c>
      <c r="C63" s="20"/>
      <c r="D63" s="18" t="s">
        <v>809</v>
      </c>
      <c r="E63" s="19" t="s">
        <v>628</v>
      </c>
      <c r="F63" s="20"/>
      <c r="G63" s="18" t="s">
        <v>811</v>
      </c>
      <c r="H63" s="19" t="s">
        <v>628</v>
      </c>
      <c r="I63" s="20"/>
      <c r="J63" s="18" t="s">
        <v>599</v>
      </c>
      <c r="K63" s="19" t="s">
        <v>552</v>
      </c>
      <c r="L63" s="20"/>
      <c r="M63" s="18" t="s">
        <v>601</v>
      </c>
      <c r="N63" s="19" t="s">
        <v>570</v>
      </c>
      <c r="O63" s="20"/>
    </row>
    <row r="64" ht="180.0" customHeight="1">
      <c r="A64" s="21" t="str">
        <f>IMAGE("https://assets.tcgdex.net/de/sv/sv03/076/low.jpg", 1)</f>
        <v/>
      </c>
      <c r="B64" s="22"/>
      <c r="C64" s="20"/>
      <c r="D64" s="21" t="str">
        <f>IMAGE("https://assets.tcgdex.net/de/sv/sv03/077/low.jpg", 1)</f>
        <v/>
      </c>
      <c r="E64" s="22"/>
      <c r="F64" s="20"/>
      <c r="G64" s="21" t="str">
        <f>IMAGE("https://assets.tcgdex.net/de/sv/sv03/078/low.jpg", 1)</f>
        <v/>
      </c>
      <c r="H64" s="22"/>
      <c r="I64" s="20"/>
      <c r="J64" s="21" t="str">
        <f>IMAGE("https://assets.tcgdex.net/de/sv/sv03/079/low.jpg", 1)</f>
        <v/>
      </c>
      <c r="K64" s="22"/>
      <c r="L64" s="20"/>
      <c r="M64" s="21" t="str">
        <f>IMAGE("https://assets.tcgdex.net/de/sv/sv03/080/low.jpg", 1)</f>
        <v/>
      </c>
      <c r="N64" s="22"/>
      <c r="O64" s="20"/>
    </row>
    <row r="65" ht="22.5" customHeight="1">
      <c r="A65" s="23" t="b">
        <v>0</v>
      </c>
      <c r="B65" s="24" t="b">
        <v>0</v>
      </c>
      <c r="C65" s="25" t="str">
        <f>HYPERLINK("https://www.cardmarket.com/en/Pokemon/Products/Singles?idCategory=1&amp;idProduct=sv3-76", "CM")</f>
        <v>CM</v>
      </c>
      <c r="D65" s="23" t="b">
        <v>0</v>
      </c>
      <c r="E65" s="24" t="b">
        <v>0</v>
      </c>
      <c r="F65" s="25" t="str">
        <f>HYPERLINK("https://www.cardmarket.com/en/Pokemon/Products/Singles?idCategory=1&amp;idProduct=sv3-77", "CM")</f>
        <v>CM</v>
      </c>
      <c r="G65" s="23" t="b">
        <v>0</v>
      </c>
      <c r="H65" s="24" t="b">
        <v>0</v>
      </c>
      <c r="I65" s="25" t="str">
        <f>HYPERLINK("https://www.cardmarket.com/en/Pokemon/Products/Singles?idCategory=1&amp;idProduct=sv3-78", "CM")</f>
        <v>CM</v>
      </c>
      <c r="J65" s="23" t="b">
        <v>0</v>
      </c>
      <c r="K65" s="24" t="b">
        <v>0</v>
      </c>
      <c r="L65" s="25" t="str">
        <f>HYPERLINK("https://www.cardmarket.com/en/Pokemon/Products/Singles?idCategory=1&amp;idProduct=sv3-79", "CM")</f>
        <v>CM</v>
      </c>
      <c r="M65" s="23" t="b">
        <v>0</v>
      </c>
      <c r="N65" s="24" t="b">
        <v>0</v>
      </c>
      <c r="O65" s="25" t="str">
        <f>HYPERLINK("https://www.cardmarket.com/en/Pokemon/Products/Singles?idCategory=1&amp;idProduct=sv3-80", "CM")</f>
        <v>CM</v>
      </c>
    </row>
    <row r="66" ht="7.5" customHeight="1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</row>
    <row r="67" ht="18.75" customHeight="1">
      <c r="A67" s="18" t="s">
        <v>603</v>
      </c>
      <c r="B67" s="19" t="s">
        <v>1405</v>
      </c>
      <c r="C67" s="20"/>
      <c r="D67" s="18" t="s">
        <v>604</v>
      </c>
      <c r="E67" s="19" t="s">
        <v>1406</v>
      </c>
      <c r="F67" s="20"/>
      <c r="G67" s="18" t="s">
        <v>606</v>
      </c>
      <c r="H67" s="19" t="s">
        <v>1407</v>
      </c>
      <c r="I67" s="20"/>
      <c r="J67" s="18" t="s">
        <v>608</v>
      </c>
      <c r="K67" s="19" t="s">
        <v>1408</v>
      </c>
      <c r="L67" s="20"/>
      <c r="M67" s="18" t="s">
        <v>609</v>
      </c>
      <c r="N67" s="19" t="s">
        <v>572</v>
      </c>
      <c r="O67" s="20"/>
    </row>
    <row r="68" ht="180.0" customHeight="1">
      <c r="A68" s="21" t="str">
        <f>IMAGE("https://assets.tcgdex.net/de/sv/sv03/081/low.jpg", 1)</f>
        <v/>
      </c>
      <c r="B68" s="22"/>
      <c r="C68" s="20"/>
      <c r="D68" s="21" t="str">
        <f>IMAGE("https://assets.tcgdex.net/de/sv/sv03/082/low.jpg", 1)</f>
        <v/>
      </c>
      <c r="E68" s="22"/>
      <c r="F68" s="20"/>
      <c r="G68" s="21" t="str">
        <f>IMAGE("https://assets.tcgdex.net/de/sv/sv03/083/low.jpg", 1)</f>
        <v/>
      </c>
      <c r="H68" s="22"/>
      <c r="I68" s="20"/>
      <c r="J68" s="21" t="str">
        <f>IMAGE("https://assets.tcgdex.net/de/sv/sv03/084/low.jpg", 1)</f>
        <v/>
      </c>
      <c r="K68" s="22"/>
      <c r="L68" s="20"/>
      <c r="M68" s="21" t="str">
        <f>IMAGE("https://assets.tcgdex.net/de/sv/sv03/085/low.jpg", 1)</f>
        <v/>
      </c>
      <c r="N68" s="22"/>
      <c r="O68" s="20"/>
    </row>
    <row r="69" ht="22.5" customHeight="1">
      <c r="A69" s="23" t="b">
        <v>0</v>
      </c>
      <c r="B69" s="24" t="b">
        <v>0</v>
      </c>
      <c r="C69" s="25" t="str">
        <f>HYPERLINK("https://www.cardmarket.com/en/Pokemon/Products/Singles?idCategory=1&amp;idProduct=sv3-81", "CM")</f>
        <v>CM</v>
      </c>
      <c r="D69" s="23" t="b">
        <v>0</v>
      </c>
      <c r="E69" s="24" t="b">
        <v>0</v>
      </c>
      <c r="F69" s="25" t="str">
        <f>HYPERLINK("https://www.cardmarket.com/en/Pokemon/Products/Singles?idCategory=1&amp;idProduct=sv3-82", "CM")</f>
        <v>CM</v>
      </c>
      <c r="G69" s="23" t="b">
        <v>0</v>
      </c>
      <c r="H69" s="24" t="b">
        <v>0</v>
      </c>
      <c r="I69" s="25" t="str">
        <f>HYPERLINK("https://www.cardmarket.com/en/Pokemon/Products/Singles?idCategory=1&amp;idProduct=sv3-83", "CM")</f>
        <v>CM</v>
      </c>
      <c r="J69" s="23" t="b">
        <v>0</v>
      </c>
      <c r="K69" s="24" t="b">
        <v>0</v>
      </c>
      <c r="L69" s="25" t="str">
        <f>HYPERLINK("https://www.cardmarket.com/en/Pokemon/Products/Singles?idCategory=1&amp;idProduct=sv3-84", "CM")</f>
        <v>CM</v>
      </c>
      <c r="M69" s="23" t="b">
        <v>0</v>
      </c>
      <c r="N69" s="24" t="b">
        <v>0</v>
      </c>
      <c r="O69" s="25" t="str">
        <f>HYPERLINK("https://www.cardmarket.com/en/Pokemon/Products/Singles?idCategory=1&amp;idProduct=sv3-85", "CM")</f>
        <v>CM</v>
      </c>
    </row>
    <row r="70" ht="7.5" customHeight="1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</row>
    <row r="71" ht="18.75" customHeight="1">
      <c r="A71" s="18" t="s">
        <v>611</v>
      </c>
      <c r="B71" s="19" t="s">
        <v>1409</v>
      </c>
      <c r="C71" s="20"/>
      <c r="D71" s="18" t="s">
        <v>613</v>
      </c>
      <c r="E71" s="19" t="s">
        <v>1410</v>
      </c>
      <c r="F71" s="20"/>
      <c r="G71" s="18" t="s">
        <v>615</v>
      </c>
      <c r="H71" s="19" t="s">
        <v>1411</v>
      </c>
      <c r="I71" s="20"/>
      <c r="J71" s="18" t="s">
        <v>617</v>
      </c>
      <c r="K71" s="19" t="s">
        <v>574</v>
      </c>
      <c r="L71" s="20"/>
      <c r="M71" s="18" t="s">
        <v>619</v>
      </c>
      <c r="N71" s="19" t="s">
        <v>1412</v>
      </c>
      <c r="O71" s="20"/>
    </row>
    <row r="72" ht="180.0" customHeight="1">
      <c r="A72" s="21" t="str">
        <f>IMAGE("https://assets.tcgdex.net/de/sv/sv03/086/low.jpg", 1)</f>
        <v/>
      </c>
      <c r="B72" s="22"/>
      <c r="C72" s="20"/>
      <c r="D72" s="21" t="str">
        <f>IMAGE("https://assets.tcgdex.net/de/sv/sv03/087/low.jpg", 1)</f>
        <v/>
      </c>
      <c r="E72" s="22"/>
      <c r="F72" s="20"/>
      <c r="G72" s="21" t="str">
        <f>IMAGE("https://assets.tcgdex.net/de/sv/sv03/088/low.jpg", 1)</f>
        <v/>
      </c>
      <c r="H72" s="22"/>
      <c r="I72" s="20"/>
      <c r="J72" s="21" t="str">
        <f>IMAGE("https://assets.tcgdex.net/de/sv/sv03/089/low.jpg", 1)</f>
        <v/>
      </c>
      <c r="K72" s="22"/>
      <c r="L72" s="20"/>
      <c r="M72" s="21" t="str">
        <f>IMAGE("https://assets.tcgdex.net/de/sv/sv03/090/low.jpg", 1)</f>
        <v/>
      </c>
      <c r="N72" s="22"/>
      <c r="O72" s="20"/>
    </row>
    <row r="73" ht="22.5" customHeight="1">
      <c r="A73" s="23" t="b">
        <v>0</v>
      </c>
      <c r="B73" s="24" t="b">
        <v>0</v>
      </c>
      <c r="C73" s="25" t="str">
        <f>HYPERLINK("https://www.cardmarket.com/en/Pokemon/Products/Singles?idCategory=1&amp;idProduct=sv3-86", "CM")</f>
        <v>CM</v>
      </c>
      <c r="D73" s="23" t="b">
        <v>0</v>
      </c>
      <c r="E73" s="24" t="b">
        <v>0</v>
      </c>
      <c r="F73" s="25" t="str">
        <f>HYPERLINK("https://www.cardmarket.com/en/Pokemon/Products/Singles?idCategory=1&amp;idProduct=sv3-87", "CM")</f>
        <v>CM</v>
      </c>
      <c r="G73" s="23" t="b">
        <v>0</v>
      </c>
      <c r="H73" s="24" t="b">
        <v>0</v>
      </c>
      <c r="I73" s="25" t="str">
        <f>HYPERLINK("https://www.cardmarket.com/en/Pokemon/Products/Singles?idCategory=1&amp;idProduct=sv3-88", "CM")</f>
        <v>CM</v>
      </c>
      <c r="J73" s="23" t="b">
        <v>0</v>
      </c>
      <c r="K73" s="24" t="b">
        <v>0</v>
      </c>
      <c r="L73" s="25" t="str">
        <f>HYPERLINK("https://www.cardmarket.com/en/Pokemon/Products/Singles?idCategory=1&amp;idProduct=sv3-89", "CM")</f>
        <v>CM</v>
      </c>
      <c r="M73" s="23" t="b">
        <v>0</v>
      </c>
      <c r="N73" s="24" t="b">
        <v>0</v>
      </c>
      <c r="O73" s="25" t="str">
        <f>HYPERLINK("https://www.cardmarket.com/en/Pokemon/Products/Singles?idCategory=1&amp;idProduct=sv3-90", "CM")</f>
        <v>CM</v>
      </c>
    </row>
    <row r="74" ht="7.5" customHeight="1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</row>
    <row r="75" ht="18.75" customHeight="1">
      <c r="A75" s="18" t="s">
        <v>621</v>
      </c>
      <c r="B75" s="19" t="s">
        <v>1413</v>
      </c>
      <c r="C75" s="20"/>
      <c r="D75" s="18" t="s">
        <v>623</v>
      </c>
      <c r="E75" s="19" t="s">
        <v>929</v>
      </c>
      <c r="F75" s="20"/>
      <c r="G75" s="18" t="s">
        <v>625</v>
      </c>
      <c r="H75" s="19" t="s">
        <v>997</v>
      </c>
      <c r="I75" s="20"/>
      <c r="J75" s="18" t="s">
        <v>627</v>
      </c>
      <c r="K75" s="19" t="s">
        <v>931</v>
      </c>
      <c r="L75" s="20"/>
      <c r="M75" s="18" t="s">
        <v>812</v>
      </c>
      <c r="N75" s="19" t="s">
        <v>1414</v>
      </c>
      <c r="O75" s="20"/>
    </row>
    <row r="76" ht="180.0" customHeight="1">
      <c r="A76" s="21" t="str">
        <f>IMAGE("https://assets.tcgdex.net/de/sv/sv03/091/low.jpg", 1)</f>
        <v/>
      </c>
      <c r="B76" s="22"/>
      <c r="C76" s="20"/>
      <c r="D76" s="21" t="str">
        <f>IMAGE("https://assets.tcgdex.net/de/sv/sv03/092/low.jpg", 1)</f>
        <v/>
      </c>
      <c r="E76" s="22"/>
      <c r="F76" s="20"/>
      <c r="G76" s="21" t="str">
        <f>IMAGE("https://assets.tcgdex.net/de/sv/sv03/093/low.jpg", 1)</f>
        <v/>
      </c>
      <c r="H76" s="22"/>
      <c r="I76" s="20"/>
      <c r="J76" s="21" t="str">
        <f>IMAGE("https://assets.tcgdex.net/de/sv/sv03/094/low.jpg", 1)</f>
        <v/>
      </c>
      <c r="K76" s="22"/>
      <c r="L76" s="20"/>
      <c r="M76" s="21" t="str">
        <f>IMAGE("https://assets.tcgdex.net/de/sv/sv03/095/low.jpg", 1)</f>
        <v/>
      </c>
      <c r="N76" s="22"/>
      <c r="O76" s="20"/>
    </row>
    <row r="77" ht="22.5" customHeight="1">
      <c r="A77" s="23" t="b">
        <v>0</v>
      </c>
      <c r="B77" s="24" t="b">
        <v>0</v>
      </c>
      <c r="C77" s="25" t="str">
        <f>HYPERLINK("https://www.cardmarket.com/en/Pokemon/Products/Singles?idCategory=1&amp;idProduct=sv3-91", "CM")</f>
        <v>CM</v>
      </c>
      <c r="D77" s="23" t="b">
        <v>0</v>
      </c>
      <c r="E77" s="24" t="b">
        <v>0</v>
      </c>
      <c r="F77" s="25" t="str">
        <f>HYPERLINK("https://www.cardmarket.com/en/Pokemon/Products/Singles?idCategory=1&amp;idProduct=sv3-92", "CM")</f>
        <v>CM</v>
      </c>
      <c r="G77" s="23" t="b">
        <v>0</v>
      </c>
      <c r="H77" s="24" t="b">
        <v>0</v>
      </c>
      <c r="I77" s="25" t="str">
        <f>HYPERLINK("https://www.cardmarket.com/en/Pokemon/Products/Singles?idCategory=1&amp;idProduct=sv3-93", "CM")</f>
        <v>CM</v>
      </c>
      <c r="J77" s="23" t="b">
        <v>0</v>
      </c>
      <c r="K77" s="24" t="b">
        <v>0</v>
      </c>
      <c r="L77" s="25" t="str">
        <f>HYPERLINK("https://www.cardmarket.com/en/Pokemon/Products/Singles?idCategory=1&amp;idProduct=sv3-94", "CM")</f>
        <v>CM</v>
      </c>
      <c r="M77" s="23" t="b">
        <v>0</v>
      </c>
      <c r="N77" s="24" t="b">
        <v>0</v>
      </c>
      <c r="O77" s="25" t="str">
        <f>HYPERLINK("https://www.cardmarket.com/en/Pokemon/Products/Singles?idCategory=1&amp;idProduct=sv3-95", "CM")</f>
        <v>CM</v>
      </c>
    </row>
    <row r="78" ht="7.5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</row>
    <row r="79" ht="18.75" customHeight="1">
      <c r="A79" s="18" t="s">
        <v>813</v>
      </c>
      <c r="B79" s="19" t="s">
        <v>1415</v>
      </c>
      <c r="C79" s="20"/>
      <c r="D79" s="18" t="s">
        <v>815</v>
      </c>
      <c r="E79" s="19" t="s">
        <v>598</v>
      </c>
      <c r="F79" s="20"/>
      <c r="G79" s="18" t="s">
        <v>817</v>
      </c>
      <c r="H79" s="19" t="s">
        <v>1416</v>
      </c>
      <c r="I79" s="20"/>
      <c r="J79" s="18" t="s">
        <v>819</v>
      </c>
      <c r="K79" s="19" t="s">
        <v>798</v>
      </c>
      <c r="L79" s="20"/>
      <c r="M79" s="18" t="s">
        <v>821</v>
      </c>
      <c r="N79" s="19" t="s">
        <v>798</v>
      </c>
      <c r="O79" s="20"/>
    </row>
    <row r="80" ht="180.0" customHeight="1">
      <c r="A80" s="21" t="str">
        <f>IMAGE("https://assets.tcgdex.net/de/sv/sv03/096/low.jpg", 1)</f>
        <v/>
      </c>
      <c r="B80" s="22"/>
      <c r="C80" s="20"/>
      <c r="D80" s="21" t="str">
        <f>IMAGE("https://assets.tcgdex.net/de/sv/sv03/097/low.jpg", 1)</f>
        <v/>
      </c>
      <c r="E80" s="22"/>
      <c r="F80" s="20"/>
      <c r="G80" s="21" t="str">
        <f>IMAGE("https://assets.tcgdex.net/de/sv/sv03/098/low.jpg", 1)</f>
        <v/>
      </c>
      <c r="H80" s="22"/>
      <c r="I80" s="20"/>
      <c r="J80" s="21" t="str">
        <f>IMAGE("https://assets.tcgdex.net/de/sv/sv03/099/low.jpg", 1)</f>
        <v/>
      </c>
      <c r="K80" s="22"/>
      <c r="L80" s="20"/>
      <c r="M80" s="21" t="str">
        <f>IMAGE("https://assets.tcgdex.net/de/sv/sv03/100/low.jpg", 1)</f>
        <v/>
      </c>
      <c r="N80" s="22"/>
      <c r="O80" s="20"/>
    </row>
    <row r="81" ht="22.5" customHeight="1">
      <c r="A81" s="23" t="b">
        <v>0</v>
      </c>
      <c r="B81" s="24" t="b">
        <v>0</v>
      </c>
      <c r="C81" s="25" t="str">
        <f>HYPERLINK("https://www.cardmarket.com/en/Pokemon/Products/Singles?idCategory=1&amp;idProduct=sv3-96", "CM")</f>
        <v>CM</v>
      </c>
      <c r="D81" s="23" t="b">
        <v>0</v>
      </c>
      <c r="E81" s="24" t="b">
        <v>0</v>
      </c>
      <c r="F81" s="25" t="str">
        <f>HYPERLINK("https://www.cardmarket.com/en/Pokemon/Products/Singles?idCategory=1&amp;idProduct=sv3-97", "CM")</f>
        <v>CM</v>
      </c>
      <c r="G81" s="23" t="b">
        <v>0</v>
      </c>
      <c r="H81" s="24" t="b">
        <v>0</v>
      </c>
      <c r="I81" s="25" t="str">
        <f>HYPERLINK("https://www.cardmarket.com/en/Pokemon/Products/Singles?idCategory=1&amp;idProduct=sv3-98", "CM")</f>
        <v>CM</v>
      </c>
      <c r="J81" s="23" t="b">
        <v>0</v>
      </c>
      <c r="K81" s="24" t="b">
        <v>0</v>
      </c>
      <c r="L81" s="25" t="str">
        <f>HYPERLINK("https://www.cardmarket.com/en/Pokemon/Products/Singles?idCategory=1&amp;idProduct=sv3-99", "CM")</f>
        <v>CM</v>
      </c>
      <c r="M81" s="23" t="b">
        <v>0</v>
      </c>
      <c r="N81" s="24" t="b">
        <v>0</v>
      </c>
      <c r="O81" s="25" t="str">
        <f>HYPERLINK("https://www.cardmarket.com/en/Pokemon/Products/Singles?idCategory=1&amp;idProduct=sv3-100", "CM")</f>
        <v>CM</v>
      </c>
    </row>
    <row r="82" ht="7.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</row>
    <row r="83" ht="18.75" customHeight="1">
      <c r="A83" s="18" t="s">
        <v>629</v>
      </c>
      <c r="B83" s="19" t="s">
        <v>580</v>
      </c>
      <c r="C83" s="20"/>
      <c r="D83" s="18" t="s">
        <v>630</v>
      </c>
      <c r="E83" s="19" t="s">
        <v>698</v>
      </c>
      <c r="F83" s="20"/>
      <c r="G83" s="18" t="s">
        <v>632</v>
      </c>
      <c r="H83" s="19" t="s">
        <v>1417</v>
      </c>
      <c r="I83" s="20"/>
      <c r="J83" s="18" t="s">
        <v>634</v>
      </c>
      <c r="K83" s="19" t="s">
        <v>1418</v>
      </c>
      <c r="L83" s="20"/>
      <c r="M83" s="18" t="s">
        <v>636</v>
      </c>
      <c r="N83" s="19" t="s">
        <v>1419</v>
      </c>
      <c r="O83" s="20"/>
    </row>
    <row r="84" ht="180.0" customHeight="1">
      <c r="A84" s="21" t="str">
        <f>IMAGE("https://assets.tcgdex.net/de/sv/sv03/101/low.jpg", 1)</f>
        <v/>
      </c>
      <c r="B84" s="22"/>
      <c r="C84" s="20"/>
      <c r="D84" s="21" t="str">
        <f>IMAGE("https://assets.tcgdex.net/de/sv/sv03/102/low.jpg", 1)</f>
        <v/>
      </c>
      <c r="E84" s="22"/>
      <c r="F84" s="20"/>
      <c r="G84" s="21" t="str">
        <f>IMAGE("https://assets.tcgdex.net/de/sv/sv03/103/low.jpg", 1)</f>
        <v/>
      </c>
      <c r="H84" s="22"/>
      <c r="I84" s="20"/>
      <c r="J84" s="21" t="str">
        <f>IMAGE("https://assets.tcgdex.net/de/sv/sv03/104/low.jpg", 1)</f>
        <v/>
      </c>
      <c r="K84" s="22"/>
      <c r="L84" s="20"/>
      <c r="M84" s="21" t="str">
        <f>IMAGE("https://assets.tcgdex.net/de/sv/sv03/105/low.jpg", 1)</f>
        <v/>
      </c>
      <c r="N84" s="22"/>
      <c r="O84" s="20"/>
    </row>
    <row r="85" ht="22.5" customHeight="1">
      <c r="A85" s="23" t="b">
        <v>0</v>
      </c>
      <c r="B85" s="24" t="b">
        <v>0</v>
      </c>
      <c r="C85" s="25" t="str">
        <f>HYPERLINK("https://www.cardmarket.com/en/Pokemon/Products/Singles?idCategory=1&amp;idProduct=sv3-101", "CM")</f>
        <v>CM</v>
      </c>
      <c r="D85" s="23" t="b">
        <v>0</v>
      </c>
      <c r="E85" s="24" t="b">
        <v>0</v>
      </c>
      <c r="F85" s="25" t="str">
        <f>HYPERLINK("https://www.cardmarket.com/en/Pokemon/Products/Singles?idCategory=1&amp;idProduct=sv3-102", "CM")</f>
        <v>CM</v>
      </c>
      <c r="G85" s="23" t="b">
        <v>0</v>
      </c>
      <c r="H85" s="24" t="b">
        <v>0</v>
      </c>
      <c r="I85" s="25" t="str">
        <f>HYPERLINK("https://www.cardmarket.com/en/Pokemon/Products/Singles?idCategory=1&amp;idProduct=sv3-103", "CM")</f>
        <v>CM</v>
      </c>
      <c r="J85" s="23" t="b">
        <v>0</v>
      </c>
      <c r="K85" s="24" t="b">
        <v>0</v>
      </c>
      <c r="L85" s="25" t="str">
        <f>HYPERLINK("https://www.cardmarket.com/en/Pokemon/Products/Singles?idCategory=1&amp;idProduct=sv3-104", "CM")</f>
        <v>CM</v>
      </c>
      <c r="M85" s="23" t="b">
        <v>0</v>
      </c>
      <c r="N85" s="24" t="b">
        <v>0</v>
      </c>
      <c r="O85" s="25" t="str">
        <f>HYPERLINK("https://www.cardmarket.com/en/Pokemon/Products/Singles?idCategory=1&amp;idProduct=sv3-105", "CM")</f>
        <v>CM</v>
      </c>
    </row>
    <row r="86" ht="7.5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</row>
    <row r="87" ht="18.75" customHeight="1">
      <c r="A87" s="18" t="s">
        <v>638</v>
      </c>
      <c r="B87" s="19" t="s">
        <v>660</v>
      </c>
      <c r="C87" s="20"/>
      <c r="D87" s="18" t="s">
        <v>640</v>
      </c>
      <c r="E87" s="19" t="s">
        <v>1420</v>
      </c>
      <c r="F87" s="20"/>
      <c r="G87" s="18" t="s">
        <v>642</v>
      </c>
      <c r="H87" s="19" t="s">
        <v>1421</v>
      </c>
      <c r="I87" s="20"/>
      <c r="J87" s="18" t="s">
        <v>643</v>
      </c>
      <c r="K87" s="19" t="s">
        <v>1422</v>
      </c>
      <c r="L87" s="20"/>
      <c r="M87" s="18" t="s">
        <v>645</v>
      </c>
      <c r="N87" s="19" t="s">
        <v>1423</v>
      </c>
      <c r="O87" s="20"/>
    </row>
    <row r="88" ht="180.0" customHeight="1">
      <c r="A88" s="21" t="str">
        <f>IMAGE("https://assets.tcgdex.net/de/sv/sv03/106/low.jpg", 1)</f>
        <v/>
      </c>
      <c r="B88" s="22"/>
      <c r="C88" s="20"/>
      <c r="D88" s="21" t="str">
        <f>IMAGE("https://assets.tcgdex.net/de/sv/sv03/107/low.jpg", 1)</f>
        <v/>
      </c>
      <c r="E88" s="22"/>
      <c r="F88" s="20"/>
      <c r="G88" s="21" t="str">
        <f>IMAGE("https://assets.tcgdex.net/de/sv/sv03/108/low.jpg", 1)</f>
        <v/>
      </c>
      <c r="H88" s="22"/>
      <c r="I88" s="20"/>
      <c r="J88" s="21" t="str">
        <f>IMAGE("https://assets.tcgdex.net/de/sv/sv03/109/low.jpg", 1)</f>
        <v/>
      </c>
      <c r="K88" s="22"/>
      <c r="L88" s="20"/>
      <c r="M88" s="21" t="str">
        <f>IMAGE("https://assets.tcgdex.net/de/sv/sv03/110/low.jpg", 1)</f>
        <v/>
      </c>
      <c r="N88" s="22"/>
      <c r="O88" s="20"/>
    </row>
    <row r="89" ht="22.5" customHeight="1">
      <c r="A89" s="23" t="b">
        <v>0</v>
      </c>
      <c r="B89" s="24" t="b">
        <v>0</v>
      </c>
      <c r="C89" s="25" t="str">
        <f>HYPERLINK("https://www.cardmarket.com/en/Pokemon/Products/Singles?idCategory=1&amp;idProduct=sv3-106", "CM")</f>
        <v>CM</v>
      </c>
      <c r="D89" s="23" t="b">
        <v>0</v>
      </c>
      <c r="E89" s="24" t="b">
        <v>0</v>
      </c>
      <c r="F89" s="25" t="str">
        <f>HYPERLINK("https://www.cardmarket.com/en/Pokemon/Products/Singles?idCategory=1&amp;idProduct=sv3-107", "CM")</f>
        <v>CM</v>
      </c>
      <c r="G89" s="23" t="b">
        <v>0</v>
      </c>
      <c r="H89" s="24" t="b">
        <v>0</v>
      </c>
      <c r="I89" s="25" t="str">
        <f>HYPERLINK("https://www.cardmarket.com/en/Pokemon/Products/Singles?idCategory=1&amp;idProduct=sv3-108", "CM")</f>
        <v>CM</v>
      </c>
      <c r="J89" s="23" t="b">
        <v>0</v>
      </c>
      <c r="K89" s="24" t="b">
        <v>0</v>
      </c>
      <c r="L89" s="25" t="str">
        <f>HYPERLINK("https://www.cardmarket.com/en/Pokemon/Products/Singles?idCategory=1&amp;idProduct=sv3-109", "CM")</f>
        <v>CM</v>
      </c>
      <c r="M89" s="23" t="b">
        <v>0</v>
      </c>
      <c r="N89" s="24" t="b">
        <v>0</v>
      </c>
      <c r="O89" s="25" t="str">
        <f>HYPERLINK("https://www.cardmarket.com/en/Pokemon/Products/Singles?idCategory=1&amp;idProduct=sv3-110", "CM")</f>
        <v>CM</v>
      </c>
    </row>
    <row r="90" ht="7.5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</row>
    <row r="91" ht="18.75" customHeight="1">
      <c r="A91" s="18" t="s">
        <v>647</v>
      </c>
      <c r="B91" s="19" t="s">
        <v>1424</v>
      </c>
      <c r="C91" s="20"/>
      <c r="D91" s="18" t="s">
        <v>649</v>
      </c>
      <c r="E91" s="19" t="s">
        <v>1425</v>
      </c>
      <c r="F91" s="20"/>
      <c r="G91" s="18" t="s">
        <v>651</v>
      </c>
      <c r="H91" s="19" t="s">
        <v>1426</v>
      </c>
      <c r="I91" s="20"/>
      <c r="J91" s="18" t="s">
        <v>823</v>
      </c>
      <c r="K91" s="19" t="s">
        <v>1427</v>
      </c>
      <c r="L91" s="20"/>
      <c r="M91" s="18" t="s">
        <v>653</v>
      </c>
      <c r="N91" s="19" t="s">
        <v>667</v>
      </c>
      <c r="O91" s="20"/>
    </row>
    <row r="92" ht="180.0" customHeight="1">
      <c r="A92" s="21" t="str">
        <f>IMAGE("https://assets.tcgdex.net/de/sv/sv03/111/low.jpg", 1)</f>
        <v/>
      </c>
      <c r="B92" s="22"/>
      <c r="C92" s="20"/>
      <c r="D92" s="21" t="str">
        <f>IMAGE("https://assets.tcgdex.net/de/sv/sv03/112/low.jpg", 1)</f>
        <v/>
      </c>
      <c r="E92" s="22"/>
      <c r="F92" s="20"/>
      <c r="G92" s="21" t="str">
        <f>IMAGE("https://assets.tcgdex.net/de/sv/sv03/113/low.jpg", 1)</f>
        <v/>
      </c>
      <c r="H92" s="22"/>
      <c r="I92" s="20"/>
      <c r="J92" s="21" t="str">
        <f>IMAGE("https://assets.tcgdex.net/de/sv/sv03/114/low.jpg", 1)</f>
        <v/>
      </c>
      <c r="K92" s="22"/>
      <c r="L92" s="20"/>
      <c r="M92" s="21" t="str">
        <f>IMAGE("https://assets.tcgdex.net/de/sv/sv03/115/low.jpg", 1)</f>
        <v/>
      </c>
      <c r="N92" s="22"/>
      <c r="O92" s="20"/>
    </row>
    <row r="93" ht="22.5" customHeight="1">
      <c r="A93" s="23" t="b">
        <v>0</v>
      </c>
      <c r="B93" s="24" t="b">
        <v>0</v>
      </c>
      <c r="C93" s="25" t="str">
        <f>HYPERLINK("https://www.cardmarket.com/en/Pokemon/Products/Singles?idCategory=1&amp;idProduct=sv3-111", "CM")</f>
        <v>CM</v>
      </c>
      <c r="D93" s="23" t="b">
        <v>0</v>
      </c>
      <c r="E93" s="24" t="b">
        <v>0</v>
      </c>
      <c r="F93" s="25" t="str">
        <f>HYPERLINK("https://www.cardmarket.com/en/Pokemon/Products/Singles?idCategory=1&amp;idProduct=sv3-112", "CM")</f>
        <v>CM</v>
      </c>
      <c r="G93" s="23" t="b">
        <v>0</v>
      </c>
      <c r="H93" s="24" t="b">
        <v>0</v>
      </c>
      <c r="I93" s="25" t="str">
        <f>HYPERLINK("https://www.cardmarket.com/en/Pokemon/Products/Singles?idCategory=1&amp;idProduct=sv3-113", "CM")</f>
        <v>CM</v>
      </c>
      <c r="J93" s="23" t="b">
        <v>0</v>
      </c>
      <c r="K93" s="24" t="b">
        <v>0</v>
      </c>
      <c r="L93" s="25" t="str">
        <f>HYPERLINK("https://www.cardmarket.com/en/Pokemon/Products/Singles?idCategory=1&amp;idProduct=sv3-114", "CM")</f>
        <v>CM</v>
      </c>
      <c r="M93" s="23" t="b">
        <v>0</v>
      </c>
      <c r="N93" s="24" t="b">
        <v>0</v>
      </c>
      <c r="O93" s="25" t="str">
        <f>HYPERLINK("https://www.cardmarket.com/en/Pokemon/Products/Singles?idCategory=1&amp;idProduct=sv3-115", "CM")</f>
        <v>CM</v>
      </c>
    </row>
    <row r="94" ht="7.5" customHeigh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</row>
    <row r="95" ht="18.75" customHeight="1">
      <c r="A95" s="18" t="s">
        <v>825</v>
      </c>
      <c r="B95" s="19" t="s">
        <v>1000</v>
      </c>
      <c r="C95" s="20"/>
      <c r="D95" s="18" t="s">
        <v>655</v>
      </c>
      <c r="E95" s="19" t="s">
        <v>1001</v>
      </c>
      <c r="F95" s="20"/>
      <c r="G95" s="18" t="s">
        <v>827</v>
      </c>
      <c r="H95" s="19" t="s">
        <v>1252</v>
      </c>
      <c r="I95" s="20"/>
      <c r="J95" s="18" t="s">
        <v>657</v>
      </c>
      <c r="K95" s="19" t="s">
        <v>1210</v>
      </c>
      <c r="L95" s="20"/>
      <c r="M95" s="18" t="s">
        <v>659</v>
      </c>
      <c r="N95" s="19" t="s">
        <v>1428</v>
      </c>
      <c r="O95" s="20"/>
    </row>
    <row r="96" ht="180.0" customHeight="1">
      <c r="A96" s="21" t="str">
        <f>IMAGE("https://assets.tcgdex.net/de/sv/sv03/116/low.jpg", 1)</f>
        <v/>
      </c>
      <c r="B96" s="22"/>
      <c r="C96" s="20"/>
      <c r="D96" s="21" t="str">
        <f>IMAGE("https://assets.tcgdex.net/de/sv/sv03/117/low.jpg", 1)</f>
        <v/>
      </c>
      <c r="E96" s="22"/>
      <c r="F96" s="20"/>
      <c r="G96" s="21" t="str">
        <f>IMAGE("https://assets.tcgdex.net/de/sv/sv03/118/low.jpg", 1)</f>
        <v/>
      </c>
      <c r="H96" s="22"/>
      <c r="I96" s="20"/>
      <c r="J96" s="21" t="str">
        <f>IMAGE("https://assets.tcgdex.net/de/sv/sv03/119/low.jpg", 1)</f>
        <v/>
      </c>
      <c r="K96" s="22"/>
      <c r="L96" s="20"/>
      <c r="M96" s="21" t="str">
        <f>IMAGE("https://assets.tcgdex.net/de/sv/sv03/120/low.jpg", 1)</f>
        <v/>
      </c>
      <c r="N96" s="22"/>
      <c r="O96" s="20"/>
    </row>
    <row r="97" ht="22.5" customHeight="1">
      <c r="A97" s="23" t="b">
        <v>0</v>
      </c>
      <c r="B97" s="24" t="b">
        <v>0</v>
      </c>
      <c r="C97" s="25" t="str">
        <f>HYPERLINK("https://www.cardmarket.com/en/Pokemon/Products/Singles?idCategory=1&amp;idProduct=sv3-116", "CM")</f>
        <v>CM</v>
      </c>
      <c r="D97" s="23" t="b">
        <v>0</v>
      </c>
      <c r="E97" s="24" t="b">
        <v>0</v>
      </c>
      <c r="F97" s="25" t="str">
        <f>HYPERLINK("https://www.cardmarket.com/en/Pokemon/Products/Singles?idCategory=1&amp;idProduct=sv3-117", "CM")</f>
        <v>CM</v>
      </c>
      <c r="G97" s="23" t="b">
        <v>0</v>
      </c>
      <c r="H97" s="24" t="b">
        <v>0</v>
      </c>
      <c r="I97" s="25" t="str">
        <f>HYPERLINK("https://www.cardmarket.com/en/Pokemon/Products/Singles?idCategory=1&amp;idProduct=sv3-118", "CM")</f>
        <v>CM</v>
      </c>
      <c r="J97" s="23" t="b">
        <v>0</v>
      </c>
      <c r="K97" s="24" t="b">
        <v>0</v>
      </c>
      <c r="L97" s="25" t="str">
        <f>HYPERLINK("https://www.cardmarket.com/en/Pokemon/Products/Singles?idCategory=1&amp;idProduct=sv3-119", "CM")</f>
        <v>CM</v>
      </c>
      <c r="M97" s="23" t="b">
        <v>0</v>
      </c>
      <c r="N97" s="24" t="b">
        <v>0</v>
      </c>
      <c r="O97" s="25" t="str">
        <f>HYPERLINK("https://www.cardmarket.com/en/Pokemon/Products/Singles?idCategory=1&amp;idProduct=sv3-120", "CM")</f>
        <v>CM</v>
      </c>
    </row>
    <row r="98" ht="7.5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</row>
    <row r="99" ht="18.75" customHeight="1">
      <c r="A99" s="18" t="s">
        <v>829</v>
      </c>
      <c r="B99" s="19" t="s">
        <v>1429</v>
      </c>
      <c r="C99" s="20"/>
      <c r="D99" s="18" t="s">
        <v>830</v>
      </c>
      <c r="E99" s="19" t="s">
        <v>1429</v>
      </c>
      <c r="F99" s="20"/>
      <c r="G99" s="18" t="s">
        <v>831</v>
      </c>
      <c r="H99" s="19" t="s">
        <v>1430</v>
      </c>
      <c r="I99" s="20"/>
      <c r="J99" s="18" t="s">
        <v>833</v>
      </c>
      <c r="K99" s="19" t="s">
        <v>554</v>
      </c>
      <c r="L99" s="20"/>
      <c r="M99" s="18" t="s">
        <v>661</v>
      </c>
      <c r="N99" s="19" t="s">
        <v>783</v>
      </c>
      <c r="O99" s="20"/>
    </row>
    <row r="100" ht="180.0" customHeight="1">
      <c r="A100" s="21" t="str">
        <f>IMAGE("https://assets.tcgdex.net/de/sv/sv03/121/low.jpg", 1)</f>
        <v/>
      </c>
      <c r="B100" s="22"/>
      <c r="C100" s="20"/>
      <c r="D100" s="21" t="str">
        <f>IMAGE("https://assets.tcgdex.net/de/sv/sv03/122/low.jpg", 1)</f>
        <v/>
      </c>
      <c r="E100" s="22"/>
      <c r="F100" s="20"/>
      <c r="G100" s="21" t="str">
        <f>IMAGE("https://assets.tcgdex.net/de/sv/sv03/123/low.jpg", 1)</f>
        <v/>
      </c>
      <c r="H100" s="22"/>
      <c r="I100" s="20"/>
      <c r="J100" s="21" t="str">
        <f>IMAGE("https://assets.tcgdex.net/de/sv/sv03/124/low.jpg", 1)</f>
        <v/>
      </c>
      <c r="K100" s="22"/>
      <c r="L100" s="20"/>
      <c r="M100" s="21" t="str">
        <f>IMAGE("https://assets.tcgdex.net/de/sv/sv03/125/low.jpg", 1)</f>
        <v/>
      </c>
      <c r="N100" s="22"/>
      <c r="O100" s="20"/>
    </row>
    <row r="101" ht="22.5" customHeight="1">
      <c r="A101" s="23" t="b">
        <v>0</v>
      </c>
      <c r="B101" s="24" t="b">
        <v>0</v>
      </c>
      <c r="C101" s="25" t="str">
        <f>HYPERLINK("https://www.cardmarket.com/en/Pokemon/Products/Singles?idCategory=1&amp;idProduct=sv3-121", "CM")</f>
        <v>CM</v>
      </c>
      <c r="D101" s="23" t="b">
        <v>0</v>
      </c>
      <c r="E101" s="24" t="b">
        <v>0</v>
      </c>
      <c r="F101" s="25" t="str">
        <f>HYPERLINK("https://www.cardmarket.com/en/Pokemon/Products/Singles?idCategory=1&amp;idProduct=sv3-122", "CM")</f>
        <v>CM</v>
      </c>
      <c r="G101" s="23" t="b">
        <v>0</v>
      </c>
      <c r="H101" s="24" t="b">
        <v>0</v>
      </c>
      <c r="I101" s="25" t="str">
        <f>HYPERLINK("https://www.cardmarket.com/en/Pokemon/Products/Singles?idCategory=1&amp;idProduct=sv3-123", "CM")</f>
        <v>CM</v>
      </c>
      <c r="J101" s="23" t="b">
        <v>0</v>
      </c>
      <c r="K101" s="24" t="b">
        <v>0</v>
      </c>
      <c r="L101" s="25" t="str">
        <f>HYPERLINK("https://www.cardmarket.com/en/Pokemon/Products/Singles?idCategory=1&amp;idProduct=sv3-124", "CM")</f>
        <v>CM</v>
      </c>
      <c r="M101" s="23" t="b">
        <v>0</v>
      </c>
      <c r="N101" s="24" t="b">
        <v>0</v>
      </c>
      <c r="O101" s="25" t="str">
        <f>HYPERLINK("https://www.cardmarket.com/en/Pokemon/Products/Singles?idCategory=1&amp;idProduct=sv3-125", "CM")</f>
        <v>CM</v>
      </c>
    </row>
    <row r="102" ht="7.5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</row>
    <row r="103" ht="18.75" customHeight="1">
      <c r="A103" s="18" t="s">
        <v>835</v>
      </c>
      <c r="B103" s="19" t="s">
        <v>578</v>
      </c>
      <c r="C103" s="20"/>
      <c r="D103" s="18" t="s">
        <v>662</v>
      </c>
      <c r="E103" s="19" t="s">
        <v>578</v>
      </c>
      <c r="F103" s="20"/>
      <c r="G103" s="18" t="s">
        <v>837</v>
      </c>
      <c r="H103" s="19" t="s">
        <v>1431</v>
      </c>
      <c r="I103" s="20"/>
      <c r="J103" s="18" t="s">
        <v>839</v>
      </c>
      <c r="K103" s="19" t="s">
        <v>1431</v>
      </c>
      <c r="L103" s="20"/>
      <c r="M103" s="18" t="s">
        <v>841</v>
      </c>
      <c r="N103" s="19" t="s">
        <v>1432</v>
      </c>
      <c r="O103" s="20"/>
    </row>
    <row r="104" ht="180.0" customHeight="1">
      <c r="A104" s="21" t="str">
        <f>IMAGE("https://assets.tcgdex.net/de/sv/sv03/126/low.jpg", 1)</f>
        <v/>
      </c>
      <c r="B104" s="22"/>
      <c r="C104" s="20"/>
      <c r="D104" s="21" t="str">
        <f>IMAGE("https://assets.tcgdex.net/de/sv/sv03/127/low.jpg", 1)</f>
        <v/>
      </c>
      <c r="E104" s="22"/>
      <c r="F104" s="20"/>
      <c r="G104" s="21" t="str">
        <f>IMAGE("https://assets.tcgdex.net/de/sv/sv03/128/low.jpg", 1)</f>
        <v/>
      </c>
      <c r="H104" s="22"/>
      <c r="I104" s="20"/>
      <c r="J104" s="21" t="str">
        <f>IMAGE("https://assets.tcgdex.net/de/sv/sv03/129/low.jpg", 1)</f>
        <v/>
      </c>
      <c r="K104" s="22"/>
      <c r="L104" s="20"/>
      <c r="M104" s="21" t="str">
        <f>IMAGE("https://assets.tcgdex.net/de/sv/sv03/130/low.jpg", 1)</f>
        <v/>
      </c>
      <c r="N104" s="22"/>
      <c r="O104" s="20"/>
    </row>
    <row r="105" ht="22.5" customHeight="1">
      <c r="A105" s="23" t="b">
        <v>0</v>
      </c>
      <c r="B105" s="24" t="b">
        <v>0</v>
      </c>
      <c r="C105" s="25" t="str">
        <f>HYPERLINK("https://www.cardmarket.com/en/Pokemon/Products/Singles?idCategory=1&amp;idProduct=sv3-126", "CM")</f>
        <v>CM</v>
      </c>
      <c r="D105" s="23" t="b">
        <v>0</v>
      </c>
      <c r="E105" s="24" t="b">
        <v>0</v>
      </c>
      <c r="F105" s="25" t="str">
        <f>HYPERLINK("https://www.cardmarket.com/en/Pokemon/Products/Singles?idCategory=1&amp;idProduct=sv3-127", "CM")</f>
        <v>CM</v>
      </c>
      <c r="G105" s="23" t="b">
        <v>0</v>
      </c>
      <c r="H105" s="24" t="b">
        <v>0</v>
      </c>
      <c r="I105" s="25" t="str">
        <f>HYPERLINK("https://www.cardmarket.com/en/Pokemon/Products/Singles?idCategory=1&amp;idProduct=sv3-128", "CM")</f>
        <v>CM</v>
      </c>
      <c r="J105" s="23" t="b">
        <v>0</v>
      </c>
      <c r="K105" s="24" t="b">
        <v>0</v>
      </c>
      <c r="L105" s="25" t="str">
        <f>HYPERLINK("https://www.cardmarket.com/en/Pokemon/Products/Singles?idCategory=1&amp;idProduct=sv3-129", "CM")</f>
        <v>CM</v>
      </c>
      <c r="M105" s="23" t="b">
        <v>0</v>
      </c>
      <c r="N105" s="24" t="b">
        <v>0</v>
      </c>
      <c r="O105" s="25" t="str">
        <f>HYPERLINK("https://www.cardmarket.com/en/Pokemon/Products/Singles?idCategory=1&amp;idProduct=sv3-130", "CM")</f>
        <v>CM</v>
      </c>
    </row>
    <row r="106" ht="7.5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</row>
    <row r="107" ht="18.75" customHeight="1">
      <c r="A107" s="18" t="s">
        <v>842</v>
      </c>
      <c r="B107" s="19" t="s">
        <v>1254</v>
      </c>
      <c r="C107" s="20"/>
      <c r="D107" s="18" t="s">
        <v>844</v>
      </c>
      <c r="E107" s="19" t="s">
        <v>1254</v>
      </c>
      <c r="F107" s="20"/>
      <c r="G107" s="18" t="s">
        <v>664</v>
      </c>
      <c r="H107" s="19" t="s">
        <v>1255</v>
      </c>
      <c r="I107" s="20"/>
      <c r="J107" s="18" t="s">
        <v>666</v>
      </c>
      <c r="K107" s="19" t="s">
        <v>633</v>
      </c>
      <c r="L107" s="20"/>
      <c r="M107" s="18" t="s">
        <v>845</v>
      </c>
      <c r="N107" s="19" t="s">
        <v>1433</v>
      </c>
      <c r="O107" s="20"/>
    </row>
    <row r="108" ht="180.0" customHeight="1">
      <c r="A108" s="21" t="str">
        <f>IMAGE("https://assets.tcgdex.net/de/sv/sv03/131/low.jpg", 1)</f>
        <v/>
      </c>
      <c r="B108" s="22"/>
      <c r="C108" s="20"/>
      <c r="D108" s="21" t="str">
        <f>IMAGE("https://assets.tcgdex.net/de/sv/sv03/132/low.jpg", 1)</f>
        <v/>
      </c>
      <c r="E108" s="22"/>
      <c r="F108" s="20"/>
      <c r="G108" s="21" t="str">
        <f>IMAGE("https://assets.tcgdex.net/de/sv/sv03/133/low.jpg", 1)</f>
        <v/>
      </c>
      <c r="H108" s="22"/>
      <c r="I108" s="20"/>
      <c r="J108" s="21" t="str">
        <f>IMAGE("https://assets.tcgdex.net/de/sv/sv03/134/low.jpg", 1)</f>
        <v/>
      </c>
      <c r="K108" s="22"/>
      <c r="L108" s="20"/>
      <c r="M108" s="21" t="str">
        <f>IMAGE("https://assets.tcgdex.net/de/sv/sv03/135/low.jpg", 1)</f>
        <v/>
      </c>
      <c r="N108" s="22"/>
      <c r="O108" s="20"/>
    </row>
    <row r="109" ht="22.5" customHeight="1">
      <c r="A109" s="23" t="b">
        <v>0</v>
      </c>
      <c r="B109" s="24" t="b">
        <v>0</v>
      </c>
      <c r="C109" s="25" t="str">
        <f>HYPERLINK("https://www.cardmarket.com/en/Pokemon/Products/Singles?idCategory=1&amp;idProduct=sv3-131", "CM")</f>
        <v>CM</v>
      </c>
      <c r="D109" s="23" t="b">
        <v>0</v>
      </c>
      <c r="E109" s="24" t="b">
        <v>0</v>
      </c>
      <c r="F109" s="25" t="str">
        <f>HYPERLINK("https://www.cardmarket.com/en/Pokemon/Products/Singles?idCategory=1&amp;idProduct=sv3-132", "CM")</f>
        <v>CM</v>
      </c>
      <c r="G109" s="23" t="b">
        <v>0</v>
      </c>
      <c r="H109" s="24" t="b">
        <v>0</v>
      </c>
      <c r="I109" s="25" t="str">
        <f>HYPERLINK("https://www.cardmarket.com/en/Pokemon/Products/Singles?idCategory=1&amp;idProduct=sv3-133", "CM")</f>
        <v>CM</v>
      </c>
      <c r="J109" s="23" t="b">
        <v>0</v>
      </c>
      <c r="K109" s="24" t="b">
        <v>0</v>
      </c>
      <c r="L109" s="25" t="str">
        <f>HYPERLINK("https://www.cardmarket.com/en/Pokemon/Products/Singles?idCategory=1&amp;idProduct=sv3-134", "CM")</f>
        <v>CM</v>
      </c>
      <c r="M109" s="23" t="b">
        <v>0</v>
      </c>
      <c r="N109" s="24" t="b">
        <v>0</v>
      </c>
      <c r="O109" s="25" t="str">
        <f>HYPERLINK("https://www.cardmarket.com/en/Pokemon/Products/Singles?idCategory=1&amp;idProduct=sv3-135", "CM")</f>
        <v>CM</v>
      </c>
    </row>
    <row r="110" ht="7.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</row>
    <row r="111" ht="18.75" customHeight="1">
      <c r="A111" s="18" t="s">
        <v>668</v>
      </c>
      <c r="B111" s="19" t="s">
        <v>1434</v>
      </c>
      <c r="C111" s="20"/>
      <c r="D111" s="18" t="s">
        <v>670</v>
      </c>
      <c r="E111" s="19" t="s">
        <v>1435</v>
      </c>
      <c r="F111" s="20"/>
      <c r="G111" s="18" t="s">
        <v>672</v>
      </c>
      <c r="H111" s="19" t="s">
        <v>1436</v>
      </c>
      <c r="I111" s="20"/>
      <c r="J111" s="18" t="s">
        <v>674</v>
      </c>
      <c r="K111" s="19" t="s">
        <v>916</v>
      </c>
      <c r="L111" s="20"/>
      <c r="M111" s="18" t="s">
        <v>847</v>
      </c>
      <c r="N111" s="19" t="s">
        <v>974</v>
      </c>
      <c r="O111" s="20"/>
    </row>
    <row r="112" ht="180.0" customHeight="1">
      <c r="A112" s="21" t="str">
        <f>IMAGE("https://assets.tcgdex.net/de/sv/sv03/136/low.jpg", 1)</f>
        <v/>
      </c>
      <c r="B112" s="22"/>
      <c r="C112" s="20"/>
      <c r="D112" s="21" t="str">
        <f>IMAGE("https://assets.tcgdex.net/de/sv/sv03/137/low.jpg", 1)</f>
        <v/>
      </c>
      <c r="E112" s="22"/>
      <c r="F112" s="20"/>
      <c r="G112" s="21" t="str">
        <f>IMAGE("https://assets.tcgdex.net/de/sv/sv03/138/low.jpg", 1)</f>
        <v/>
      </c>
      <c r="H112" s="22"/>
      <c r="I112" s="20"/>
      <c r="J112" s="21" t="str">
        <f>IMAGE("https://assets.tcgdex.net/de/sv/sv03/139/low.jpg", 1)</f>
        <v/>
      </c>
      <c r="K112" s="22"/>
      <c r="L112" s="20"/>
      <c r="M112" s="21" t="str">
        <f>IMAGE("https://assets.tcgdex.net/de/sv/sv03/140/low.jpg", 1)</f>
        <v/>
      </c>
      <c r="N112" s="22"/>
      <c r="O112" s="20"/>
    </row>
    <row r="113" ht="22.5" customHeight="1">
      <c r="A113" s="23" t="b">
        <v>0</v>
      </c>
      <c r="B113" s="24" t="b">
        <v>0</v>
      </c>
      <c r="C113" s="25" t="str">
        <f>HYPERLINK("https://www.cardmarket.com/en/Pokemon/Products/Singles?idCategory=1&amp;idProduct=sv3-136", "CM")</f>
        <v>CM</v>
      </c>
      <c r="D113" s="23" t="b">
        <v>0</v>
      </c>
      <c r="E113" s="24" t="b">
        <v>0</v>
      </c>
      <c r="F113" s="25" t="str">
        <f>HYPERLINK("https://www.cardmarket.com/en/Pokemon/Products/Singles?idCategory=1&amp;idProduct=sv3-137", "CM")</f>
        <v>CM</v>
      </c>
      <c r="G113" s="23" t="b">
        <v>0</v>
      </c>
      <c r="H113" s="24" t="b">
        <v>0</v>
      </c>
      <c r="I113" s="25" t="str">
        <f>HYPERLINK("https://www.cardmarket.com/en/Pokemon/Products/Singles?idCategory=1&amp;idProduct=sv3-138", "CM")</f>
        <v>CM</v>
      </c>
      <c r="J113" s="23" t="b">
        <v>0</v>
      </c>
      <c r="K113" s="24" t="b">
        <v>0</v>
      </c>
      <c r="L113" s="25" t="str">
        <f>HYPERLINK("https://www.cardmarket.com/en/Pokemon/Products/Singles?idCategory=1&amp;idProduct=sv3-139", "CM")</f>
        <v>CM</v>
      </c>
      <c r="M113" s="23" t="b">
        <v>0</v>
      </c>
      <c r="N113" s="24" t="b">
        <v>0</v>
      </c>
      <c r="O113" s="25" t="str">
        <f>HYPERLINK("https://www.cardmarket.com/en/Pokemon/Products/Singles?idCategory=1&amp;idProduct=sv3-140", "CM")</f>
        <v>CM</v>
      </c>
    </row>
    <row r="114" ht="7.5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</row>
    <row r="115" ht="18.75" customHeight="1">
      <c r="A115" s="18" t="s">
        <v>848</v>
      </c>
      <c r="B115" s="19" t="s">
        <v>936</v>
      </c>
      <c r="C115" s="20"/>
      <c r="D115" s="18" t="s">
        <v>676</v>
      </c>
      <c r="E115" s="19" t="s">
        <v>1437</v>
      </c>
      <c r="F115" s="20"/>
      <c r="G115" s="18" t="s">
        <v>678</v>
      </c>
      <c r="H115" s="19" t="s">
        <v>574</v>
      </c>
      <c r="I115" s="20"/>
      <c r="J115" s="18" t="s">
        <v>679</v>
      </c>
      <c r="K115" s="19" t="s">
        <v>1438</v>
      </c>
      <c r="L115" s="20"/>
      <c r="M115" s="18" t="s">
        <v>850</v>
      </c>
      <c r="N115" s="19" t="s">
        <v>1439</v>
      </c>
      <c r="O115" s="20"/>
    </row>
    <row r="116" ht="180.0" customHeight="1">
      <c r="A116" s="21" t="str">
        <f>IMAGE("https://assets.tcgdex.net/de/sv/sv03/141/low.jpg", 1)</f>
        <v/>
      </c>
      <c r="B116" s="22"/>
      <c r="C116" s="20"/>
      <c r="D116" s="21" t="str">
        <f>IMAGE("https://assets.tcgdex.net/de/sv/sv03/142/low.jpg", 1)</f>
        <v/>
      </c>
      <c r="E116" s="22"/>
      <c r="F116" s="20"/>
      <c r="G116" s="21" t="str">
        <f>IMAGE("https://assets.tcgdex.net/de/sv/sv03/143/low.jpg", 1)</f>
        <v/>
      </c>
      <c r="H116" s="22"/>
      <c r="I116" s="20"/>
      <c r="J116" s="21" t="str">
        <f>IMAGE("https://assets.tcgdex.net/de/sv/sv03/144/low.jpg", 1)</f>
        <v/>
      </c>
      <c r="K116" s="22"/>
      <c r="L116" s="20"/>
      <c r="M116" s="21" t="str">
        <f>IMAGE("https://assets.tcgdex.net/de/sv/sv03/145/low.jpg", 1)</f>
        <v/>
      </c>
      <c r="N116" s="22"/>
      <c r="O116" s="20"/>
    </row>
    <row r="117" ht="22.5" customHeight="1">
      <c r="A117" s="23" t="b">
        <v>0</v>
      </c>
      <c r="B117" s="24" t="b">
        <v>0</v>
      </c>
      <c r="C117" s="25" t="str">
        <f>HYPERLINK("https://www.cardmarket.com/en/Pokemon/Products/Singles?idCategory=1&amp;idProduct=sv3-141", "CM")</f>
        <v>CM</v>
      </c>
      <c r="D117" s="23" t="b">
        <v>0</v>
      </c>
      <c r="E117" s="24" t="b">
        <v>0</v>
      </c>
      <c r="F117" s="25" t="str">
        <f>HYPERLINK("https://www.cardmarket.com/en/Pokemon/Products/Singles?idCategory=1&amp;idProduct=sv3-142", "CM")</f>
        <v>CM</v>
      </c>
      <c r="G117" s="23" t="b">
        <v>0</v>
      </c>
      <c r="H117" s="24" t="b">
        <v>0</v>
      </c>
      <c r="I117" s="25" t="str">
        <f>HYPERLINK("https://www.cardmarket.com/en/Pokemon/Products/Singles?idCategory=1&amp;idProduct=sv3-143", "CM")</f>
        <v>CM</v>
      </c>
      <c r="J117" s="23" t="b">
        <v>0</v>
      </c>
      <c r="K117" s="24" t="b">
        <v>0</v>
      </c>
      <c r="L117" s="25" t="str">
        <f>HYPERLINK("https://www.cardmarket.com/en/Pokemon/Products/Singles?idCategory=1&amp;idProduct=sv3-144", "CM")</f>
        <v>CM</v>
      </c>
      <c r="M117" s="23" t="b">
        <v>0</v>
      </c>
      <c r="N117" s="24" t="b">
        <v>0</v>
      </c>
      <c r="O117" s="25" t="str">
        <f>HYPERLINK("https://www.cardmarket.com/en/Pokemon/Products/Singles?idCategory=1&amp;idProduct=sv3-145", "CM")</f>
        <v>CM</v>
      </c>
    </row>
    <row r="118" ht="7.5" customHeigh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</row>
    <row r="119" ht="18.75" customHeight="1">
      <c r="A119" s="18" t="s">
        <v>681</v>
      </c>
      <c r="B119" s="19" t="s">
        <v>1440</v>
      </c>
      <c r="C119" s="20"/>
      <c r="D119" s="18" t="s">
        <v>683</v>
      </c>
      <c r="E119" s="19" t="s">
        <v>1441</v>
      </c>
      <c r="F119" s="20"/>
      <c r="G119" s="18" t="s">
        <v>685</v>
      </c>
      <c r="H119" s="19" t="s">
        <v>648</v>
      </c>
      <c r="I119" s="20"/>
      <c r="J119" s="18" t="s">
        <v>852</v>
      </c>
      <c r="K119" s="19" t="s">
        <v>650</v>
      </c>
      <c r="L119" s="20"/>
      <c r="M119" s="18" t="s">
        <v>686</v>
      </c>
      <c r="N119" s="19" t="s">
        <v>652</v>
      </c>
      <c r="O119" s="20"/>
    </row>
    <row r="120" ht="180.0" customHeight="1">
      <c r="A120" s="21" t="str">
        <f>IMAGE("https://assets.tcgdex.net/de/sv/sv03/146/low.jpg", 1)</f>
        <v/>
      </c>
      <c r="B120" s="22"/>
      <c r="C120" s="20"/>
      <c r="D120" s="21" t="str">
        <f>IMAGE("https://assets.tcgdex.net/de/sv/sv03/147/low.jpg", 1)</f>
        <v/>
      </c>
      <c r="E120" s="22"/>
      <c r="F120" s="20"/>
      <c r="G120" s="21" t="str">
        <f>IMAGE("https://assets.tcgdex.net/de/sv/sv03/148/low.jpg", 1)</f>
        <v/>
      </c>
      <c r="H120" s="22"/>
      <c r="I120" s="20"/>
      <c r="J120" s="21" t="str">
        <f>IMAGE("https://assets.tcgdex.net/de/sv/sv03/149/low.jpg", 1)</f>
        <v/>
      </c>
      <c r="K120" s="22"/>
      <c r="L120" s="20"/>
      <c r="M120" s="21" t="str">
        <f>IMAGE("https://assets.tcgdex.net/de/sv/sv03/150/low.jpg", 1)</f>
        <v/>
      </c>
      <c r="N120" s="22"/>
      <c r="O120" s="20"/>
    </row>
    <row r="121" ht="22.5" customHeight="1">
      <c r="A121" s="23" t="b">
        <v>0</v>
      </c>
      <c r="B121" s="24" t="b">
        <v>0</v>
      </c>
      <c r="C121" s="25" t="str">
        <f>HYPERLINK("https://www.cardmarket.com/en/Pokemon/Products/Singles?idCategory=1&amp;idProduct=sv3-146", "CM")</f>
        <v>CM</v>
      </c>
      <c r="D121" s="23" t="b">
        <v>0</v>
      </c>
      <c r="E121" s="24" t="b">
        <v>0</v>
      </c>
      <c r="F121" s="25" t="str">
        <f>HYPERLINK("https://www.cardmarket.com/en/Pokemon/Products/Singles?idCategory=1&amp;idProduct=sv3-147", "CM")</f>
        <v>CM</v>
      </c>
      <c r="G121" s="23" t="b">
        <v>0</v>
      </c>
      <c r="H121" s="24" t="b">
        <v>0</v>
      </c>
      <c r="I121" s="25" t="str">
        <f>HYPERLINK("https://www.cardmarket.com/en/Pokemon/Products/Singles?idCategory=1&amp;idProduct=sv3-148", "CM")</f>
        <v>CM</v>
      </c>
      <c r="J121" s="23" t="b">
        <v>0</v>
      </c>
      <c r="K121" s="24" t="b">
        <v>0</v>
      </c>
      <c r="L121" s="25" t="str">
        <f>HYPERLINK("https://www.cardmarket.com/en/Pokemon/Products/Singles?idCategory=1&amp;idProduct=sv3-149", "CM")</f>
        <v>CM</v>
      </c>
      <c r="M121" s="23" t="b">
        <v>0</v>
      </c>
      <c r="N121" s="24" t="b">
        <v>0</v>
      </c>
      <c r="O121" s="25" t="str">
        <f>HYPERLINK("https://www.cardmarket.com/en/Pokemon/Products/Singles?idCategory=1&amp;idProduct=sv3-150", "CM")</f>
        <v>CM</v>
      </c>
    </row>
    <row r="122" ht="7.5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</row>
    <row r="123" ht="18.75" customHeight="1">
      <c r="A123" s="18" t="s">
        <v>853</v>
      </c>
      <c r="B123" s="19" t="s">
        <v>1442</v>
      </c>
      <c r="C123" s="20"/>
      <c r="D123" s="18" t="s">
        <v>855</v>
      </c>
      <c r="E123" s="19" t="s">
        <v>1443</v>
      </c>
      <c r="F123" s="20"/>
      <c r="G123" s="18" t="s">
        <v>687</v>
      </c>
      <c r="H123" s="19" t="s">
        <v>635</v>
      </c>
      <c r="I123" s="20"/>
      <c r="J123" s="18" t="s">
        <v>689</v>
      </c>
      <c r="K123" s="19" t="s">
        <v>761</v>
      </c>
      <c r="L123" s="20"/>
      <c r="M123" s="18" t="s">
        <v>691</v>
      </c>
      <c r="N123" s="19" t="s">
        <v>761</v>
      </c>
      <c r="O123" s="20"/>
    </row>
    <row r="124" ht="180.0" customHeight="1">
      <c r="A124" s="21" t="str">
        <f>IMAGE("https://assets.tcgdex.net/de/sv/sv03/151/low.jpg", 1)</f>
        <v/>
      </c>
      <c r="B124" s="22"/>
      <c r="C124" s="20"/>
      <c r="D124" s="21" t="str">
        <f>IMAGE("https://assets.tcgdex.net/de/sv/sv03/152/low.jpg", 1)</f>
        <v/>
      </c>
      <c r="E124" s="22"/>
      <c r="F124" s="20"/>
      <c r="G124" s="21" t="str">
        <f>IMAGE("https://assets.tcgdex.net/de/sv/sv03/153/low.jpg", 1)</f>
        <v/>
      </c>
      <c r="H124" s="22"/>
      <c r="I124" s="20"/>
      <c r="J124" s="21" t="str">
        <f>IMAGE("https://assets.tcgdex.net/de/sv/sv03/154/low.jpg", 1)</f>
        <v/>
      </c>
      <c r="K124" s="22"/>
      <c r="L124" s="20"/>
      <c r="M124" s="21" t="str">
        <f>IMAGE("https://assets.tcgdex.net/de/sv/sv03/155/low.jpg", 1)</f>
        <v/>
      </c>
      <c r="N124" s="22"/>
      <c r="O124" s="20"/>
    </row>
    <row r="125" ht="22.5" customHeight="1">
      <c r="A125" s="23" t="b">
        <v>0</v>
      </c>
      <c r="B125" s="24" t="b">
        <v>0</v>
      </c>
      <c r="C125" s="25" t="str">
        <f>HYPERLINK("https://www.cardmarket.com/en/Pokemon/Products/Singles?idCategory=1&amp;idProduct=sv3-151", "CM")</f>
        <v>CM</v>
      </c>
      <c r="D125" s="23" t="b">
        <v>0</v>
      </c>
      <c r="E125" s="24" t="b">
        <v>0</v>
      </c>
      <c r="F125" s="25" t="str">
        <f>HYPERLINK("https://www.cardmarket.com/en/Pokemon/Products/Singles?idCategory=1&amp;idProduct=sv3-152", "CM")</f>
        <v>CM</v>
      </c>
      <c r="G125" s="23" t="b">
        <v>0</v>
      </c>
      <c r="H125" s="24" t="b">
        <v>0</v>
      </c>
      <c r="I125" s="25" t="str">
        <f>HYPERLINK("https://www.cardmarket.com/en/Pokemon/Products/Singles?idCategory=1&amp;idProduct=sv3-153", "CM")</f>
        <v>CM</v>
      </c>
      <c r="J125" s="23" t="b">
        <v>0</v>
      </c>
      <c r="K125" s="24" t="b">
        <v>0</v>
      </c>
      <c r="L125" s="25" t="str">
        <f>HYPERLINK("https://www.cardmarket.com/en/Pokemon/Products/Singles?idCategory=1&amp;idProduct=sv3-154", "CM")</f>
        <v>CM</v>
      </c>
      <c r="M125" s="23" t="b">
        <v>0</v>
      </c>
      <c r="N125" s="24" t="b">
        <v>0</v>
      </c>
      <c r="O125" s="25" t="str">
        <f>HYPERLINK("https://www.cardmarket.com/en/Pokemon/Products/Singles?idCategory=1&amp;idProduct=sv3-155", "CM")</f>
        <v>CM</v>
      </c>
    </row>
    <row r="126" ht="7.5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</row>
    <row r="127" ht="18.75" customHeight="1">
      <c r="A127" s="18" t="s">
        <v>857</v>
      </c>
      <c r="B127" s="19" t="s">
        <v>1444</v>
      </c>
      <c r="C127" s="20"/>
      <c r="D127" s="18" t="s">
        <v>859</v>
      </c>
      <c r="E127" s="19" t="s">
        <v>1445</v>
      </c>
      <c r="F127" s="20"/>
      <c r="G127" s="18" t="s">
        <v>693</v>
      </c>
      <c r="H127" s="19" t="s">
        <v>1446</v>
      </c>
      <c r="I127" s="20"/>
      <c r="J127" s="18" t="s">
        <v>861</v>
      </c>
      <c r="K127" s="19" t="s">
        <v>1447</v>
      </c>
      <c r="L127" s="20"/>
      <c r="M127" s="18" t="s">
        <v>695</v>
      </c>
      <c r="N127" s="19" t="s">
        <v>1099</v>
      </c>
      <c r="O127" s="20"/>
    </row>
    <row r="128" ht="180.0" customHeight="1">
      <c r="A128" s="21" t="str">
        <f>IMAGE("https://assets.tcgdex.net/de/sv/sv03/156/low.jpg", 1)</f>
        <v/>
      </c>
      <c r="B128" s="22"/>
      <c r="C128" s="20"/>
      <c r="D128" s="21" t="str">
        <f>IMAGE("https://assets.tcgdex.net/de/sv/sv03/157/low.jpg", 1)</f>
        <v/>
      </c>
      <c r="E128" s="22"/>
      <c r="F128" s="20"/>
      <c r="G128" s="21" t="str">
        <f>IMAGE("https://assets.tcgdex.net/de/sv/sv03/158/low.jpg", 1)</f>
        <v/>
      </c>
      <c r="H128" s="22"/>
      <c r="I128" s="20"/>
      <c r="J128" s="21" t="str">
        <f>IMAGE("https://assets.tcgdex.net/de/sv/sv03/159/low.jpg", 1)</f>
        <v/>
      </c>
      <c r="K128" s="22"/>
      <c r="L128" s="20"/>
      <c r="M128" s="21" t="str">
        <f>IMAGE("https://assets.tcgdex.net/de/sv/sv03/160/low.jpg", 1)</f>
        <v/>
      </c>
      <c r="N128" s="22"/>
      <c r="O128" s="20"/>
    </row>
    <row r="129" ht="22.5" customHeight="1">
      <c r="A129" s="23" t="b">
        <v>0</v>
      </c>
      <c r="B129" s="24" t="b">
        <v>0</v>
      </c>
      <c r="C129" s="25" t="str">
        <f>HYPERLINK("https://www.cardmarket.com/en/Pokemon/Products/Singles?idCategory=1&amp;idProduct=sv3-156", "CM")</f>
        <v>CM</v>
      </c>
      <c r="D129" s="23" t="b">
        <v>0</v>
      </c>
      <c r="E129" s="24" t="b">
        <v>0</v>
      </c>
      <c r="F129" s="25" t="str">
        <f>HYPERLINK("https://www.cardmarket.com/en/Pokemon/Products/Singles?idCategory=1&amp;idProduct=sv3-157", "CM")</f>
        <v>CM</v>
      </c>
      <c r="G129" s="23" t="b">
        <v>0</v>
      </c>
      <c r="H129" s="24" t="b">
        <v>0</v>
      </c>
      <c r="I129" s="25" t="str">
        <f>HYPERLINK("https://www.cardmarket.com/en/Pokemon/Products/Singles?idCategory=1&amp;idProduct=sv3-158", "CM")</f>
        <v>CM</v>
      </c>
      <c r="J129" s="23" t="b">
        <v>0</v>
      </c>
      <c r="K129" s="24" t="b">
        <v>0</v>
      </c>
      <c r="L129" s="25" t="str">
        <f>HYPERLINK("https://www.cardmarket.com/en/Pokemon/Products/Singles?idCategory=1&amp;idProduct=sv3-159", "CM")</f>
        <v>CM</v>
      </c>
      <c r="M129" s="23" t="b">
        <v>0</v>
      </c>
      <c r="N129" s="24" t="b">
        <v>0</v>
      </c>
      <c r="O129" s="25" t="str">
        <f>HYPERLINK("https://www.cardmarket.com/en/Pokemon/Products/Singles?idCategory=1&amp;idProduct=sv3-160", "CM")</f>
        <v>CM</v>
      </c>
    </row>
    <row r="130" ht="7.5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</row>
    <row r="131" ht="18.75" customHeight="1">
      <c r="A131" s="18" t="s">
        <v>862</v>
      </c>
      <c r="B131" s="19" t="s">
        <v>1448</v>
      </c>
      <c r="C131" s="20"/>
      <c r="D131" s="18" t="s">
        <v>697</v>
      </c>
      <c r="E131" s="19" t="s">
        <v>1449</v>
      </c>
      <c r="F131" s="20"/>
      <c r="G131" s="18" t="s">
        <v>863</v>
      </c>
      <c r="H131" s="19" t="s">
        <v>1450</v>
      </c>
      <c r="I131" s="20"/>
      <c r="J131" s="18" t="s">
        <v>865</v>
      </c>
      <c r="K131" s="19" t="s">
        <v>1451</v>
      </c>
      <c r="L131" s="20"/>
      <c r="M131" s="18" t="s">
        <v>867</v>
      </c>
      <c r="N131" s="19" t="s">
        <v>1452</v>
      </c>
      <c r="O131" s="20"/>
    </row>
    <row r="132" ht="180.0" customHeight="1">
      <c r="A132" s="21" t="str">
        <f>IMAGE("https://assets.tcgdex.net/de/sv/sv03/161/low.jpg", 1)</f>
        <v/>
      </c>
      <c r="B132" s="22"/>
      <c r="C132" s="20"/>
      <c r="D132" s="21" t="str">
        <f>IMAGE("https://assets.tcgdex.net/de/sv/sv03/162/low.jpg", 1)</f>
        <v/>
      </c>
      <c r="E132" s="22"/>
      <c r="F132" s="20"/>
      <c r="G132" s="21" t="str">
        <f>IMAGE("https://assets.tcgdex.net/de/sv/sv03/163/low.jpg", 1)</f>
        <v/>
      </c>
      <c r="H132" s="22"/>
      <c r="I132" s="20"/>
      <c r="J132" s="21" t="str">
        <f>IMAGE("https://assets.tcgdex.net/de/sv/sv03/164/low.jpg", 1)</f>
        <v/>
      </c>
      <c r="K132" s="22"/>
      <c r="L132" s="20"/>
      <c r="M132" s="21" t="str">
        <f>IMAGE("https://assets.tcgdex.net/de/sv/sv03/165/low.jpg", 1)</f>
        <v/>
      </c>
      <c r="N132" s="22"/>
      <c r="O132" s="20"/>
    </row>
    <row r="133" ht="22.5" customHeight="1">
      <c r="A133" s="23" t="b">
        <v>0</v>
      </c>
      <c r="B133" s="24" t="b">
        <v>0</v>
      </c>
      <c r="C133" s="25" t="str">
        <f>HYPERLINK("https://www.cardmarket.com/en/Pokemon/Products/Singles?idCategory=1&amp;idProduct=sv3-161", "CM")</f>
        <v>CM</v>
      </c>
      <c r="D133" s="23" t="b">
        <v>0</v>
      </c>
      <c r="E133" s="24" t="b">
        <v>0</v>
      </c>
      <c r="F133" s="25" t="str">
        <f>HYPERLINK("https://www.cardmarket.com/en/Pokemon/Products/Singles?idCategory=1&amp;idProduct=sv3-162", "CM")</f>
        <v>CM</v>
      </c>
      <c r="G133" s="23" t="b">
        <v>0</v>
      </c>
      <c r="H133" s="24" t="b">
        <v>0</v>
      </c>
      <c r="I133" s="25" t="str">
        <f>HYPERLINK("https://www.cardmarket.com/en/Pokemon/Products/Singles?idCategory=1&amp;idProduct=sv3-163", "CM")</f>
        <v>CM</v>
      </c>
      <c r="J133" s="23" t="b">
        <v>0</v>
      </c>
      <c r="K133" s="24" t="b">
        <v>0</v>
      </c>
      <c r="L133" s="25" t="str">
        <f>HYPERLINK("https://www.cardmarket.com/en/Pokemon/Products/Singles?idCategory=1&amp;idProduct=sv3-164", "CM")</f>
        <v>CM</v>
      </c>
      <c r="M133" s="23" t="b">
        <v>0</v>
      </c>
      <c r="N133" s="24" t="b">
        <v>0</v>
      </c>
      <c r="O133" s="25" t="str">
        <f>HYPERLINK("https://www.cardmarket.com/en/Pokemon/Products/Singles?idCategory=1&amp;idProduct=sv3-165", "CM")</f>
        <v>CM</v>
      </c>
    </row>
    <row r="134" ht="7.5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</row>
    <row r="135" ht="18.75" customHeight="1">
      <c r="A135" s="18" t="s">
        <v>869</v>
      </c>
      <c r="B135" s="19" t="s">
        <v>764</v>
      </c>
      <c r="C135" s="20"/>
      <c r="D135" s="18" t="s">
        <v>871</v>
      </c>
      <c r="E135" s="19" t="s">
        <v>1453</v>
      </c>
      <c r="F135" s="20"/>
      <c r="G135" s="18" t="s">
        <v>873</v>
      </c>
      <c r="H135" s="19" t="s">
        <v>1454</v>
      </c>
      <c r="I135" s="20"/>
      <c r="J135" s="18" t="s">
        <v>875</v>
      </c>
      <c r="K135" s="19" t="s">
        <v>1455</v>
      </c>
      <c r="L135" s="20"/>
      <c r="M135" s="18" t="s">
        <v>877</v>
      </c>
      <c r="N135" s="19" t="s">
        <v>1456</v>
      </c>
      <c r="O135" s="20"/>
    </row>
    <row r="136" ht="180.0" customHeight="1">
      <c r="A136" s="21" t="str">
        <f>IMAGE("https://assets.tcgdex.net/de/sv/sv03/166/low.jpg", 1)</f>
        <v/>
      </c>
      <c r="B136" s="22"/>
      <c r="C136" s="20"/>
      <c r="D136" s="21" t="str">
        <f>IMAGE("https://assets.tcgdex.net/de/sv/sv03/167/low.jpg", 1)</f>
        <v/>
      </c>
      <c r="E136" s="22"/>
      <c r="F136" s="20"/>
      <c r="G136" s="21" t="str">
        <f>IMAGE("https://assets.tcgdex.net/de/sv/sv03/168/low.jpg", 1)</f>
        <v/>
      </c>
      <c r="H136" s="22"/>
      <c r="I136" s="20"/>
      <c r="J136" s="21" t="str">
        <f>IMAGE("https://assets.tcgdex.net/de/sv/sv03/169/low.jpg", 1)</f>
        <v/>
      </c>
      <c r="K136" s="22"/>
      <c r="L136" s="20"/>
      <c r="M136" s="21" t="str">
        <f>IMAGE("https://assets.tcgdex.net/de/sv/sv03/170/low.jpg", 1)</f>
        <v/>
      </c>
      <c r="N136" s="22"/>
      <c r="O136" s="20"/>
    </row>
    <row r="137" ht="22.5" customHeight="1">
      <c r="A137" s="23" t="b">
        <v>0</v>
      </c>
      <c r="B137" s="24" t="b">
        <v>0</v>
      </c>
      <c r="C137" s="25" t="str">
        <f>HYPERLINK("https://www.cardmarket.com/en/Pokemon/Products/Singles?idCategory=1&amp;idProduct=sv3-166", "CM")</f>
        <v>CM</v>
      </c>
      <c r="D137" s="23" t="b">
        <v>0</v>
      </c>
      <c r="E137" s="24" t="b">
        <v>0</v>
      </c>
      <c r="F137" s="25" t="str">
        <f>HYPERLINK("https://www.cardmarket.com/en/Pokemon/Products/Singles?idCategory=1&amp;idProduct=sv3-167", "CM")</f>
        <v>CM</v>
      </c>
      <c r="G137" s="23" t="b">
        <v>0</v>
      </c>
      <c r="H137" s="24" t="b">
        <v>0</v>
      </c>
      <c r="I137" s="25" t="str">
        <f>HYPERLINK("https://www.cardmarket.com/en/Pokemon/Products/Singles?idCategory=1&amp;idProduct=sv3-168", "CM")</f>
        <v>CM</v>
      </c>
      <c r="J137" s="23" t="b">
        <v>0</v>
      </c>
      <c r="K137" s="24" t="b">
        <v>0</v>
      </c>
      <c r="L137" s="25" t="str">
        <f>HYPERLINK("https://www.cardmarket.com/en/Pokemon/Products/Singles?idCategory=1&amp;idProduct=sv3-169", "CM")</f>
        <v>CM</v>
      </c>
      <c r="M137" s="23" t="b">
        <v>0</v>
      </c>
      <c r="N137" s="24" t="b">
        <v>0</v>
      </c>
      <c r="O137" s="25" t="str">
        <f>HYPERLINK("https://www.cardmarket.com/en/Pokemon/Products/Singles?idCategory=1&amp;idProduct=sv3-170", "CM")</f>
        <v>CM</v>
      </c>
    </row>
    <row r="138" ht="7.5" customHeight="1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</row>
    <row r="139" ht="18.75" customHeight="1">
      <c r="A139" s="18" t="s">
        <v>879</v>
      </c>
      <c r="B139" s="19" t="s">
        <v>1457</v>
      </c>
      <c r="C139" s="20"/>
      <c r="D139" s="18" t="s">
        <v>881</v>
      </c>
      <c r="E139" s="19" t="s">
        <v>1458</v>
      </c>
      <c r="F139" s="20"/>
      <c r="G139" s="18" t="s">
        <v>883</v>
      </c>
      <c r="H139" s="19" t="s">
        <v>1459</v>
      </c>
      <c r="I139" s="20"/>
      <c r="J139" s="18" t="s">
        <v>699</v>
      </c>
      <c r="K139" s="19" t="s">
        <v>669</v>
      </c>
      <c r="L139" s="20"/>
      <c r="M139" s="18" t="s">
        <v>1304</v>
      </c>
      <c r="N139" s="19" t="s">
        <v>1460</v>
      </c>
      <c r="O139" s="20"/>
    </row>
    <row r="140" ht="180.0" customHeight="1">
      <c r="A140" s="21" t="str">
        <f>IMAGE("https://assets.tcgdex.net/de/sv/sv03/171/low.jpg", 1)</f>
        <v/>
      </c>
      <c r="B140" s="22"/>
      <c r="C140" s="20"/>
      <c r="D140" s="21" t="str">
        <f>IMAGE("https://assets.tcgdex.net/de/sv/sv03/172/low.jpg", 1)</f>
        <v/>
      </c>
      <c r="E140" s="22"/>
      <c r="F140" s="20"/>
      <c r="G140" s="21" t="str">
        <f>IMAGE("https://assets.tcgdex.net/de/sv/sv03/173/low.jpg", 1)</f>
        <v/>
      </c>
      <c r="H140" s="22"/>
      <c r="I140" s="20"/>
      <c r="J140" s="21" t="str">
        <f>IMAGE("https://assets.tcgdex.net/de/sv/sv03/174/low.jpg", 1)</f>
        <v/>
      </c>
      <c r="K140" s="22"/>
      <c r="L140" s="20"/>
      <c r="M140" s="21" t="str">
        <f>IMAGE("https://assets.tcgdex.net/de/sv/sv03/175/low.jpg", 1)</f>
        <v/>
      </c>
      <c r="N140" s="22"/>
      <c r="O140" s="20"/>
    </row>
    <row r="141" ht="22.5" customHeight="1">
      <c r="A141" s="23" t="b">
        <v>0</v>
      </c>
      <c r="B141" s="24" t="b">
        <v>0</v>
      </c>
      <c r="C141" s="25" t="str">
        <f>HYPERLINK("https://www.cardmarket.com/en/Pokemon/Products/Singles?idCategory=1&amp;idProduct=sv3-171", "CM")</f>
        <v>CM</v>
      </c>
      <c r="D141" s="23" t="b">
        <v>0</v>
      </c>
      <c r="E141" s="24" t="b">
        <v>0</v>
      </c>
      <c r="F141" s="25" t="str">
        <f>HYPERLINK("https://www.cardmarket.com/en/Pokemon/Products/Singles?idCategory=1&amp;idProduct=sv3-172", "CM")</f>
        <v>CM</v>
      </c>
      <c r="G141" s="23" t="b">
        <v>0</v>
      </c>
      <c r="H141" s="24" t="b">
        <v>0</v>
      </c>
      <c r="I141" s="25" t="str">
        <f>HYPERLINK("https://www.cardmarket.com/en/Pokemon/Products/Singles?idCategory=1&amp;idProduct=sv3-173", "CM")</f>
        <v>CM</v>
      </c>
      <c r="J141" s="23" t="b">
        <v>0</v>
      </c>
      <c r="K141" s="24" t="b">
        <v>0</v>
      </c>
      <c r="L141" s="25" t="str">
        <f>HYPERLINK("https://www.cardmarket.com/en/Pokemon/Products/Singles?idCategory=1&amp;idProduct=sv3-174", "CM")</f>
        <v>CM</v>
      </c>
      <c r="M141" s="23" t="b">
        <v>0</v>
      </c>
      <c r="N141" s="24" t="b">
        <v>0</v>
      </c>
      <c r="O141" s="25" t="str">
        <f>HYPERLINK("https://www.cardmarket.com/en/Pokemon/Products/Singles?idCategory=1&amp;idProduct=sv3-175", "CM")</f>
        <v>CM</v>
      </c>
    </row>
    <row r="142" ht="7.5" customHeight="1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</row>
    <row r="143" ht="18.75" customHeight="1">
      <c r="A143" s="18" t="s">
        <v>1306</v>
      </c>
      <c r="B143" s="19" t="s">
        <v>1026</v>
      </c>
      <c r="C143" s="20"/>
      <c r="D143" s="18" t="s">
        <v>884</v>
      </c>
      <c r="E143" s="19" t="s">
        <v>1027</v>
      </c>
      <c r="F143" s="20"/>
      <c r="G143" s="18" t="s">
        <v>701</v>
      </c>
      <c r="H143" s="19" t="s">
        <v>1188</v>
      </c>
      <c r="I143" s="20"/>
      <c r="J143" s="18" t="s">
        <v>703</v>
      </c>
      <c r="K143" s="19" t="s">
        <v>1461</v>
      </c>
      <c r="L143" s="20"/>
      <c r="M143" s="18" t="s">
        <v>886</v>
      </c>
      <c r="N143" s="19" t="s">
        <v>1228</v>
      </c>
      <c r="O143" s="20"/>
    </row>
    <row r="144" ht="180.0" customHeight="1">
      <c r="A144" s="21" t="str">
        <f>IMAGE("https://assets.tcgdex.net/de/sv/sv03/176/low.jpg", 1)</f>
        <v/>
      </c>
      <c r="B144" s="22"/>
      <c r="C144" s="20"/>
      <c r="D144" s="21" t="str">
        <f>IMAGE("https://assets.tcgdex.net/de/sv/sv03/177/low.jpg", 1)</f>
        <v/>
      </c>
      <c r="E144" s="22"/>
      <c r="F144" s="20"/>
      <c r="G144" s="21" t="str">
        <f>IMAGE("https://assets.tcgdex.net/de/sv/sv03/178/low.jpg", 1)</f>
        <v/>
      </c>
      <c r="H144" s="22"/>
      <c r="I144" s="20"/>
      <c r="J144" s="21" t="str">
        <f>IMAGE("https://assets.tcgdex.net/de/sv/sv03/179/low.jpg", 1)</f>
        <v/>
      </c>
      <c r="K144" s="22"/>
      <c r="L144" s="20"/>
      <c r="M144" s="21" t="str">
        <f>IMAGE("https://assets.tcgdex.net/de/sv/sv03/180/low.jpg", 1)</f>
        <v/>
      </c>
      <c r="N144" s="22"/>
      <c r="O144" s="20"/>
    </row>
    <row r="145" ht="22.5" customHeight="1">
      <c r="A145" s="23" t="b">
        <v>0</v>
      </c>
      <c r="B145" s="24" t="b">
        <v>0</v>
      </c>
      <c r="C145" s="25" t="str">
        <f>HYPERLINK("https://www.cardmarket.com/en/Pokemon/Products/Singles?idCategory=1&amp;idProduct=sv3-176", "CM")</f>
        <v>CM</v>
      </c>
      <c r="D145" s="23" t="b">
        <v>0</v>
      </c>
      <c r="E145" s="24" t="b">
        <v>0</v>
      </c>
      <c r="F145" s="25" t="str">
        <f>HYPERLINK("https://www.cardmarket.com/en/Pokemon/Products/Singles?idCategory=1&amp;idProduct=sv3-177", "CM")</f>
        <v>CM</v>
      </c>
      <c r="G145" s="23" t="b">
        <v>0</v>
      </c>
      <c r="H145" s="24" t="b">
        <v>0</v>
      </c>
      <c r="I145" s="25" t="str">
        <f>HYPERLINK("https://www.cardmarket.com/en/Pokemon/Products/Singles?idCategory=1&amp;idProduct=sv3-178", "CM")</f>
        <v>CM</v>
      </c>
      <c r="J145" s="23" t="b">
        <v>0</v>
      </c>
      <c r="K145" s="24" t="b">
        <v>0</v>
      </c>
      <c r="L145" s="25" t="str">
        <f>HYPERLINK("https://www.cardmarket.com/en/Pokemon/Products/Singles?idCategory=1&amp;idProduct=sv3-179", "CM")</f>
        <v>CM</v>
      </c>
      <c r="M145" s="23" t="b">
        <v>0</v>
      </c>
      <c r="N145" s="24" t="b">
        <v>0</v>
      </c>
      <c r="O145" s="25" t="str">
        <f>HYPERLINK("https://www.cardmarket.com/en/Pokemon/Products/Singles?idCategory=1&amp;idProduct=sv3-180", "CM")</f>
        <v>CM</v>
      </c>
    </row>
    <row r="146" ht="7.5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</row>
    <row r="147" ht="18.75" customHeight="1">
      <c r="A147" s="18" t="s">
        <v>888</v>
      </c>
      <c r="B147" s="19" t="s">
        <v>1228</v>
      </c>
      <c r="C147" s="20"/>
      <c r="D147" s="18" t="s">
        <v>705</v>
      </c>
      <c r="E147" s="19" t="s">
        <v>1228</v>
      </c>
      <c r="F147" s="20"/>
      <c r="G147" s="18" t="s">
        <v>890</v>
      </c>
      <c r="H147" s="19" t="s">
        <v>1229</v>
      </c>
      <c r="I147" s="20"/>
      <c r="J147" s="18" t="s">
        <v>707</v>
      </c>
      <c r="K147" s="19" t="s">
        <v>1229</v>
      </c>
      <c r="L147" s="20"/>
      <c r="M147" s="18" t="s">
        <v>709</v>
      </c>
      <c r="N147" s="19" t="s">
        <v>1233</v>
      </c>
      <c r="O147" s="20"/>
    </row>
    <row r="148" ht="180.0" customHeight="1">
      <c r="A148" s="21" t="str">
        <f>IMAGE("https://assets.tcgdex.net/de/sv/sv03/181/low.jpg", 1)</f>
        <v/>
      </c>
      <c r="B148" s="22"/>
      <c r="C148" s="20"/>
      <c r="D148" s="21" t="str">
        <f>IMAGE("https://assets.tcgdex.net/de/sv/sv03/182/low.jpg", 1)</f>
        <v/>
      </c>
      <c r="E148" s="22"/>
      <c r="F148" s="20"/>
      <c r="G148" s="21" t="str">
        <f>IMAGE("https://assets.tcgdex.net/de/sv/sv03/183/low.jpg", 1)</f>
        <v/>
      </c>
      <c r="H148" s="22"/>
      <c r="I148" s="20"/>
      <c r="J148" s="21" t="str">
        <f>IMAGE("https://assets.tcgdex.net/de/sv/sv03/184/low.jpg", 1)</f>
        <v/>
      </c>
      <c r="K148" s="22"/>
      <c r="L148" s="20"/>
      <c r="M148" s="21" t="str">
        <f>IMAGE("https://assets.tcgdex.net/de/sv/sv03/185/low.jpg", 1)</f>
        <v/>
      </c>
      <c r="N148" s="22"/>
      <c r="O148" s="20"/>
    </row>
    <row r="149" ht="22.5" customHeight="1">
      <c r="A149" s="23" t="b">
        <v>0</v>
      </c>
      <c r="B149" s="24" t="b">
        <v>0</v>
      </c>
      <c r="C149" s="25" t="str">
        <f>HYPERLINK("https://www.cardmarket.com/en/Pokemon/Products/Singles?idCategory=1&amp;idProduct=sv3-181", "CM")</f>
        <v>CM</v>
      </c>
      <c r="D149" s="23" t="b">
        <v>0</v>
      </c>
      <c r="E149" s="24" t="b">
        <v>0</v>
      </c>
      <c r="F149" s="25" t="str">
        <f>HYPERLINK("https://www.cardmarket.com/en/Pokemon/Products/Singles?idCategory=1&amp;idProduct=sv3-182", "CM")</f>
        <v>CM</v>
      </c>
      <c r="G149" s="23" t="b">
        <v>0</v>
      </c>
      <c r="H149" s="24" t="b">
        <v>0</v>
      </c>
      <c r="I149" s="25" t="str">
        <f>HYPERLINK("https://www.cardmarket.com/en/Pokemon/Products/Singles?idCategory=1&amp;idProduct=sv3-183", "CM")</f>
        <v>CM</v>
      </c>
      <c r="J149" s="23" t="b">
        <v>0</v>
      </c>
      <c r="K149" s="24" t="b">
        <v>0</v>
      </c>
      <c r="L149" s="25" t="str">
        <f>HYPERLINK("https://www.cardmarket.com/en/Pokemon/Products/Singles?idCategory=1&amp;idProduct=sv3-184", "CM")</f>
        <v>CM</v>
      </c>
      <c r="M149" s="23" t="b">
        <v>0</v>
      </c>
      <c r="N149" s="24" t="b">
        <v>0</v>
      </c>
      <c r="O149" s="25" t="str">
        <f>HYPERLINK("https://www.cardmarket.com/en/Pokemon/Products/Singles?idCategory=1&amp;idProduct=sv3-185", "CM")</f>
        <v>CM</v>
      </c>
    </row>
    <row r="150" ht="7.5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</row>
    <row r="151" ht="18.75" customHeight="1">
      <c r="A151" s="18" t="s">
        <v>711</v>
      </c>
      <c r="B151" s="19" t="s">
        <v>1194</v>
      </c>
      <c r="C151" s="20"/>
      <c r="D151" s="18" t="s">
        <v>892</v>
      </c>
      <c r="E151" s="19" t="s">
        <v>1462</v>
      </c>
      <c r="F151" s="20"/>
      <c r="G151" s="18" t="s">
        <v>894</v>
      </c>
      <c r="H151" s="19" t="s">
        <v>1463</v>
      </c>
      <c r="I151" s="20"/>
      <c r="J151" s="18" t="s">
        <v>896</v>
      </c>
      <c r="K151" s="19" t="s">
        <v>1464</v>
      </c>
      <c r="L151" s="20"/>
      <c r="M151" s="18" t="s">
        <v>1312</v>
      </c>
      <c r="N151" s="19" t="s">
        <v>1465</v>
      </c>
      <c r="O151" s="20"/>
    </row>
    <row r="152" ht="180.0" customHeight="1">
      <c r="A152" s="21" t="str">
        <f>IMAGE("https://assets.tcgdex.net/de/sv/sv03/186/low.jpg", 1)</f>
        <v/>
      </c>
      <c r="B152" s="22"/>
      <c r="C152" s="20"/>
      <c r="D152" s="21" t="str">
        <f>IMAGE("https://assets.tcgdex.net/de/sv/sv03/187/low.jpg", 1)</f>
        <v/>
      </c>
      <c r="E152" s="22"/>
      <c r="F152" s="20"/>
      <c r="G152" s="21" t="str">
        <f>IMAGE("https://assets.tcgdex.net/de/sv/sv03/188/low.jpg", 1)</f>
        <v/>
      </c>
      <c r="H152" s="22"/>
      <c r="I152" s="20"/>
      <c r="J152" s="21" t="str">
        <f>IMAGE("https://assets.tcgdex.net/de/sv/sv03/189/low.jpg", 1)</f>
        <v/>
      </c>
      <c r="K152" s="22"/>
      <c r="L152" s="20"/>
      <c r="M152" s="21" t="str">
        <f>IMAGE("https://assets.tcgdex.net/de/sv/sv03/190/low.jpg", 1)</f>
        <v/>
      </c>
      <c r="N152" s="22"/>
      <c r="O152" s="20"/>
    </row>
    <row r="153" ht="22.5" customHeight="1">
      <c r="A153" s="23" t="b">
        <v>0</v>
      </c>
      <c r="B153" s="24" t="b">
        <v>0</v>
      </c>
      <c r="C153" s="25" t="str">
        <f>HYPERLINK("https://www.cardmarket.com/en/Pokemon/Products/Singles?idCategory=1&amp;idProduct=sv3-186", "CM")</f>
        <v>CM</v>
      </c>
      <c r="D153" s="23" t="b">
        <v>0</v>
      </c>
      <c r="E153" s="24" t="b">
        <v>0</v>
      </c>
      <c r="F153" s="25" t="str">
        <f>HYPERLINK("https://www.cardmarket.com/en/Pokemon/Products/Singles?idCategory=1&amp;idProduct=sv3-187", "CM")</f>
        <v>CM</v>
      </c>
      <c r="G153" s="23" t="b">
        <v>0</v>
      </c>
      <c r="H153" s="24" t="b">
        <v>0</v>
      </c>
      <c r="I153" s="25" t="str">
        <f>HYPERLINK("https://www.cardmarket.com/en/Pokemon/Products/Singles?idCategory=1&amp;idProduct=sv3-188", "CM")</f>
        <v>CM</v>
      </c>
      <c r="J153" s="23" t="b">
        <v>0</v>
      </c>
      <c r="K153" s="24" t="b">
        <v>0</v>
      </c>
      <c r="L153" s="25" t="str">
        <f>HYPERLINK("https://www.cardmarket.com/en/Pokemon/Products/Singles?idCategory=1&amp;idProduct=sv3-189", "CM")</f>
        <v>CM</v>
      </c>
      <c r="M153" s="23" t="b">
        <v>0</v>
      </c>
      <c r="N153" s="24" t="b">
        <v>0</v>
      </c>
      <c r="O153" s="25" t="str">
        <f>HYPERLINK("https://www.cardmarket.com/en/Pokemon/Products/Singles?idCategory=1&amp;idProduct=sv3-190", "CM")</f>
        <v>CM</v>
      </c>
    </row>
    <row r="154" ht="7.5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</row>
    <row r="155" ht="18.75" customHeight="1">
      <c r="A155" s="18" t="s">
        <v>1240</v>
      </c>
      <c r="B155" s="19" t="s">
        <v>1466</v>
      </c>
      <c r="C155" s="20"/>
      <c r="D155" s="18" t="s">
        <v>1313</v>
      </c>
      <c r="E155" s="19" t="s">
        <v>1467</v>
      </c>
      <c r="F155" s="20"/>
      <c r="G155" s="18" t="s">
        <v>898</v>
      </c>
      <c r="H155" s="19" t="s">
        <v>1468</v>
      </c>
      <c r="I155" s="20"/>
      <c r="J155" s="18" t="s">
        <v>713</v>
      </c>
      <c r="K155" s="19" t="s">
        <v>1469</v>
      </c>
      <c r="L155" s="20"/>
      <c r="M155" s="18" t="s">
        <v>715</v>
      </c>
      <c r="N155" s="19" t="s">
        <v>1316</v>
      </c>
      <c r="O155" s="20"/>
    </row>
    <row r="156" ht="180.0" customHeight="1">
      <c r="A156" s="21" t="str">
        <f>IMAGE("https://assets.tcgdex.net/de/sv/sv03/191/low.jpg", 1)</f>
        <v/>
      </c>
      <c r="B156" s="22"/>
      <c r="C156" s="20"/>
      <c r="D156" s="21" t="str">
        <f>IMAGE("https://assets.tcgdex.net/de/sv/sv03/192/low.jpg", 1)</f>
        <v/>
      </c>
      <c r="E156" s="22"/>
      <c r="F156" s="20"/>
      <c r="G156" s="21" t="str">
        <f>IMAGE("https://assets.tcgdex.net/de/sv/sv03/193/low.jpg", 1)</f>
        <v/>
      </c>
      <c r="H156" s="22"/>
      <c r="I156" s="20"/>
      <c r="J156" s="21" t="str">
        <f>IMAGE("https://assets.tcgdex.net/de/sv/sv03/194/low.jpg", 1)</f>
        <v/>
      </c>
      <c r="K156" s="22"/>
      <c r="L156" s="20"/>
      <c r="M156" s="21" t="str">
        <f>IMAGE("https://assets.tcgdex.net/de/sv/sv03/195/low.jpg", 1)</f>
        <v/>
      </c>
      <c r="N156" s="22"/>
      <c r="O156" s="20"/>
    </row>
    <row r="157" ht="22.5" customHeight="1">
      <c r="A157" s="23" t="b">
        <v>0</v>
      </c>
      <c r="B157" s="24" t="b">
        <v>0</v>
      </c>
      <c r="C157" s="25" t="str">
        <f>HYPERLINK("https://www.cardmarket.com/en/Pokemon/Products/Singles?idCategory=1&amp;idProduct=sv3-191", "CM")</f>
        <v>CM</v>
      </c>
      <c r="D157" s="23" t="b">
        <v>0</v>
      </c>
      <c r="E157" s="24" t="b">
        <v>0</v>
      </c>
      <c r="F157" s="25" t="str">
        <f>HYPERLINK("https://www.cardmarket.com/en/Pokemon/Products/Singles?idCategory=1&amp;idProduct=sv3-192", "CM")</f>
        <v>CM</v>
      </c>
      <c r="G157" s="23" t="b">
        <v>0</v>
      </c>
      <c r="H157" s="24" t="b">
        <v>0</v>
      </c>
      <c r="I157" s="25" t="str">
        <f>HYPERLINK("https://www.cardmarket.com/en/Pokemon/Products/Singles?idCategory=1&amp;idProduct=sv3-193", "CM")</f>
        <v>CM</v>
      </c>
      <c r="J157" s="23" t="b">
        <v>0</v>
      </c>
      <c r="K157" s="24" t="b">
        <v>0</v>
      </c>
      <c r="L157" s="25" t="str">
        <f>HYPERLINK("https://www.cardmarket.com/en/Pokemon/Products/Singles?idCategory=1&amp;idProduct=sv3-194", "CM")</f>
        <v>CM</v>
      </c>
      <c r="M157" s="23" t="b">
        <v>0</v>
      </c>
      <c r="N157" s="24" t="b">
        <v>0</v>
      </c>
      <c r="O157" s="25" t="str">
        <f>HYPERLINK("https://www.cardmarket.com/en/Pokemon/Products/Singles?idCategory=1&amp;idProduct=sv3-195", "CM")</f>
        <v>CM</v>
      </c>
    </row>
    <row r="158" ht="7.5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</row>
    <row r="159" ht="18.75" customHeight="1">
      <c r="A159" s="18" t="s">
        <v>717</v>
      </c>
      <c r="B159" s="19" t="s">
        <v>1470</v>
      </c>
      <c r="C159" s="20"/>
      <c r="D159" s="18" t="s">
        <v>719</v>
      </c>
      <c r="E159" s="19" t="s">
        <v>1471</v>
      </c>
      <c r="F159" s="20"/>
      <c r="G159" s="18" t="s">
        <v>720</v>
      </c>
      <c r="H159" s="19" t="s">
        <v>908</v>
      </c>
      <c r="I159" s="20"/>
      <c r="J159" s="18" t="s">
        <v>722</v>
      </c>
      <c r="K159" s="19" t="s">
        <v>1379</v>
      </c>
      <c r="L159" s="20"/>
      <c r="M159" s="18" t="s">
        <v>724</v>
      </c>
      <c r="N159" s="19" t="s">
        <v>568</v>
      </c>
      <c r="O159" s="20"/>
    </row>
    <row r="160" ht="180.0" customHeight="1">
      <c r="A160" s="21" t="str">
        <f>IMAGE("https://assets.tcgdex.net/de/sv/sv03/196/low.jpg", 1)</f>
        <v/>
      </c>
      <c r="B160" s="22"/>
      <c r="C160" s="20"/>
      <c r="D160" s="21" t="str">
        <f>IMAGE("https://assets.tcgdex.net/de/sv/sv03/197/low.jpg", 1)</f>
        <v/>
      </c>
      <c r="E160" s="22"/>
      <c r="F160" s="20"/>
      <c r="G160" s="21" t="str">
        <f>IMAGE("https://assets.tcgdex.net/de/sv/sv03/198/low.jpg", 1)</f>
        <v/>
      </c>
      <c r="H160" s="22"/>
      <c r="I160" s="20"/>
      <c r="J160" s="21" t="str">
        <f>IMAGE("https://assets.tcgdex.net/de/sv/sv03/199/low.jpg", 1)</f>
        <v/>
      </c>
      <c r="K160" s="22"/>
      <c r="L160" s="20"/>
      <c r="M160" s="21" t="str">
        <f>IMAGE("https://assets.tcgdex.net/de/sv/sv03/200/low.jpg", 1)</f>
        <v/>
      </c>
      <c r="N160" s="22"/>
      <c r="O160" s="20"/>
    </row>
    <row r="161" ht="22.5" customHeight="1">
      <c r="A161" s="23" t="b">
        <v>0</v>
      </c>
      <c r="B161" s="24" t="b">
        <v>0</v>
      </c>
      <c r="C161" s="25" t="str">
        <f>HYPERLINK("https://www.cardmarket.com/en/Pokemon/Products/Singles?idCategory=1&amp;idProduct=sv3-196", "CM")</f>
        <v>CM</v>
      </c>
      <c r="D161" s="23" t="b">
        <v>0</v>
      </c>
      <c r="E161" s="24" t="b">
        <v>0</v>
      </c>
      <c r="F161" s="25" t="str">
        <f>HYPERLINK("https://www.cardmarket.com/en/Pokemon/Products/Singles?idCategory=1&amp;idProduct=sv3-197", "CM")</f>
        <v>CM</v>
      </c>
      <c r="G161" s="23" t="b">
        <v>0</v>
      </c>
      <c r="H161" s="24" t="b">
        <v>0</v>
      </c>
      <c r="I161" s="25" t="str">
        <f>HYPERLINK("https://www.cardmarket.com/en/Pokemon/Products/Singles?idCategory=1&amp;idProduct=sv3-198", "CM")</f>
        <v>CM</v>
      </c>
      <c r="J161" s="23" t="b">
        <v>0</v>
      </c>
      <c r="K161" s="24" t="b">
        <v>0</v>
      </c>
      <c r="L161" s="25" t="str">
        <f>HYPERLINK("https://www.cardmarket.com/en/Pokemon/Products/Singles?idCategory=1&amp;idProduct=sv3-199", "CM")</f>
        <v>CM</v>
      </c>
      <c r="M161" s="23" t="b">
        <v>0</v>
      </c>
      <c r="N161" s="24" t="b">
        <v>0</v>
      </c>
      <c r="O161" s="25" t="str">
        <f>HYPERLINK("https://www.cardmarket.com/en/Pokemon/Products/Singles?idCategory=1&amp;idProduct=sv3-200", "CM")</f>
        <v>CM</v>
      </c>
    </row>
    <row r="162" ht="7.5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</row>
    <row r="163" ht="18.75" customHeight="1">
      <c r="A163" s="18" t="s">
        <v>726</v>
      </c>
      <c r="B163" s="19" t="s">
        <v>628</v>
      </c>
      <c r="C163" s="20"/>
      <c r="D163" s="18" t="s">
        <v>728</v>
      </c>
      <c r="E163" s="19" t="s">
        <v>570</v>
      </c>
      <c r="F163" s="20"/>
      <c r="G163" s="18" t="s">
        <v>730</v>
      </c>
      <c r="H163" s="19" t="s">
        <v>1419</v>
      </c>
      <c r="I163" s="20"/>
      <c r="J163" s="18" t="s">
        <v>1241</v>
      </c>
      <c r="K163" s="19" t="s">
        <v>1254</v>
      </c>
      <c r="L163" s="20"/>
      <c r="M163" s="18" t="s">
        <v>1319</v>
      </c>
      <c r="N163" s="19" t="s">
        <v>936</v>
      </c>
      <c r="O163" s="20"/>
    </row>
    <row r="164" ht="180.0" customHeight="1">
      <c r="A164" s="21" t="str">
        <f>IMAGE("https://assets.tcgdex.net/de/sv/sv03/201/low.jpg", 1)</f>
        <v/>
      </c>
      <c r="B164" s="22"/>
      <c r="C164" s="20"/>
      <c r="D164" s="21" t="str">
        <f>IMAGE("https://assets.tcgdex.net/de/sv/sv03/202/low.jpg", 1)</f>
        <v/>
      </c>
      <c r="E164" s="22"/>
      <c r="F164" s="20"/>
      <c r="G164" s="21" t="str">
        <f>IMAGE("https://assets.tcgdex.net/de/sv/sv03/203/low.jpg", 1)</f>
        <v/>
      </c>
      <c r="H164" s="22"/>
      <c r="I164" s="20"/>
      <c r="J164" s="21" t="str">
        <f>IMAGE("https://assets.tcgdex.net/de/sv/sv03/204/low.jpg", 1)</f>
        <v/>
      </c>
      <c r="K164" s="22"/>
      <c r="L164" s="20"/>
      <c r="M164" s="21" t="str">
        <f>IMAGE("https://assets.tcgdex.net/de/sv/sv03/205/low.jpg", 1)</f>
        <v/>
      </c>
      <c r="N164" s="22"/>
      <c r="O164" s="20"/>
    </row>
    <row r="165" ht="22.5" customHeight="1">
      <c r="A165" s="23" t="b">
        <v>0</v>
      </c>
      <c r="B165" s="24" t="b">
        <v>0</v>
      </c>
      <c r="C165" s="25" t="str">
        <f>HYPERLINK("https://www.cardmarket.com/en/Pokemon/Products/Singles?idCategory=1&amp;idProduct=sv3-201", "CM")</f>
        <v>CM</v>
      </c>
      <c r="D165" s="23" t="b">
        <v>0</v>
      </c>
      <c r="E165" s="24" t="b">
        <v>0</v>
      </c>
      <c r="F165" s="25" t="str">
        <f>HYPERLINK("https://www.cardmarket.com/en/Pokemon/Products/Singles?idCategory=1&amp;idProduct=sv3-202", "CM")</f>
        <v>CM</v>
      </c>
      <c r="G165" s="23" t="b">
        <v>0</v>
      </c>
      <c r="H165" s="24" t="b">
        <v>0</v>
      </c>
      <c r="I165" s="25" t="str">
        <f>HYPERLINK("https://www.cardmarket.com/en/Pokemon/Products/Singles?idCategory=1&amp;idProduct=sv3-203", "CM")</f>
        <v>CM</v>
      </c>
      <c r="J165" s="23" t="b">
        <v>0</v>
      </c>
      <c r="K165" s="24" t="b">
        <v>0</v>
      </c>
      <c r="L165" s="25" t="str">
        <f>HYPERLINK("https://www.cardmarket.com/en/Pokemon/Products/Singles?idCategory=1&amp;idProduct=sv3-204", "CM")</f>
        <v>CM</v>
      </c>
      <c r="M165" s="23" t="b">
        <v>0</v>
      </c>
      <c r="N165" s="24" t="b">
        <v>0</v>
      </c>
      <c r="O165" s="25" t="str">
        <f>HYPERLINK("https://www.cardmarket.com/en/Pokemon/Products/Singles?idCategory=1&amp;idProduct=sv3-205", "CM")</f>
        <v>CM</v>
      </c>
    </row>
    <row r="166" ht="7.5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</row>
    <row r="167" ht="18.75" customHeight="1">
      <c r="A167" s="18" t="s">
        <v>732</v>
      </c>
      <c r="B167" s="19" t="s">
        <v>761</v>
      </c>
      <c r="C167" s="20"/>
      <c r="D167" s="18" t="s">
        <v>734</v>
      </c>
      <c r="E167" s="19" t="s">
        <v>1449</v>
      </c>
      <c r="F167" s="20"/>
      <c r="G167" s="18" t="s">
        <v>1183</v>
      </c>
      <c r="H167" s="19" t="s">
        <v>1450</v>
      </c>
      <c r="I167" s="20"/>
      <c r="J167" s="18" t="s">
        <v>1320</v>
      </c>
      <c r="K167" s="19" t="s">
        <v>1228</v>
      </c>
      <c r="L167" s="20"/>
      <c r="M167" s="18" t="s">
        <v>1184</v>
      </c>
      <c r="N167" s="19" t="s">
        <v>1388</v>
      </c>
      <c r="O167" s="20"/>
    </row>
    <row r="168" ht="180.0" customHeight="1">
      <c r="A168" s="21" t="str">
        <f>IMAGE("https://assets.tcgdex.net/de/sv/sv03/206/low.jpg", 1)</f>
        <v/>
      </c>
      <c r="B168" s="22"/>
      <c r="C168" s="20"/>
      <c r="D168" s="21" t="str">
        <f>IMAGE("https://assets.tcgdex.net/de/sv/sv03/207/low.jpg", 1)</f>
        <v/>
      </c>
      <c r="E168" s="22"/>
      <c r="F168" s="20"/>
      <c r="G168" s="21" t="str">
        <f>IMAGE("https://assets.tcgdex.net/de/sv/sv03/208/low.jpg", 1)</f>
        <v/>
      </c>
      <c r="H168" s="22"/>
      <c r="I168" s="20"/>
      <c r="J168" s="21" t="str">
        <f>IMAGE("https://assets.tcgdex.net/de/sv/sv03/209/low.jpg", 1)</f>
        <v/>
      </c>
      <c r="K168" s="22"/>
      <c r="L168" s="20"/>
      <c r="M168" s="21" t="str">
        <f>IMAGE("https://assets.tcgdex.net/de/sv/sv03/210/low.jpg", 1)</f>
        <v/>
      </c>
      <c r="N168" s="22"/>
      <c r="O168" s="20"/>
    </row>
    <row r="169" ht="22.5" customHeight="1">
      <c r="A169" s="23" t="b">
        <v>0</v>
      </c>
      <c r="B169" s="24" t="b">
        <v>0</v>
      </c>
      <c r="C169" s="25" t="str">
        <f>HYPERLINK("https://www.cardmarket.com/en/Pokemon/Products/Singles?idCategory=1&amp;idProduct=sv3-206", "CM")</f>
        <v>CM</v>
      </c>
      <c r="D169" s="23" t="b">
        <v>0</v>
      </c>
      <c r="E169" s="24" t="b">
        <v>0</v>
      </c>
      <c r="F169" s="25" t="str">
        <f>HYPERLINK("https://www.cardmarket.com/en/Pokemon/Products/Singles?idCategory=1&amp;idProduct=sv3-207", "CM")</f>
        <v>CM</v>
      </c>
      <c r="G169" s="23" t="b">
        <v>0</v>
      </c>
      <c r="H169" s="24" t="b">
        <v>0</v>
      </c>
      <c r="I169" s="25" t="str">
        <f>HYPERLINK("https://www.cardmarket.com/en/Pokemon/Products/Singles?idCategory=1&amp;idProduct=sv3-208", "CM")</f>
        <v>CM</v>
      </c>
      <c r="J169" s="23" t="b">
        <v>0</v>
      </c>
      <c r="K169" s="24" t="b">
        <v>0</v>
      </c>
      <c r="L169" s="25" t="str">
        <f>HYPERLINK("https://www.cardmarket.com/en/Pokemon/Products/Singles?idCategory=1&amp;idProduct=sv3-209", "CM")</f>
        <v>CM</v>
      </c>
      <c r="M169" s="23" t="b">
        <v>0</v>
      </c>
      <c r="N169" s="24" t="b">
        <v>0</v>
      </c>
      <c r="O169" s="25" t="str">
        <f>HYPERLINK("https://www.cardmarket.com/en/Pokemon/Products/Singles?idCategory=1&amp;idProduct=sv3-210", "CM")</f>
        <v>CM</v>
      </c>
    </row>
    <row r="170" ht="7.5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</row>
    <row r="171" ht="18.75" customHeight="1">
      <c r="A171" s="18" t="s">
        <v>1321</v>
      </c>
      <c r="B171" s="19" t="s">
        <v>1399</v>
      </c>
      <c r="C171" s="20"/>
      <c r="D171" s="18" t="s">
        <v>1322</v>
      </c>
      <c r="E171" s="19" t="s">
        <v>1415</v>
      </c>
      <c r="F171" s="20"/>
      <c r="G171" s="18" t="s">
        <v>1323</v>
      </c>
      <c r="H171" s="19" t="s">
        <v>1430</v>
      </c>
      <c r="I171" s="20"/>
      <c r="J171" s="18" t="s">
        <v>1186</v>
      </c>
      <c r="K171" s="19" t="s">
        <v>1433</v>
      </c>
      <c r="L171" s="20"/>
      <c r="M171" s="18" t="s">
        <v>1324</v>
      </c>
      <c r="N171" s="19" t="s">
        <v>783</v>
      </c>
      <c r="O171" s="20"/>
    </row>
    <row r="172" ht="180.0" customHeight="1">
      <c r="A172" s="21" t="str">
        <f>IMAGE("https://assets.tcgdex.net/de/sv/sv03/211/low.jpg", 1)</f>
        <v/>
      </c>
      <c r="B172" s="22"/>
      <c r="C172" s="20"/>
      <c r="D172" s="21" t="str">
        <f>IMAGE("https://assets.tcgdex.net/de/sv/sv03/212/low.jpg", 1)</f>
        <v/>
      </c>
      <c r="E172" s="22"/>
      <c r="F172" s="20"/>
      <c r="G172" s="21" t="str">
        <f>IMAGE("https://assets.tcgdex.net/de/sv/sv03/213/low.jpg", 1)</f>
        <v/>
      </c>
      <c r="H172" s="22"/>
      <c r="I172" s="20"/>
      <c r="J172" s="21" t="str">
        <f>IMAGE("https://assets.tcgdex.net/de/sv/sv03/214/low.jpg", 1)</f>
        <v/>
      </c>
      <c r="K172" s="22"/>
      <c r="L172" s="20"/>
      <c r="M172" s="21" t="str">
        <f>IMAGE("https://assets.tcgdex.net/de/sv/sv03/215/low.jpg", 1)</f>
        <v/>
      </c>
      <c r="N172" s="22"/>
      <c r="O172" s="20"/>
    </row>
    <row r="173" ht="22.5" customHeight="1">
      <c r="A173" s="23" t="b">
        <v>0</v>
      </c>
      <c r="B173" s="24" t="b">
        <v>0</v>
      </c>
      <c r="C173" s="25" t="str">
        <f>HYPERLINK("https://www.cardmarket.com/en/Pokemon/Products/Singles?idCategory=1&amp;idProduct=sv3-211", "CM")</f>
        <v>CM</v>
      </c>
      <c r="D173" s="23" t="b">
        <v>0</v>
      </c>
      <c r="E173" s="24" t="b">
        <v>0</v>
      </c>
      <c r="F173" s="25" t="str">
        <f>HYPERLINK("https://www.cardmarket.com/en/Pokemon/Products/Singles?idCategory=1&amp;idProduct=sv3-212", "CM")</f>
        <v>CM</v>
      </c>
      <c r="G173" s="23" t="b">
        <v>0</v>
      </c>
      <c r="H173" s="24" t="b">
        <v>0</v>
      </c>
      <c r="I173" s="25" t="str">
        <f>HYPERLINK("https://www.cardmarket.com/en/Pokemon/Products/Singles?idCategory=1&amp;idProduct=sv3-213", "CM")</f>
        <v>CM</v>
      </c>
      <c r="J173" s="23" t="b">
        <v>0</v>
      </c>
      <c r="K173" s="24" t="b">
        <v>0</v>
      </c>
      <c r="L173" s="25" t="str">
        <f>HYPERLINK("https://www.cardmarket.com/en/Pokemon/Products/Singles?idCategory=1&amp;idProduct=sv3-214", "CM")</f>
        <v>CM</v>
      </c>
      <c r="M173" s="23" t="b">
        <v>0</v>
      </c>
      <c r="N173" s="24" t="b">
        <v>0</v>
      </c>
      <c r="O173" s="25" t="str">
        <f>HYPERLINK("https://www.cardmarket.com/en/Pokemon/Products/Singles?idCategory=1&amp;idProduct=sv3-215", "CM")</f>
        <v>CM</v>
      </c>
    </row>
    <row r="174" ht="7.5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</row>
    <row r="175" ht="18.75" customHeight="1">
      <c r="A175" s="18" t="s">
        <v>1325</v>
      </c>
      <c r="B175" s="19" t="s">
        <v>1444</v>
      </c>
      <c r="C175" s="20"/>
      <c r="D175" s="18" t="s">
        <v>1326</v>
      </c>
      <c r="E175" s="19" t="s">
        <v>1451</v>
      </c>
      <c r="F175" s="20"/>
      <c r="G175" s="18" t="s">
        <v>1327</v>
      </c>
      <c r="H175" s="19" t="s">
        <v>1463</v>
      </c>
      <c r="I175" s="20"/>
      <c r="J175" s="18" t="s">
        <v>1328</v>
      </c>
      <c r="K175" s="19" t="s">
        <v>1465</v>
      </c>
      <c r="L175" s="20"/>
      <c r="M175" s="18" t="s">
        <v>1329</v>
      </c>
      <c r="N175" s="19" t="s">
        <v>1468</v>
      </c>
      <c r="O175" s="20"/>
    </row>
    <row r="176" ht="180.0" customHeight="1">
      <c r="A176" s="21" t="str">
        <f>IMAGE("https://assets.tcgdex.net/de/sv/sv03/216/low.jpg", 1)</f>
        <v/>
      </c>
      <c r="B176" s="22"/>
      <c r="C176" s="20"/>
      <c r="D176" s="21" t="str">
        <f>IMAGE("https://assets.tcgdex.net/de/sv/sv03/217/low.jpg", 1)</f>
        <v/>
      </c>
      <c r="E176" s="22"/>
      <c r="F176" s="20"/>
      <c r="G176" s="21" t="str">
        <f>IMAGE("https://assets.tcgdex.net/de/sv/sv03/218/low.jpg", 1)</f>
        <v/>
      </c>
      <c r="H176" s="22"/>
      <c r="I176" s="20"/>
      <c r="J176" s="21" t="str">
        <f>IMAGE("https://assets.tcgdex.net/de/sv/sv03/219/low.jpg", 1)</f>
        <v/>
      </c>
      <c r="K176" s="22"/>
      <c r="L176" s="20"/>
      <c r="M176" s="21" t="str">
        <f>IMAGE("https://assets.tcgdex.net/de/sv/sv03/220/low.jpg", 1)</f>
        <v/>
      </c>
      <c r="N176" s="22"/>
      <c r="O176" s="20"/>
    </row>
    <row r="177" ht="22.5" customHeight="1">
      <c r="A177" s="23" t="b">
        <v>0</v>
      </c>
      <c r="B177" s="24" t="b">
        <v>0</v>
      </c>
      <c r="C177" s="25" t="str">
        <f>HYPERLINK("https://www.cardmarket.com/en/Pokemon/Products/Singles?idCategory=1&amp;idProduct=sv3-216", "CM")</f>
        <v>CM</v>
      </c>
      <c r="D177" s="23" t="b">
        <v>0</v>
      </c>
      <c r="E177" s="24" t="b">
        <v>0</v>
      </c>
      <c r="F177" s="25" t="str">
        <f>HYPERLINK("https://www.cardmarket.com/en/Pokemon/Products/Singles?idCategory=1&amp;idProduct=sv3-217", "CM")</f>
        <v>CM</v>
      </c>
      <c r="G177" s="23" t="b">
        <v>0</v>
      </c>
      <c r="H177" s="24" t="b">
        <v>0</v>
      </c>
      <c r="I177" s="25" t="str">
        <f>HYPERLINK("https://www.cardmarket.com/en/Pokemon/Products/Singles?idCategory=1&amp;idProduct=sv3-218", "CM")</f>
        <v>CM</v>
      </c>
      <c r="J177" s="23" t="b">
        <v>0</v>
      </c>
      <c r="K177" s="24" t="b">
        <v>0</v>
      </c>
      <c r="L177" s="25" t="str">
        <f>HYPERLINK("https://www.cardmarket.com/en/Pokemon/Products/Singles?idCategory=1&amp;idProduct=sv3-219", "CM")</f>
        <v>CM</v>
      </c>
      <c r="M177" s="23" t="b">
        <v>0</v>
      </c>
      <c r="N177" s="24" t="b">
        <v>0</v>
      </c>
      <c r="O177" s="25" t="str">
        <f>HYPERLINK("https://www.cardmarket.com/en/Pokemon/Products/Singles?idCategory=1&amp;idProduct=sv3-220", "CM")</f>
        <v>CM</v>
      </c>
    </row>
    <row r="178" ht="7.5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</row>
    <row r="179" ht="18.75" customHeight="1">
      <c r="A179" s="18" t="s">
        <v>1330</v>
      </c>
      <c r="B179" s="19" t="s">
        <v>1469</v>
      </c>
      <c r="C179" s="20"/>
      <c r="D179" s="18" t="s">
        <v>1187</v>
      </c>
      <c r="E179" s="19" t="s">
        <v>1388</v>
      </c>
      <c r="F179" s="20"/>
      <c r="G179" s="18" t="s">
        <v>1331</v>
      </c>
      <c r="H179" s="19" t="s">
        <v>783</v>
      </c>
      <c r="I179" s="20"/>
      <c r="J179" s="18" t="s">
        <v>1332</v>
      </c>
      <c r="K179" s="19" t="s">
        <v>1444</v>
      </c>
      <c r="L179" s="20"/>
      <c r="M179" s="18" t="s">
        <v>1333</v>
      </c>
      <c r="N179" s="19" t="s">
        <v>1451</v>
      </c>
      <c r="O179" s="20"/>
    </row>
    <row r="180" ht="180.0" customHeight="1">
      <c r="A180" s="21" t="str">
        <f>IMAGE("https://assets.tcgdex.net/de/sv/sv03/221/low.jpg", 1)</f>
        <v/>
      </c>
      <c r="B180" s="22"/>
      <c r="C180" s="20"/>
      <c r="D180" s="21" t="str">
        <f>IMAGE("https://assets.tcgdex.net/de/sv/sv03/222/low.jpg", 1)</f>
        <v/>
      </c>
      <c r="E180" s="22"/>
      <c r="F180" s="20"/>
      <c r="G180" s="21" t="str">
        <f>IMAGE("https://assets.tcgdex.net/de/sv/sv03/223/low.jpg", 1)</f>
        <v/>
      </c>
      <c r="H180" s="22"/>
      <c r="I180" s="20"/>
      <c r="J180" s="21" t="str">
        <f>IMAGE("https://assets.tcgdex.net/de/sv/sv03/224/low.jpg", 1)</f>
        <v/>
      </c>
      <c r="K180" s="22"/>
      <c r="L180" s="20"/>
      <c r="M180" s="21" t="str">
        <f>IMAGE("https://assets.tcgdex.net/de/sv/sv03/225/low.jpg", 1)</f>
        <v/>
      </c>
      <c r="N180" s="22"/>
      <c r="O180" s="20"/>
    </row>
    <row r="181" ht="22.5" customHeight="1">
      <c r="A181" s="23" t="b">
        <v>0</v>
      </c>
      <c r="B181" s="24" t="b">
        <v>0</v>
      </c>
      <c r="C181" s="25" t="str">
        <f>HYPERLINK("https://www.cardmarket.com/en/Pokemon/Products/Singles?idCategory=1&amp;idProduct=sv3-221", "CM")</f>
        <v>CM</v>
      </c>
      <c r="D181" s="23" t="b">
        <v>0</v>
      </c>
      <c r="E181" s="24" t="b">
        <v>0</v>
      </c>
      <c r="F181" s="25" t="str">
        <f>HYPERLINK("https://www.cardmarket.com/en/Pokemon/Products/Singles?idCategory=1&amp;idProduct=sv3-222", "CM")</f>
        <v>CM</v>
      </c>
      <c r="G181" s="23" t="b">
        <v>0</v>
      </c>
      <c r="H181" s="24" t="b">
        <v>0</v>
      </c>
      <c r="I181" s="25" t="str">
        <f>HYPERLINK("https://www.cardmarket.com/en/Pokemon/Products/Singles?idCategory=1&amp;idProduct=sv3-223", "CM")</f>
        <v>CM</v>
      </c>
      <c r="J181" s="23" t="b">
        <v>0</v>
      </c>
      <c r="K181" s="24" t="b">
        <v>0</v>
      </c>
      <c r="L181" s="25" t="str">
        <f>HYPERLINK("https://www.cardmarket.com/en/Pokemon/Products/Singles?idCategory=1&amp;idProduct=sv3-224", "CM")</f>
        <v>CM</v>
      </c>
      <c r="M181" s="23" t="b">
        <v>0</v>
      </c>
      <c r="N181" s="24" t="b">
        <v>0</v>
      </c>
      <c r="O181" s="25" t="str">
        <f>HYPERLINK("https://www.cardmarket.com/en/Pokemon/Products/Singles?idCategory=1&amp;idProduct=sv3-225", "CM")</f>
        <v>CM</v>
      </c>
    </row>
    <row r="182" ht="7.5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</row>
    <row r="183" ht="18.75" customHeight="1">
      <c r="A183" s="18" t="s">
        <v>1189</v>
      </c>
      <c r="B183" s="19" t="s">
        <v>1463</v>
      </c>
      <c r="C183" s="20"/>
      <c r="D183" s="18" t="s">
        <v>1334</v>
      </c>
      <c r="E183" s="19" t="s">
        <v>1468</v>
      </c>
      <c r="F183" s="20"/>
      <c r="G183" s="18" t="s">
        <v>1335</v>
      </c>
      <c r="H183" s="19" t="s">
        <v>783</v>
      </c>
      <c r="I183" s="20"/>
      <c r="J183" s="18" t="s">
        <v>1191</v>
      </c>
      <c r="K183" s="19" t="s">
        <v>1472</v>
      </c>
      <c r="L183" s="20"/>
      <c r="M183" s="18" t="s">
        <v>1336</v>
      </c>
      <c r="N183" s="19" t="s">
        <v>1473</v>
      </c>
      <c r="O183" s="20"/>
    </row>
    <row r="184" ht="180.0" customHeight="1">
      <c r="A184" s="21" t="str">
        <f>IMAGE("https://assets.tcgdex.net/de/sv/sv03/226/low.jpg", 1)</f>
        <v/>
      </c>
      <c r="B184" s="22"/>
      <c r="C184" s="20"/>
      <c r="D184" s="21" t="str">
        <f>IMAGE("https://assets.tcgdex.net/de/sv/sv03/227/low.jpg", 1)</f>
        <v/>
      </c>
      <c r="E184" s="22"/>
      <c r="F184" s="20"/>
      <c r="G184" s="21" t="str">
        <f>IMAGE("https://assets.tcgdex.net/de/sv/sv03/228/low.jpg", 1)</f>
        <v/>
      </c>
      <c r="H184" s="22"/>
      <c r="I184" s="20"/>
      <c r="J184" s="21" t="str">
        <f>IMAGE("https://assets.tcgdex.net/de/sv/sv03/229/low.jpg", 1)</f>
        <v/>
      </c>
      <c r="K184" s="22"/>
      <c r="L184" s="20"/>
      <c r="M184" s="21" t="str">
        <f>IMAGE("https://assets.tcgdex.net/de/sv/sv03/230/low.jpg", 1)</f>
        <v/>
      </c>
      <c r="N184" s="22"/>
      <c r="O184" s="20"/>
    </row>
    <row r="185" ht="22.5" customHeight="1">
      <c r="A185" s="23" t="b">
        <v>0</v>
      </c>
      <c r="B185" s="24" t="b">
        <v>0</v>
      </c>
      <c r="C185" s="25" t="str">
        <f>HYPERLINK("https://www.cardmarket.com/en/Pokemon/Products/Singles?idCategory=1&amp;idProduct=sv3-226", "CM")</f>
        <v>CM</v>
      </c>
      <c r="D185" s="23" t="b">
        <v>0</v>
      </c>
      <c r="E185" s="24" t="b">
        <v>0</v>
      </c>
      <c r="F185" s="25" t="str">
        <f>HYPERLINK("https://www.cardmarket.com/en/Pokemon/Products/Singles?idCategory=1&amp;idProduct=sv3-227", "CM")</f>
        <v>CM</v>
      </c>
      <c r="G185" s="23" t="b">
        <v>0</v>
      </c>
      <c r="H185" s="24" t="b">
        <v>0</v>
      </c>
      <c r="I185" s="25" t="str">
        <f>HYPERLINK("https://www.cardmarket.com/en/Pokemon/Products/Singles?idCategory=1&amp;idProduct=sv3-228", "CM")</f>
        <v>CM</v>
      </c>
      <c r="J185" s="23" t="b">
        <v>0</v>
      </c>
      <c r="K185" s="24" t="b">
        <v>0</v>
      </c>
      <c r="L185" s="25" t="str">
        <f>HYPERLINK("https://www.cardmarket.com/en/Pokemon/Products/Singles?idCategory=1&amp;idProduct=sv3-229", "CM")</f>
        <v>CM</v>
      </c>
      <c r="M185" s="23" t="b">
        <v>0</v>
      </c>
      <c r="N185" s="24" t="b">
        <v>0</v>
      </c>
      <c r="O185" s="25" t="str">
        <f>HYPERLINK("https://www.cardmarket.com/en/Pokemon/Products/Singles?idCategory=1&amp;idProduct=sv3-230", "CM")</f>
        <v>CM</v>
      </c>
    </row>
    <row r="186" ht="7.5" customHeigh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</row>
  </sheetData>
  <mergeCells count="462">
    <mergeCell ref="H3:I3"/>
    <mergeCell ref="K3:L3"/>
    <mergeCell ref="J4:L4"/>
    <mergeCell ref="N3:O3"/>
    <mergeCell ref="M4:O4"/>
    <mergeCell ref="A1:N1"/>
    <mergeCell ref="A2:O2"/>
    <mergeCell ref="B3:C3"/>
    <mergeCell ref="A4:C4"/>
    <mergeCell ref="E3:F3"/>
    <mergeCell ref="D4:F4"/>
    <mergeCell ref="G4:I4"/>
    <mergeCell ref="K7:L7"/>
    <mergeCell ref="N7:O7"/>
    <mergeCell ref="M8:O8"/>
    <mergeCell ref="B7:C7"/>
    <mergeCell ref="A8:C8"/>
    <mergeCell ref="E7:F7"/>
    <mergeCell ref="D8:F8"/>
    <mergeCell ref="H7:I7"/>
    <mergeCell ref="G8:I8"/>
    <mergeCell ref="J8:L8"/>
    <mergeCell ref="K11:L11"/>
    <mergeCell ref="N11:O11"/>
    <mergeCell ref="M12:O12"/>
    <mergeCell ref="B11:C11"/>
    <mergeCell ref="A12:C12"/>
    <mergeCell ref="E11:F11"/>
    <mergeCell ref="D12:F12"/>
    <mergeCell ref="H11:I11"/>
    <mergeCell ref="G12:I12"/>
    <mergeCell ref="J12:L12"/>
    <mergeCell ref="K27:L27"/>
    <mergeCell ref="N27:O27"/>
    <mergeCell ref="M28:O28"/>
    <mergeCell ref="B27:C27"/>
    <mergeCell ref="A28:C28"/>
    <mergeCell ref="E27:F27"/>
    <mergeCell ref="D28:F28"/>
    <mergeCell ref="H27:I27"/>
    <mergeCell ref="G28:I28"/>
    <mergeCell ref="J28:L28"/>
    <mergeCell ref="K31:L31"/>
    <mergeCell ref="N31:O31"/>
    <mergeCell ref="M32:O32"/>
    <mergeCell ref="B31:C31"/>
    <mergeCell ref="A32:C32"/>
    <mergeCell ref="E31:F31"/>
    <mergeCell ref="D32:F32"/>
    <mergeCell ref="H31:I31"/>
    <mergeCell ref="G32:I32"/>
    <mergeCell ref="J32:L32"/>
    <mergeCell ref="K35:L35"/>
    <mergeCell ref="N35:O35"/>
    <mergeCell ref="M36:O36"/>
    <mergeCell ref="B35:C35"/>
    <mergeCell ref="A36:C36"/>
    <mergeCell ref="E35:F35"/>
    <mergeCell ref="D36:F36"/>
    <mergeCell ref="H35:I35"/>
    <mergeCell ref="G36:I36"/>
    <mergeCell ref="J36:L36"/>
    <mergeCell ref="K39:L39"/>
    <mergeCell ref="N39:O39"/>
    <mergeCell ref="M40:O40"/>
    <mergeCell ref="B39:C39"/>
    <mergeCell ref="A40:C40"/>
    <mergeCell ref="E39:F39"/>
    <mergeCell ref="D40:F40"/>
    <mergeCell ref="H39:I39"/>
    <mergeCell ref="G40:I40"/>
    <mergeCell ref="J40:L40"/>
    <mergeCell ref="K43:L43"/>
    <mergeCell ref="N43:O43"/>
    <mergeCell ref="M44:O44"/>
    <mergeCell ref="B43:C43"/>
    <mergeCell ref="A44:C44"/>
    <mergeCell ref="E43:F43"/>
    <mergeCell ref="D44:F44"/>
    <mergeCell ref="H43:I43"/>
    <mergeCell ref="G44:I44"/>
    <mergeCell ref="J44:L44"/>
    <mergeCell ref="K47:L47"/>
    <mergeCell ref="N47:O47"/>
    <mergeCell ref="M48:O48"/>
    <mergeCell ref="B47:C47"/>
    <mergeCell ref="A48:C48"/>
    <mergeCell ref="E47:F47"/>
    <mergeCell ref="D48:F48"/>
    <mergeCell ref="H47:I47"/>
    <mergeCell ref="G48:I48"/>
    <mergeCell ref="J48:L48"/>
    <mergeCell ref="K51:L51"/>
    <mergeCell ref="N51:O51"/>
    <mergeCell ref="M52:O52"/>
    <mergeCell ref="B51:C51"/>
    <mergeCell ref="A52:C52"/>
    <mergeCell ref="E51:F51"/>
    <mergeCell ref="D52:F52"/>
    <mergeCell ref="H51:I51"/>
    <mergeCell ref="G52:I52"/>
    <mergeCell ref="J52:L52"/>
    <mergeCell ref="K55:L55"/>
    <mergeCell ref="N55:O55"/>
    <mergeCell ref="M56:O56"/>
    <mergeCell ref="B55:C55"/>
    <mergeCell ref="A56:C56"/>
    <mergeCell ref="E55:F55"/>
    <mergeCell ref="D56:F56"/>
    <mergeCell ref="H55:I55"/>
    <mergeCell ref="G56:I56"/>
    <mergeCell ref="J56:L56"/>
    <mergeCell ref="K59:L59"/>
    <mergeCell ref="N59:O59"/>
    <mergeCell ref="M60:O60"/>
    <mergeCell ref="B59:C59"/>
    <mergeCell ref="A60:C60"/>
    <mergeCell ref="E59:F59"/>
    <mergeCell ref="D60:F60"/>
    <mergeCell ref="H59:I59"/>
    <mergeCell ref="G60:I60"/>
    <mergeCell ref="J60:L60"/>
    <mergeCell ref="K63:L63"/>
    <mergeCell ref="N63:O63"/>
    <mergeCell ref="M64:O64"/>
    <mergeCell ref="B63:C63"/>
    <mergeCell ref="A64:C64"/>
    <mergeCell ref="E63:F63"/>
    <mergeCell ref="D64:F64"/>
    <mergeCell ref="H63:I63"/>
    <mergeCell ref="G64:I64"/>
    <mergeCell ref="J64:L64"/>
    <mergeCell ref="K67:L67"/>
    <mergeCell ref="N67:O67"/>
    <mergeCell ref="M68:O68"/>
    <mergeCell ref="B67:C67"/>
    <mergeCell ref="A68:C68"/>
    <mergeCell ref="E67:F67"/>
    <mergeCell ref="D68:F68"/>
    <mergeCell ref="H67:I67"/>
    <mergeCell ref="G68:I68"/>
    <mergeCell ref="J68:L68"/>
    <mergeCell ref="K71:L71"/>
    <mergeCell ref="N71:O71"/>
    <mergeCell ref="M72:O72"/>
    <mergeCell ref="B71:C71"/>
    <mergeCell ref="A72:C72"/>
    <mergeCell ref="E71:F71"/>
    <mergeCell ref="D72:F72"/>
    <mergeCell ref="H71:I71"/>
    <mergeCell ref="G72:I72"/>
    <mergeCell ref="J72:L72"/>
    <mergeCell ref="K75:L75"/>
    <mergeCell ref="N75:O75"/>
    <mergeCell ref="M76:O76"/>
    <mergeCell ref="B75:C75"/>
    <mergeCell ref="A76:C76"/>
    <mergeCell ref="E75:F75"/>
    <mergeCell ref="D76:F76"/>
    <mergeCell ref="H75:I75"/>
    <mergeCell ref="G76:I76"/>
    <mergeCell ref="J76:L76"/>
    <mergeCell ref="K79:L79"/>
    <mergeCell ref="N79:O79"/>
    <mergeCell ref="M80:O80"/>
    <mergeCell ref="B79:C79"/>
    <mergeCell ref="A80:C80"/>
    <mergeCell ref="E79:F79"/>
    <mergeCell ref="D80:F80"/>
    <mergeCell ref="H79:I79"/>
    <mergeCell ref="G80:I80"/>
    <mergeCell ref="J80:L80"/>
    <mergeCell ref="K83:L83"/>
    <mergeCell ref="N83:O83"/>
    <mergeCell ref="M84:O84"/>
    <mergeCell ref="B83:C83"/>
    <mergeCell ref="A84:C84"/>
    <mergeCell ref="E83:F83"/>
    <mergeCell ref="D84:F84"/>
    <mergeCell ref="H83:I83"/>
    <mergeCell ref="G84:I84"/>
    <mergeCell ref="J84:L84"/>
    <mergeCell ref="K87:L87"/>
    <mergeCell ref="N87:O87"/>
    <mergeCell ref="M88:O88"/>
    <mergeCell ref="B87:C87"/>
    <mergeCell ref="A88:C88"/>
    <mergeCell ref="E87:F87"/>
    <mergeCell ref="D88:F88"/>
    <mergeCell ref="H87:I87"/>
    <mergeCell ref="G88:I88"/>
    <mergeCell ref="J88:L88"/>
    <mergeCell ref="K91:L91"/>
    <mergeCell ref="N91:O91"/>
    <mergeCell ref="M92:O92"/>
    <mergeCell ref="B91:C91"/>
    <mergeCell ref="A92:C92"/>
    <mergeCell ref="E91:F91"/>
    <mergeCell ref="D92:F92"/>
    <mergeCell ref="H91:I91"/>
    <mergeCell ref="G92:I92"/>
    <mergeCell ref="J92:L92"/>
    <mergeCell ref="K95:L95"/>
    <mergeCell ref="N95:O95"/>
    <mergeCell ref="M96:O96"/>
    <mergeCell ref="B95:C95"/>
    <mergeCell ref="A96:C96"/>
    <mergeCell ref="E95:F95"/>
    <mergeCell ref="D96:F96"/>
    <mergeCell ref="H95:I95"/>
    <mergeCell ref="G96:I96"/>
    <mergeCell ref="J96:L96"/>
    <mergeCell ref="K99:L99"/>
    <mergeCell ref="N99:O99"/>
    <mergeCell ref="M100:O100"/>
    <mergeCell ref="B99:C99"/>
    <mergeCell ref="A100:C100"/>
    <mergeCell ref="E99:F99"/>
    <mergeCell ref="D100:F100"/>
    <mergeCell ref="H99:I99"/>
    <mergeCell ref="G100:I100"/>
    <mergeCell ref="J100:L100"/>
    <mergeCell ref="K103:L103"/>
    <mergeCell ref="N103:O103"/>
    <mergeCell ref="M104:O104"/>
    <mergeCell ref="B103:C103"/>
    <mergeCell ref="A104:C104"/>
    <mergeCell ref="E103:F103"/>
    <mergeCell ref="D104:F104"/>
    <mergeCell ref="H103:I103"/>
    <mergeCell ref="G104:I104"/>
    <mergeCell ref="J104:L104"/>
    <mergeCell ref="K107:L107"/>
    <mergeCell ref="N107:O107"/>
    <mergeCell ref="M108:O108"/>
    <mergeCell ref="B107:C107"/>
    <mergeCell ref="A108:C108"/>
    <mergeCell ref="E107:F107"/>
    <mergeCell ref="D108:F108"/>
    <mergeCell ref="H107:I107"/>
    <mergeCell ref="G108:I108"/>
    <mergeCell ref="J108:L108"/>
    <mergeCell ref="K111:L111"/>
    <mergeCell ref="N111:O111"/>
    <mergeCell ref="M112:O112"/>
    <mergeCell ref="B111:C111"/>
    <mergeCell ref="A112:C112"/>
    <mergeCell ref="E111:F111"/>
    <mergeCell ref="D112:F112"/>
    <mergeCell ref="H111:I111"/>
    <mergeCell ref="G112:I112"/>
    <mergeCell ref="J112:L112"/>
    <mergeCell ref="K115:L115"/>
    <mergeCell ref="N115:O115"/>
    <mergeCell ref="M116:O116"/>
    <mergeCell ref="B115:C115"/>
    <mergeCell ref="A116:C116"/>
    <mergeCell ref="E115:F115"/>
    <mergeCell ref="D116:F116"/>
    <mergeCell ref="H115:I115"/>
    <mergeCell ref="G116:I116"/>
    <mergeCell ref="J116:L116"/>
    <mergeCell ref="K119:L119"/>
    <mergeCell ref="N119:O119"/>
    <mergeCell ref="M120:O120"/>
    <mergeCell ref="B119:C119"/>
    <mergeCell ref="A120:C120"/>
    <mergeCell ref="E119:F119"/>
    <mergeCell ref="D120:F120"/>
    <mergeCell ref="H119:I119"/>
    <mergeCell ref="G120:I120"/>
    <mergeCell ref="J120:L120"/>
    <mergeCell ref="K123:L123"/>
    <mergeCell ref="N123:O123"/>
    <mergeCell ref="M124:O124"/>
    <mergeCell ref="B123:C123"/>
    <mergeCell ref="A124:C124"/>
    <mergeCell ref="E123:F123"/>
    <mergeCell ref="D124:F124"/>
    <mergeCell ref="H123:I123"/>
    <mergeCell ref="G124:I124"/>
    <mergeCell ref="J124:L124"/>
    <mergeCell ref="K127:L127"/>
    <mergeCell ref="N127:O127"/>
    <mergeCell ref="M128:O128"/>
    <mergeCell ref="B127:C127"/>
    <mergeCell ref="A128:C128"/>
    <mergeCell ref="E127:F127"/>
    <mergeCell ref="D128:F128"/>
    <mergeCell ref="H127:I127"/>
    <mergeCell ref="G128:I128"/>
    <mergeCell ref="J128:L128"/>
    <mergeCell ref="K131:L131"/>
    <mergeCell ref="N131:O131"/>
    <mergeCell ref="M132:O132"/>
    <mergeCell ref="B131:C131"/>
    <mergeCell ref="A132:C132"/>
    <mergeCell ref="E131:F131"/>
    <mergeCell ref="D132:F132"/>
    <mergeCell ref="H131:I131"/>
    <mergeCell ref="G132:I132"/>
    <mergeCell ref="J132:L132"/>
    <mergeCell ref="K163:L163"/>
    <mergeCell ref="N163:O163"/>
    <mergeCell ref="M164:O164"/>
    <mergeCell ref="B163:C163"/>
    <mergeCell ref="A164:C164"/>
    <mergeCell ref="E163:F163"/>
    <mergeCell ref="D164:F164"/>
    <mergeCell ref="H163:I163"/>
    <mergeCell ref="G164:I164"/>
    <mergeCell ref="J164:L164"/>
    <mergeCell ref="K167:L167"/>
    <mergeCell ref="N167:O167"/>
    <mergeCell ref="M168:O168"/>
    <mergeCell ref="B167:C167"/>
    <mergeCell ref="A168:C168"/>
    <mergeCell ref="E167:F167"/>
    <mergeCell ref="D168:F168"/>
    <mergeCell ref="H167:I167"/>
    <mergeCell ref="G168:I168"/>
    <mergeCell ref="J168:L168"/>
    <mergeCell ref="K171:L171"/>
    <mergeCell ref="N171:O171"/>
    <mergeCell ref="M172:O172"/>
    <mergeCell ref="B171:C171"/>
    <mergeCell ref="A172:C172"/>
    <mergeCell ref="E171:F171"/>
    <mergeCell ref="D172:F172"/>
    <mergeCell ref="H171:I171"/>
    <mergeCell ref="G172:I172"/>
    <mergeCell ref="J172:L172"/>
    <mergeCell ref="K175:L175"/>
    <mergeCell ref="N175:O175"/>
    <mergeCell ref="M176:O176"/>
    <mergeCell ref="B175:C175"/>
    <mergeCell ref="A176:C176"/>
    <mergeCell ref="E175:F175"/>
    <mergeCell ref="D176:F176"/>
    <mergeCell ref="H175:I175"/>
    <mergeCell ref="G176:I176"/>
    <mergeCell ref="J176:L176"/>
    <mergeCell ref="K179:L179"/>
    <mergeCell ref="N179:O179"/>
    <mergeCell ref="M180:O180"/>
    <mergeCell ref="B179:C179"/>
    <mergeCell ref="A180:C180"/>
    <mergeCell ref="E179:F179"/>
    <mergeCell ref="D180:F180"/>
    <mergeCell ref="H179:I179"/>
    <mergeCell ref="G180:I180"/>
    <mergeCell ref="J180:L180"/>
    <mergeCell ref="K15:L15"/>
    <mergeCell ref="N15:O15"/>
    <mergeCell ref="M16:O16"/>
    <mergeCell ref="B15:C15"/>
    <mergeCell ref="A16:C16"/>
    <mergeCell ref="E15:F15"/>
    <mergeCell ref="D16:F16"/>
    <mergeCell ref="H15:I15"/>
    <mergeCell ref="G16:I16"/>
    <mergeCell ref="J16:L16"/>
    <mergeCell ref="K19:L19"/>
    <mergeCell ref="N19:O19"/>
    <mergeCell ref="M20:O20"/>
    <mergeCell ref="B19:C19"/>
    <mergeCell ref="A20:C20"/>
    <mergeCell ref="E19:F19"/>
    <mergeCell ref="D20:F20"/>
    <mergeCell ref="H19:I19"/>
    <mergeCell ref="G20:I20"/>
    <mergeCell ref="J20:L20"/>
    <mergeCell ref="K23:L23"/>
    <mergeCell ref="N23:O23"/>
    <mergeCell ref="M24:O24"/>
    <mergeCell ref="B23:C23"/>
    <mergeCell ref="A24:C24"/>
    <mergeCell ref="E23:F23"/>
    <mergeCell ref="D24:F24"/>
    <mergeCell ref="H23:I23"/>
    <mergeCell ref="G24:I24"/>
    <mergeCell ref="J24:L24"/>
    <mergeCell ref="K183:L183"/>
    <mergeCell ref="N183:O183"/>
    <mergeCell ref="M184:O184"/>
    <mergeCell ref="B183:C183"/>
    <mergeCell ref="A184:C184"/>
    <mergeCell ref="E183:F183"/>
    <mergeCell ref="D184:F184"/>
    <mergeCell ref="H183:I183"/>
    <mergeCell ref="G184:I184"/>
    <mergeCell ref="J184:L184"/>
    <mergeCell ref="K135:L135"/>
    <mergeCell ref="N135:O135"/>
    <mergeCell ref="M136:O136"/>
    <mergeCell ref="B135:C135"/>
    <mergeCell ref="A136:C136"/>
    <mergeCell ref="E135:F135"/>
    <mergeCell ref="D136:F136"/>
    <mergeCell ref="H135:I135"/>
    <mergeCell ref="G136:I136"/>
    <mergeCell ref="J136:L136"/>
    <mergeCell ref="K139:L139"/>
    <mergeCell ref="N139:O139"/>
    <mergeCell ref="M140:O140"/>
    <mergeCell ref="B139:C139"/>
    <mergeCell ref="A140:C140"/>
    <mergeCell ref="E139:F139"/>
    <mergeCell ref="D140:F140"/>
    <mergeCell ref="H139:I139"/>
    <mergeCell ref="G140:I140"/>
    <mergeCell ref="J140:L140"/>
    <mergeCell ref="K143:L143"/>
    <mergeCell ref="N143:O143"/>
    <mergeCell ref="M144:O144"/>
    <mergeCell ref="B143:C143"/>
    <mergeCell ref="A144:C144"/>
    <mergeCell ref="E143:F143"/>
    <mergeCell ref="D144:F144"/>
    <mergeCell ref="H143:I143"/>
    <mergeCell ref="G144:I144"/>
    <mergeCell ref="J144:L144"/>
    <mergeCell ref="K147:L147"/>
    <mergeCell ref="N147:O147"/>
    <mergeCell ref="M148:O148"/>
    <mergeCell ref="B147:C147"/>
    <mergeCell ref="A148:C148"/>
    <mergeCell ref="E147:F147"/>
    <mergeCell ref="D148:F148"/>
    <mergeCell ref="H147:I147"/>
    <mergeCell ref="G148:I148"/>
    <mergeCell ref="J148:L148"/>
    <mergeCell ref="K151:L151"/>
    <mergeCell ref="N151:O151"/>
    <mergeCell ref="M152:O152"/>
    <mergeCell ref="B151:C151"/>
    <mergeCell ref="A152:C152"/>
    <mergeCell ref="E151:F151"/>
    <mergeCell ref="D152:F152"/>
    <mergeCell ref="H151:I151"/>
    <mergeCell ref="G152:I152"/>
    <mergeCell ref="J152:L152"/>
    <mergeCell ref="K155:L155"/>
    <mergeCell ref="N155:O155"/>
    <mergeCell ref="M156:O156"/>
    <mergeCell ref="B155:C155"/>
    <mergeCell ref="A156:C156"/>
    <mergeCell ref="E155:F155"/>
    <mergeCell ref="D156:F156"/>
    <mergeCell ref="H155:I155"/>
    <mergeCell ref="G156:I156"/>
    <mergeCell ref="J156:L156"/>
    <mergeCell ref="K159:L159"/>
    <mergeCell ref="N159:O159"/>
    <mergeCell ref="M160:O160"/>
    <mergeCell ref="B159:C159"/>
    <mergeCell ref="A160:C160"/>
    <mergeCell ref="E159:F159"/>
    <mergeCell ref="D160:F160"/>
    <mergeCell ref="H159:I159"/>
    <mergeCell ref="G160:I160"/>
    <mergeCell ref="J160:L160"/>
  </mergeCell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.13"/>
    <col customWidth="1" min="3" max="3" width="12.63"/>
    <col customWidth="1" min="4" max="5" width="5.13"/>
    <col customWidth="1" min="6" max="6" width="12.63"/>
    <col customWidth="1" min="7" max="8" width="5.13"/>
    <col customWidth="1" min="9" max="9" width="12.63"/>
    <col customWidth="1" min="10" max="11" width="5.13"/>
    <col customWidth="1" min="12" max="12" width="12.63"/>
    <col customWidth="1" min="13" max="14" width="5.13"/>
    <col customWidth="1" min="15" max="15" width="12.63"/>
  </cols>
  <sheetData>
    <row r="1" ht="18.75" customHeight="1">
      <c r="A1" s="16" t="s">
        <v>1474</v>
      </c>
      <c r="O1" s="17" t="b">
        <v>0</v>
      </c>
    </row>
    <row r="2" ht="18.75" customHeight="1">
      <c r="A2" s="3" t="s">
        <v>1475</v>
      </c>
    </row>
    <row r="3" ht="18.75" customHeight="1">
      <c r="A3" s="18" t="s">
        <v>736</v>
      </c>
      <c r="B3" s="19" t="s">
        <v>768</v>
      </c>
      <c r="C3" s="20"/>
      <c r="D3" s="18" t="s">
        <v>738</v>
      </c>
      <c r="E3" s="19" t="s">
        <v>1476</v>
      </c>
      <c r="F3" s="20"/>
      <c r="G3" s="18" t="s">
        <v>739</v>
      </c>
      <c r="H3" s="19" t="s">
        <v>1477</v>
      </c>
      <c r="I3" s="20"/>
      <c r="J3" s="18" t="s">
        <v>740</v>
      </c>
      <c r="K3" s="19" t="s">
        <v>766</v>
      </c>
      <c r="L3" s="20"/>
      <c r="M3" s="18" t="s">
        <v>742</v>
      </c>
      <c r="N3" s="19" t="s">
        <v>1377</v>
      </c>
      <c r="O3" s="20"/>
    </row>
    <row r="4" ht="180.0" customHeight="1">
      <c r="A4" s="21" t="str">
        <f>IMAGE("https://assets.tcgdex.net/de/sv/sv03.5/001/low.jpg", 1)</f>
        <v/>
      </c>
      <c r="B4" s="22"/>
      <c r="C4" s="20"/>
      <c r="D4" s="21" t="str">
        <f>IMAGE("https://assets.tcgdex.net/de/sv/sv03.5/002/low.jpg", 1)</f>
        <v/>
      </c>
      <c r="E4" s="22"/>
      <c r="F4" s="20"/>
      <c r="G4" s="21" t="str">
        <f>IMAGE("https://assets.tcgdex.net/de/sv/sv03.5/003/low.jpg", 1)</f>
        <v/>
      </c>
      <c r="H4" s="22"/>
      <c r="I4" s="20"/>
      <c r="J4" s="21" t="str">
        <f>IMAGE("https://assets.tcgdex.net/de/sv/sv03.5/004/low.jpg", 1)</f>
        <v/>
      </c>
      <c r="K4" s="22"/>
      <c r="L4" s="20"/>
      <c r="M4" s="21" t="str">
        <f>IMAGE("https://assets.tcgdex.net/de/sv/sv03.5/005/low.jpg", 1)</f>
        <v/>
      </c>
      <c r="N4" s="22"/>
      <c r="O4" s="20"/>
    </row>
    <row r="5" ht="22.5" customHeight="1">
      <c r="A5" s="23" t="b">
        <v>0</v>
      </c>
      <c r="B5" s="24" t="b">
        <v>0</v>
      </c>
      <c r="C5" s="25" t="str">
        <f>HYPERLINK("https://www.cardmarket.com/en/Pokemon/Products/Singles?idCategory=1&amp;idProduct=sv3pt5-1", "CM")</f>
        <v>CM</v>
      </c>
      <c r="D5" s="23" t="b">
        <v>0</v>
      </c>
      <c r="E5" s="24" t="b">
        <v>0</v>
      </c>
      <c r="F5" s="25" t="str">
        <f>HYPERLINK("https://www.cardmarket.com/en/Pokemon/Products/Singles?idCategory=1&amp;idProduct=sv3pt5-2", "CM")</f>
        <v>CM</v>
      </c>
      <c r="G5" s="23" t="b">
        <v>0</v>
      </c>
      <c r="H5" s="24" t="b">
        <v>0</v>
      </c>
      <c r="I5" s="25" t="str">
        <f>HYPERLINK("https://www.cardmarket.com/en/Pokemon/Products/Singles?idCategory=1&amp;idProduct=sv3pt5-3", "CM")</f>
        <v>CM</v>
      </c>
      <c r="J5" s="23" t="b">
        <v>0</v>
      </c>
      <c r="K5" s="24" t="b">
        <v>0</v>
      </c>
      <c r="L5" s="25" t="str">
        <f>HYPERLINK("https://www.cardmarket.com/en/Pokemon/Products/Singles?idCategory=1&amp;idProduct=sv3pt5-4", "CM")</f>
        <v>CM</v>
      </c>
      <c r="M5" s="23" t="b">
        <v>0</v>
      </c>
      <c r="N5" s="24" t="b">
        <v>0</v>
      </c>
      <c r="O5" s="25" t="str">
        <f>HYPERLINK("https://www.cardmarket.com/en/Pokemon/Products/Singles?idCategory=1&amp;idProduct=sv3pt5-5", "CM")</f>
        <v>CM</v>
      </c>
    </row>
    <row r="6" ht="7.5" customHeight="1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</row>
    <row r="7" ht="18.75" customHeight="1">
      <c r="A7" s="18" t="s">
        <v>529</v>
      </c>
      <c r="B7" s="19" t="s">
        <v>783</v>
      </c>
      <c r="C7" s="20"/>
      <c r="D7" s="18" t="s">
        <v>744</v>
      </c>
      <c r="E7" s="19" t="s">
        <v>771</v>
      </c>
      <c r="F7" s="20"/>
      <c r="G7" s="18" t="s">
        <v>531</v>
      </c>
      <c r="H7" s="19" t="s">
        <v>1478</v>
      </c>
      <c r="I7" s="20"/>
      <c r="J7" s="18" t="s">
        <v>746</v>
      </c>
      <c r="K7" s="19" t="s">
        <v>1479</v>
      </c>
      <c r="L7" s="20"/>
      <c r="M7" s="18" t="s">
        <v>748</v>
      </c>
      <c r="N7" s="19" t="s">
        <v>1480</v>
      </c>
      <c r="O7" s="20"/>
    </row>
    <row r="8" ht="180.0" customHeight="1">
      <c r="A8" s="21" t="str">
        <f>IMAGE("https://assets.tcgdex.net/de/sv/sv03.5/006/low.jpg", 1)</f>
        <v/>
      </c>
      <c r="B8" s="22"/>
      <c r="C8" s="20"/>
      <c r="D8" s="21" t="str">
        <f>IMAGE("https://assets.tcgdex.net/de/sv/sv03.5/007/low.jpg", 1)</f>
        <v/>
      </c>
      <c r="E8" s="22"/>
      <c r="F8" s="20"/>
      <c r="G8" s="21" t="str">
        <f>IMAGE("https://assets.tcgdex.net/de/sv/sv03.5/008/low.jpg", 1)</f>
        <v/>
      </c>
      <c r="H8" s="22"/>
      <c r="I8" s="20"/>
      <c r="J8" s="21" t="str">
        <f>IMAGE("https://assets.tcgdex.net/de/sv/sv03.5/009/low.jpg", 1)</f>
        <v/>
      </c>
      <c r="K8" s="22"/>
      <c r="L8" s="20"/>
      <c r="M8" s="21" t="str">
        <f>IMAGE("https://assets.tcgdex.net/de/sv/sv03.5/010/low.jpg", 1)</f>
        <v/>
      </c>
      <c r="N8" s="22"/>
      <c r="O8" s="20"/>
    </row>
    <row r="9" ht="22.5" customHeight="1">
      <c r="A9" s="23" t="b">
        <v>0</v>
      </c>
      <c r="B9" s="24" t="b">
        <v>0</v>
      </c>
      <c r="C9" s="25" t="str">
        <f>HYPERLINK("https://www.cardmarket.com/en/Pokemon/Products/Singles?idCategory=1&amp;idProduct=sv3pt5-6", "CM")</f>
        <v>CM</v>
      </c>
      <c r="D9" s="23" t="b">
        <v>0</v>
      </c>
      <c r="E9" s="24" t="b">
        <v>0</v>
      </c>
      <c r="F9" s="25" t="str">
        <f>HYPERLINK("https://www.cardmarket.com/en/Pokemon/Products/Singles?idCategory=1&amp;idProduct=sv3pt5-7", "CM")</f>
        <v>CM</v>
      </c>
      <c r="G9" s="23" t="b">
        <v>0</v>
      </c>
      <c r="H9" s="24" t="b">
        <v>0</v>
      </c>
      <c r="I9" s="25" t="str">
        <f>HYPERLINK("https://www.cardmarket.com/en/Pokemon/Products/Singles?idCategory=1&amp;idProduct=sv3pt5-8", "CM")</f>
        <v>CM</v>
      </c>
      <c r="J9" s="23" t="b">
        <v>0</v>
      </c>
      <c r="K9" s="24" t="b">
        <v>0</v>
      </c>
      <c r="L9" s="25" t="str">
        <f>HYPERLINK("https://www.cardmarket.com/en/Pokemon/Products/Singles?idCategory=1&amp;idProduct=sv3pt5-9", "CM")</f>
        <v>CM</v>
      </c>
      <c r="M9" s="23" t="b">
        <v>0</v>
      </c>
      <c r="N9" s="24" t="b">
        <v>0</v>
      </c>
      <c r="O9" s="25" t="str">
        <f>HYPERLINK("https://www.cardmarket.com/en/Pokemon/Products/Singles?idCategory=1&amp;idProduct=sv3pt5-10", "CM")</f>
        <v>CM</v>
      </c>
    </row>
    <row r="10" ht="7.5" customHeight="1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</row>
    <row r="11" ht="18.75" customHeight="1">
      <c r="A11" s="18" t="s">
        <v>750</v>
      </c>
      <c r="B11" s="19" t="s">
        <v>1481</v>
      </c>
      <c r="C11" s="20"/>
      <c r="D11" s="18" t="s">
        <v>752</v>
      </c>
      <c r="E11" s="19" t="s">
        <v>1482</v>
      </c>
      <c r="F11" s="20"/>
      <c r="G11" s="18" t="s">
        <v>754</v>
      </c>
      <c r="H11" s="19" t="s">
        <v>1483</v>
      </c>
      <c r="I11" s="20"/>
      <c r="J11" s="18" t="s">
        <v>755</v>
      </c>
      <c r="K11" s="19" t="s">
        <v>1484</v>
      </c>
      <c r="L11" s="20"/>
      <c r="M11" s="18" t="s">
        <v>533</v>
      </c>
      <c r="N11" s="19" t="s">
        <v>1485</v>
      </c>
      <c r="O11" s="20"/>
    </row>
    <row r="12" ht="180.0" customHeight="1">
      <c r="A12" s="21" t="str">
        <f>IMAGE("https://assets.tcgdex.net/de/sv/sv03.5/011/low.jpg", 1)</f>
        <v/>
      </c>
      <c r="B12" s="22"/>
      <c r="C12" s="20"/>
      <c r="D12" s="21" t="str">
        <f>IMAGE("https://assets.tcgdex.net/de/sv/sv03.5/012/low.jpg", 1)</f>
        <v/>
      </c>
      <c r="E12" s="22"/>
      <c r="F12" s="20"/>
      <c r="G12" s="21" t="str">
        <f>IMAGE("https://assets.tcgdex.net/de/sv/sv03.5/013/low.jpg", 1)</f>
        <v/>
      </c>
      <c r="H12" s="22"/>
      <c r="I12" s="20"/>
      <c r="J12" s="21" t="str">
        <f>IMAGE("https://assets.tcgdex.net/de/sv/sv03.5/014/low.jpg", 1)</f>
        <v/>
      </c>
      <c r="K12" s="22"/>
      <c r="L12" s="20"/>
      <c r="M12" s="21" t="str">
        <f>IMAGE("https://assets.tcgdex.net/de/sv/sv03.5/015/low.jpg", 1)</f>
        <v/>
      </c>
      <c r="N12" s="22"/>
      <c r="O12" s="20"/>
    </row>
    <row r="13" ht="22.5" customHeight="1">
      <c r="A13" s="23" t="b">
        <v>0</v>
      </c>
      <c r="B13" s="24" t="b">
        <v>0</v>
      </c>
      <c r="C13" s="25" t="str">
        <f>HYPERLINK("https://www.cardmarket.com/en/Pokemon/Products/Singles?idCategory=1&amp;idProduct=sv3pt5-11", "CM")</f>
        <v>CM</v>
      </c>
      <c r="D13" s="23" t="b">
        <v>0</v>
      </c>
      <c r="E13" s="24" t="b">
        <v>0</v>
      </c>
      <c r="F13" s="25" t="str">
        <f>HYPERLINK("https://www.cardmarket.com/en/Pokemon/Products/Singles?idCategory=1&amp;idProduct=sv3pt5-12", "CM")</f>
        <v>CM</v>
      </c>
      <c r="G13" s="23" t="b">
        <v>0</v>
      </c>
      <c r="H13" s="24" t="b">
        <v>0</v>
      </c>
      <c r="I13" s="25" t="str">
        <f>HYPERLINK("https://www.cardmarket.com/en/Pokemon/Products/Singles?idCategory=1&amp;idProduct=sv3pt5-13", "CM")</f>
        <v>CM</v>
      </c>
      <c r="J13" s="23" t="b">
        <v>0</v>
      </c>
      <c r="K13" s="24" t="b">
        <v>0</v>
      </c>
      <c r="L13" s="25" t="str">
        <f>HYPERLINK("https://www.cardmarket.com/en/Pokemon/Products/Singles?idCategory=1&amp;idProduct=sv3pt5-14", "CM")</f>
        <v>CM</v>
      </c>
      <c r="M13" s="23" t="b">
        <v>0</v>
      </c>
      <c r="N13" s="24" t="b">
        <v>0</v>
      </c>
      <c r="O13" s="25" t="str">
        <f>HYPERLINK("https://www.cardmarket.com/en/Pokemon/Products/Singles?idCategory=1&amp;idProduct=sv3pt5-15", "CM")</f>
        <v>CM</v>
      </c>
    </row>
    <row r="14" ht="7.5" customHeight="1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</row>
    <row r="15" ht="18.75" customHeight="1">
      <c r="A15" s="18" t="s">
        <v>535</v>
      </c>
      <c r="B15" s="19" t="s">
        <v>1449</v>
      </c>
      <c r="C15" s="20"/>
      <c r="D15" s="18" t="s">
        <v>537</v>
      </c>
      <c r="E15" s="19" t="s">
        <v>1450</v>
      </c>
      <c r="F15" s="20"/>
      <c r="G15" s="18" t="s">
        <v>756</v>
      </c>
      <c r="H15" s="19" t="s">
        <v>1486</v>
      </c>
      <c r="I15" s="20"/>
      <c r="J15" s="18" t="s">
        <v>539</v>
      </c>
      <c r="K15" s="19" t="s">
        <v>1487</v>
      </c>
      <c r="L15" s="20"/>
      <c r="M15" s="18" t="s">
        <v>541</v>
      </c>
      <c r="N15" s="19" t="s">
        <v>1488</v>
      </c>
      <c r="O15" s="20"/>
    </row>
    <row r="16" ht="180.0" customHeight="1">
      <c r="A16" s="21" t="str">
        <f>IMAGE("https://assets.tcgdex.net/de/sv/sv03.5/016/low.jpg", 1)</f>
        <v/>
      </c>
      <c r="B16" s="22"/>
      <c r="C16" s="20"/>
      <c r="D16" s="21" t="str">
        <f>IMAGE("https://assets.tcgdex.net/de/sv/sv03.5/017/low.jpg", 1)</f>
        <v/>
      </c>
      <c r="E16" s="22"/>
      <c r="F16" s="20"/>
      <c r="G16" s="21" t="str">
        <f>IMAGE("https://assets.tcgdex.net/de/sv/sv03.5/018/low.jpg", 1)</f>
        <v/>
      </c>
      <c r="H16" s="22"/>
      <c r="I16" s="20"/>
      <c r="J16" s="21" t="str">
        <f>IMAGE("https://assets.tcgdex.net/de/sv/sv03.5/019/low.jpg", 1)</f>
        <v/>
      </c>
      <c r="K16" s="22"/>
      <c r="L16" s="20"/>
      <c r="M16" s="21" t="str">
        <f>IMAGE("https://assets.tcgdex.net/de/sv/sv03.5/020/low.jpg", 1)</f>
        <v/>
      </c>
      <c r="N16" s="22"/>
      <c r="O16" s="20"/>
    </row>
    <row r="17" ht="22.5" customHeight="1">
      <c r="A17" s="23" t="b">
        <v>0</v>
      </c>
      <c r="B17" s="24" t="b">
        <v>0</v>
      </c>
      <c r="C17" s="25" t="str">
        <f>HYPERLINK("https://www.cardmarket.com/en/Pokemon/Products/Singles?idCategory=1&amp;idProduct=sv3pt5-16", "CM")</f>
        <v>CM</v>
      </c>
      <c r="D17" s="23" t="b">
        <v>0</v>
      </c>
      <c r="E17" s="24" t="b">
        <v>0</v>
      </c>
      <c r="F17" s="25" t="str">
        <f>HYPERLINK("https://www.cardmarket.com/en/Pokemon/Products/Singles?idCategory=1&amp;idProduct=sv3pt5-17", "CM")</f>
        <v>CM</v>
      </c>
      <c r="G17" s="23" t="b">
        <v>0</v>
      </c>
      <c r="H17" s="24" t="b">
        <v>0</v>
      </c>
      <c r="I17" s="25" t="str">
        <f>HYPERLINK("https://www.cardmarket.com/en/Pokemon/Products/Singles?idCategory=1&amp;idProduct=sv3pt5-18", "CM")</f>
        <v>CM</v>
      </c>
      <c r="J17" s="23" t="b">
        <v>0</v>
      </c>
      <c r="K17" s="24" t="b">
        <v>0</v>
      </c>
      <c r="L17" s="25" t="str">
        <f>HYPERLINK("https://www.cardmarket.com/en/Pokemon/Products/Singles?idCategory=1&amp;idProduct=sv3pt5-19", "CM")</f>
        <v>CM</v>
      </c>
      <c r="M17" s="23" t="b">
        <v>0</v>
      </c>
      <c r="N17" s="24" t="b">
        <v>0</v>
      </c>
      <c r="O17" s="25" t="str">
        <f>HYPERLINK("https://www.cardmarket.com/en/Pokemon/Products/Singles?idCategory=1&amp;idProduct=sv3pt5-20", "CM")</f>
        <v>CM</v>
      </c>
    </row>
    <row r="18" ht="7.5" customHeight="1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</row>
    <row r="19" ht="18.75" customHeight="1">
      <c r="A19" s="18" t="s">
        <v>543</v>
      </c>
      <c r="B19" s="19" t="s">
        <v>1489</v>
      </c>
      <c r="C19" s="20"/>
      <c r="D19" s="18" t="s">
        <v>545</v>
      </c>
      <c r="E19" s="19" t="s">
        <v>1490</v>
      </c>
      <c r="F19" s="20"/>
      <c r="G19" s="18" t="s">
        <v>547</v>
      </c>
      <c r="H19" s="19" t="s">
        <v>1491</v>
      </c>
      <c r="I19" s="20"/>
      <c r="J19" s="18" t="s">
        <v>549</v>
      </c>
      <c r="K19" s="19" t="s">
        <v>1492</v>
      </c>
      <c r="L19" s="20"/>
      <c r="M19" s="18" t="s">
        <v>758</v>
      </c>
      <c r="N19" s="19" t="s">
        <v>616</v>
      </c>
      <c r="O19" s="20"/>
    </row>
    <row r="20" ht="180.0" customHeight="1">
      <c r="A20" s="21" t="str">
        <f>IMAGE("https://assets.tcgdex.net/de/sv/sv03.5/021/low.jpg", 1)</f>
        <v/>
      </c>
      <c r="B20" s="22"/>
      <c r="C20" s="20"/>
      <c r="D20" s="21" t="str">
        <f>IMAGE("https://assets.tcgdex.net/de/sv/sv03.5/022/low.jpg", 1)</f>
        <v/>
      </c>
      <c r="E20" s="22"/>
      <c r="F20" s="20"/>
      <c r="G20" s="21" t="str">
        <f>IMAGE("https://assets.tcgdex.net/de/sv/sv03.5/023/low.jpg", 1)</f>
        <v/>
      </c>
      <c r="H20" s="22"/>
      <c r="I20" s="20"/>
      <c r="J20" s="21" t="str">
        <f>IMAGE("https://assets.tcgdex.net/de/sv/sv03.5/024/low.jpg", 1)</f>
        <v/>
      </c>
      <c r="K20" s="22"/>
      <c r="L20" s="20"/>
      <c r="M20" s="21" t="str">
        <f>IMAGE("https://assets.tcgdex.net/de/sv/sv03.5/025/low.jpg", 1)</f>
        <v/>
      </c>
      <c r="N20" s="22"/>
      <c r="O20" s="20"/>
    </row>
    <row r="21" ht="22.5" customHeight="1">
      <c r="A21" s="23" t="b">
        <v>0</v>
      </c>
      <c r="B21" s="24" t="b">
        <v>0</v>
      </c>
      <c r="C21" s="25" t="str">
        <f>HYPERLINK("https://www.cardmarket.com/en/Pokemon/Products/Singles?idCategory=1&amp;idProduct=sv3pt5-21", "CM")</f>
        <v>CM</v>
      </c>
      <c r="D21" s="23" t="b">
        <v>0</v>
      </c>
      <c r="E21" s="24" t="b">
        <v>0</v>
      </c>
      <c r="F21" s="25" t="str">
        <f>HYPERLINK("https://www.cardmarket.com/en/Pokemon/Products/Singles?idCategory=1&amp;idProduct=sv3pt5-22", "CM")</f>
        <v>CM</v>
      </c>
      <c r="G21" s="23" t="b">
        <v>0</v>
      </c>
      <c r="H21" s="24" t="b">
        <v>0</v>
      </c>
      <c r="I21" s="25" t="str">
        <f>HYPERLINK("https://www.cardmarket.com/en/Pokemon/Products/Singles?idCategory=1&amp;idProduct=sv3pt5-23", "CM")</f>
        <v>CM</v>
      </c>
      <c r="J21" s="23" t="b">
        <v>0</v>
      </c>
      <c r="K21" s="24" t="b">
        <v>0</v>
      </c>
      <c r="L21" s="25" t="str">
        <f>HYPERLINK("https://www.cardmarket.com/en/Pokemon/Products/Singles?idCategory=1&amp;idProduct=sv3pt5-24", "CM")</f>
        <v>CM</v>
      </c>
      <c r="M21" s="23" t="b">
        <v>0</v>
      </c>
      <c r="N21" s="24" t="b">
        <v>0</v>
      </c>
      <c r="O21" s="25" t="str">
        <f>HYPERLINK("https://www.cardmarket.com/en/Pokemon/Products/Singles?idCategory=1&amp;idProduct=sv3pt5-25", "CM")</f>
        <v>CM</v>
      </c>
    </row>
    <row r="22" ht="7.5" customHeight="1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</row>
    <row r="23" ht="18.75" customHeight="1">
      <c r="A23" s="18" t="s">
        <v>760</v>
      </c>
      <c r="B23" s="19" t="s">
        <v>1493</v>
      </c>
      <c r="C23" s="20"/>
      <c r="D23" s="18" t="s">
        <v>762</v>
      </c>
      <c r="E23" s="19" t="s">
        <v>1494</v>
      </c>
      <c r="F23" s="20"/>
      <c r="G23" s="18" t="s">
        <v>551</v>
      </c>
      <c r="H23" s="19" t="s">
        <v>1495</v>
      </c>
      <c r="I23" s="20"/>
      <c r="J23" s="18" t="s">
        <v>553</v>
      </c>
      <c r="K23" s="19" t="s">
        <v>1496</v>
      </c>
      <c r="L23" s="20"/>
      <c r="M23" s="18" t="s">
        <v>555</v>
      </c>
      <c r="N23" s="19" t="s">
        <v>1497</v>
      </c>
      <c r="O23" s="20"/>
    </row>
    <row r="24" ht="180.0" customHeight="1">
      <c r="A24" s="21" t="str">
        <f>IMAGE("https://assets.tcgdex.net/de/sv/sv03.5/026/low.jpg", 1)</f>
        <v/>
      </c>
      <c r="B24" s="22"/>
      <c r="C24" s="20"/>
      <c r="D24" s="21" t="str">
        <f>IMAGE("https://assets.tcgdex.net/de/sv/sv03.5/027/low.jpg", 1)</f>
        <v/>
      </c>
      <c r="E24" s="22"/>
      <c r="F24" s="20"/>
      <c r="G24" s="21" t="str">
        <f>IMAGE("https://assets.tcgdex.net/de/sv/sv03.5/028/low.jpg", 1)</f>
        <v/>
      </c>
      <c r="H24" s="22"/>
      <c r="I24" s="20"/>
      <c r="J24" s="21" t="str">
        <f>IMAGE("https://assets.tcgdex.net/de/sv/sv03.5/029/low.jpg", 1)</f>
        <v/>
      </c>
      <c r="K24" s="22"/>
      <c r="L24" s="20"/>
      <c r="M24" s="21" t="str">
        <f>IMAGE("https://assets.tcgdex.net/de/sv/sv03.5/030/low.jpg", 1)</f>
        <v/>
      </c>
      <c r="N24" s="22"/>
      <c r="O24" s="20"/>
    </row>
    <row r="25" ht="22.5" customHeight="1">
      <c r="A25" s="23" t="b">
        <v>0</v>
      </c>
      <c r="B25" s="24" t="b">
        <v>0</v>
      </c>
      <c r="C25" s="25" t="str">
        <f>HYPERLINK("https://www.cardmarket.com/en/Pokemon/Products/Singles?idCategory=1&amp;idProduct=sv3pt5-26", "CM")</f>
        <v>CM</v>
      </c>
      <c r="D25" s="23" t="b">
        <v>0</v>
      </c>
      <c r="E25" s="24" t="b">
        <v>0</v>
      </c>
      <c r="F25" s="25" t="str">
        <f>HYPERLINK("https://www.cardmarket.com/en/Pokemon/Products/Singles?idCategory=1&amp;idProduct=sv3pt5-27", "CM")</f>
        <v>CM</v>
      </c>
      <c r="G25" s="23" t="b">
        <v>0</v>
      </c>
      <c r="H25" s="24" t="b">
        <v>0</v>
      </c>
      <c r="I25" s="25" t="str">
        <f>HYPERLINK("https://www.cardmarket.com/en/Pokemon/Products/Singles?idCategory=1&amp;idProduct=sv3pt5-28", "CM")</f>
        <v>CM</v>
      </c>
      <c r="J25" s="23" t="b">
        <v>0</v>
      </c>
      <c r="K25" s="24" t="b">
        <v>0</v>
      </c>
      <c r="L25" s="25" t="str">
        <f>HYPERLINK("https://www.cardmarket.com/en/Pokemon/Products/Singles?idCategory=1&amp;idProduct=sv3pt5-29", "CM")</f>
        <v>CM</v>
      </c>
      <c r="M25" s="23" t="b">
        <v>0</v>
      </c>
      <c r="N25" s="24" t="b">
        <v>0</v>
      </c>
      <c r="O25" s="25" t="str">
        <f>HYPERLINK("https://www.cardmarket.com/en/Pokemon/Products/Singles?idCategory=1&amp;idProduct=sv3pt5-30", "CM")</f>
        <v>CM</v>
      </c>
    </row>
    <row r="26" ht="7.5" customHeight="1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</row>
    <row r="27" ht="18.75" customHeight="1">
      <c r="A27" s="18" t="s">
        <v>557</v>
      </c>
      <c r="B27" s="19" t="s">
        <v>1498</v>
      </c>
      <c r="C27" s="20"/>
      <c r="D27" s="18" t="s">
        <v>559</v>
      </c>
      <c r="E27" s="19" t="s">
        <v>1499</v>
      </c>
      <c r="F27" s="20"/>
      <c r="G27" s="18" t="s">
        <v>561</v>
      </c>
      <c r="H27" s="19" t="s">
        <v>1500</v>
      </c>
      <c r="I27" s="20"/>
      <c r="J27" s="18" t="s">
        <v>563</v>
      </c>
      <c r="K27" s="19" t="s">
        <v>1501</v>
      </c>
      <c r="L27" s="20"/>
      <c r="M27" s="18" t="s">
        <v>565</v>
      </c>
      <c r="N27" s="19" t="s">
        <v>1405</v>
      </c>
      <c r="O27" s="20"/>
    </row>
    <row r="28" ht="180.0" customHeight="1">
      <c r="A28" s="21" t="str">
        <f>IMAGE("https://assets.tcgdex.net/de/sv/sv03.5/031/low.jpg", 1)</f>
        <v/>
      </c>
      <c r="B28" s="22"/>
      <c r="C28" s="20"/>
      <c r="D28" s="21" t="str">
        <f>IMAGE("https://assets.tcgdex.net/de/sv/sv03.5/032/low.jpg", 1)</f>
        <v/>
      </c>
      <c r="E28" s="22"/>
      <c r="F28" s="20"/>
      <c r="G28" s="21" t="str">
        <f>IMAGE("https://assets.tcgdex.net/de/sv/sv03.5/033/low.jpg", 1)</f>
        <v/>
      </c>
      <c r="H28" s="22"/>
      <c r="I28" s="20"/>
      <c r="J28" s="21" t="str">
        <f>IMAGE("https://assets.tcgdex.net/de/sv/sv03.5/034/low.jpg", 1)</f>
        <v/>
      </c>
      <c r="K28" s="22"/>
      <c r="L28" s="20"/>
      <c r="M28" s="21" t="str">
        <f>IMAGE("https://assets.tcgdex.net/de/sv/sv03.5/035/low.jpg", 1)</f>
        <v/>
      </c>
      <c r="N28" s="22"/>
      <c r="O28" s="20"/>
    </row>
    <row r="29" ht="22.5" customHeight="1">
      <c r="A29" s="23" t="b">
        <v>0</v>
      </c>
      <c r="B29" s="24" t="b">
        <v>0</v>
      </c>
      <c r="C29" s="25" t="str">
        <f>HYPERLINK("https://www.cardmarket.com/en/Pokemon/Products/Singles?idCategory=1&amp;idProduct=sv3pt5-31", "CM")</f>
        <v>CM</v>
      </c>
      <c r="D29" s="23" t="b">
        <v>0</v>
      </c>
      <c r="E29" s="24" t="b">
        <v>0</v>
      </c>
      <c r="F29" s="25" t="str">
        <f>HYPERLINK("https://www.cardmarket.com/en/Pokemon/Products/Singles?idCategory=1&amp;idProduct=sv3pt5-32", "CM")</f>
        <v>CM</v>
      </c>
      <c r="G29" s="23" t="b">
        <v>0</v>
      </c>
      <c r="H29" s="24" t="b">
        <v>0</v>
      </c>
      <c r="I29" s="25" t="str">
        <f>HYPERLINK("https://www.cardmarket.com/en/Pokemon/Products/Singles?idCategory=1&amp;idProduct=sv3pt5-33", "CM")</f>
        <v>CM</v>
      </c>
      <c r="J29" s="23" t="b">
        <v>0</v>
      </c>
      <c r="K29" s="24" t="b">
        <v>0</v>
      </c>
      <c r="L29" s="25" t="str">
        <f>HYPERLINK("https://www.cardmarket.com/en/Pokemon/Products/Singles?idCategory=1&amp;idProduct=sv3pt5-34", "CM")</f>
        <v>CM</v>
      </c>
      <c r="M29" s="23" t="b">
        <v>0</v>
      </c>
      <c r="N29" s="24" t="b">
        <v>0</v>
      </c>
      <c r="O29" s="25" t="str">
        <f>HYPERLINK("https://www.cardmarket.com/en/Pokemon/Products/Singles?idCategory=1&amp;idProduct=sv3pt5-35", "CM")</f>
        <v>CM</v>
      </c>
    </row>
    <row r="30" ht="7.5" customHeight="1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</row>
    <row r="31" ht="18.75" customHeight="1">
      <c r="A31" s="18" t="s">
        <v>567</v>
      </c>
      <c r="B31" s="19" t="s">
        <v>1502</v>
      </c>
      <c r="C31" s="20"/>
      <c r="D31" s="18" t="s">
        <v>569</v>
      </c>
      <c r="E31" s="19" t="s">
        <v>1378</v>
      </c>
      <c r="F31" s="20"/>
      <c r="G31" s="18" t="s">
        <v>571</v>
      </c>
      <c r="H31" s="19" t="s">
        <v>1503</v>
      </c>
      <c r="I31" s="20"/>
      <c r="J31" s="18" t="s">
        <v>573</v>
      </c>
      <c r="K31" s="19" t="s">
        <v>1504</v>
      </c>
      <c r="L31" s="20"/>
      <c r="M31" s="18" t="s">
        <v>575</v>
      </c>
      <c r="N31" s="19" t="s">
        <v>1505</v>
      </c>
      <c r="O31" s="20"/>
    </row>
    <row r="32" ht="180.0" customHeight="1">
      <c r="A32" s="21" t="str">
        <f>IMAGE("https://assets.tcgdex.net/de/sv/sv03.5/036/low.jpg", 1)</f>
        <v/>
      </c>
      <c r="B32" s="22"/>
      <c r="C32" s="20"/>
      <c r="D32" s="21" t="str">
        <f>IMAGE("https://assets.tcgdex.net/de/sv/sv03.5/037/low.jpg", 1)</f>
        <v/>
      </c>
      <c r="E32" s="22"/>
      <c r="F32" s="20"/>
      <c r="G32" s="21" t="str">
        <f>IMAGE("https://assets.tcgdex.net/de/sv/sv03.5/038/low.jpg", 1)</f>
        <v/>
      </c>
      <c r="H32" s="22"/>
      <c r="I32" s="20"/>
      <c r="J32" s="21" t="str">
        <f>IMAGE("https://assets.tcgdex.net/de/sv/sv03.5/039/low.jpg", 1)</f>
        <v/>
      </c>
      <c r="K32" s="22"/>
      <c r="L32" s="20"/>
      <c r="M32" s="21" t="str">
        <f>IMAGE("https://assets.tcgdex.net/de/sv/sv03.5/040/low.jpg", 1)</f>
        <v/>
      </c>
      <c r="N32" s="22"/>
      <c r="O32" s="20"/>
    </row>
    <row r="33" ht="22.5" customHeight="1">
      <c r="A33" s="23" t="b">
        <v>0</v>
      </c>
      <c r="B33" s="24" t="b">
        <v>0</v>
      </c>
      <c r="C33" s="25" t="str">
        <f>HYPERLINK("https://www.cardmarket.com/en/Pokemon/Products/Singles?idCategory=1&amp;idProduct=sv3pt5-36", "CM")</f>
        <v>CM</v>
      </c>
      <c r="D33" s="23" t="b">
        <v>0</v>
      </c>
      <c r="E33" s="24" t="b">
        <v>0</v>
      </c>
      <c r="F33" s="25" t="str">
        <f>HYPERLINK("https://www.cardmarket.com/en/Pokemon/Products/Singles?idCategory=1&amp;idProduct=sv3pt5-37", "CM")</f>
        <v>CM</v>
      </c>
      <c r="G33" s="23" t="b">
        <v>0</v>
      </c>
      <c r="H33" s="24" t="b">
        <v>0</v>
      </c>
      <c r="I33" s="25" t="str">
        <f>HYPERLINK("https://www.cardmarket.com/en/Pokemon/Products/Singles?idCategory=1&amp;idProduct=sv3pt5-38", "CM")</f>
        <v>CM</v>
      </c>
      <c r="J33" s="23" t="b">
        <v>0</v>
      </c>
      <c r="K33" s="24" t="b">
        <v>0</v>
      </c>
      <c r="L33" s="25" t="str">
        <f>HYPERLINK("https://www.cardmarket.com/en/Pokemon/Products/Singles?idCategory=1&amp;idProduct=sv3pt5-39", "CM")</f>
        <v>CM</v>
      </c>
      <c r="M33" s="23" t="b">
        <v>0</v>
      </c>
      <c r="N33" s="24" t="b">
        <v>0</v>
      </c>
      <c r="O33" s="25" t="str">
        <f>HYPERLINK("https://www.cardmarket.com/en/Pokemon/Products/Singles?idCategory=1&amp;idProduct=sv3pt5-40", "CM")</f>
        <v>CM</v>
      </c>
    </row>
    <row r="34" ht="7.5" customHeight="1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</row>
    <row r="35" ht="18.75" customHeight="1">
      <c r="A35" s="18" t="s">
        <v>577</v>
      </c>
      <c r="B35" s="19" t="s">
        <v>1506</v>
      </c>
      <c r="C35" s="20"/>
      <c r="D35" s="18" t="s">
        <v>579</v>
      </c>
      <c r="E35" s="19" t="s">
        <v>1507</v>
      </c>
      <c r="F35" s="20"/>
      <c r="G35" s="18" t="s">
        <v>763</v>
      </c>
      <c r="H35" s="19" t="s">
        <v>907</v>
      </c>
      <c r="I35" s="20"/>
      <c r="J35" s="18" t="s">
        <v>765</v>
      </c>
      <c r="K35" s="19" t="s">
        <v>908</v>
      </c>
      <c r="L35" s="20"/>
      <c r="M35" s="18" t="s">
        <v>581</v>
      </c>
      <c r="N35" s="19" t="s">
        <v>1508</v>
      </c>
      <c r="O35" s="20"/>
    </row>
    <row r="36" ht="180.0" customHeight="1">
      <c r="A36" s="21" t="str">
        <f>IMAGE("https://assets.tcgdex.net/de/sv/sv03.5/041/low.jpg", 1)</f>
        <v/>
      </c>
      <c r="B36" s="22"/>
      <c r="C36" s="20"/>
      <c r="D36" s="21" t="str">
        <f>IMAGE("https://assets.tcgdex.net/de/sv/sv03.5/042/low.jpg", 1)</f>
        <v/>
      </c>
      <c r="E36" s="22"/>
      <c r="F36" s="20"/>
      <c r="G36" s="21" t="str">
        <f>IMAGE("https://assets.tcgdex.net/de/sv/sv03.5/043/low.jpg", 1)</f>
        <v/>
      </c>
      <c r="H36" s="22"/>
      <c r="I36" s="20"/>
      <c r="J36" s="21" t="str">
        <f>IMAGE("https://assets.tcgdex.net/de/sv/sv03.5/044/low.jpg", 1)</f>
        <v/>
      </c>
      <c r="K36" s="22"/>
      <c r="L36" s="20"/>
      <c r="M36" s="21" t="str">
        <f>IMAGE("https://assets.tcgdex.net/de/sv/sv03.5/045/low.jpg", 1)</f>
        <v/>
      </c>
      <c r="N36" s="22"/>
      <c r="O36" s="20"/>
    </row>
    <row r="37" ht="22.5" customHeight="1">
      <c r="A37" s="23" t="b">
        <v>0</v>
      </c>
      <c r="B37" s="24" t="b">
        <v>0</v>
      </c>
      <c r="C37" s="25" t="str">
        <f>HYPERLINK("https://www.cardmarket.com/en/Pokemon/Products/Singles?idCategory=1&amp;idProduct=sv3pt5-41", "CM")</f>
        <v>CM</v>
      </c>
      <c r="D37" s="23" t="b">
        <v>0</v>
      </c>
      <c r="E37" s="24" t="b">
        <v>0</v>
      </c>
      <c r="F37" s="25" t="str">
        <f>HYPERLINK("https://www.cardmarket.com/en/Pokemon/Products/Singles?idCategory=1&amp;idProduct=sv3pt5-42", "CM")</f>
        <v>CM</v>
      </c>
      <c r="G37" s="23" t="b">
        <v>0</v>
      </c>
      <c r="H37" s="24" t="b">
        <v>0</v>
      </c>
      <c r="I37" s="25" t="str">
        <f>HYPERLINK("https://www.cardmarket.com/en/Pokemon/Products/Singles?idCategory=1&amp;idProduct=sv3pt5-43", "CM")</f>
        <v>CM</v>
      </c>
      <c r="J37" s="23" t="b">
        <v>0</v>
      </c>
      <c r="K37" s="24" t="b">
        <v>0</v>
      </c>
      <c r="L37" s="25" t="str">
        <f>HYPERLINK("https://www.cardmarket.com/en/Pokemon/Products/Singles?idCategory=1&amp;idProduct=sv3pt5-44", "CM")</f>
        <v>CM</v>
      </c>
      <c r="M37" s="23" t="b">
        <v>0</v>
      </c>
      <c r="N37" s="24" t="b">
        <v>0</v>
      </c>
      <c r="O37" s="25" t="str">
        <f>HYPERLINK("https://www.cardmarket.com/en/Pokemon/Products/Singles?idCategory=1&amp;idProduct=sv3pt5-45", "CM")</f>
        <v>CM</v>
      </c>
    </row>
    <row r="38" ht="7.5" customHeight="1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</row>
    <row r="39" ht="18.75" customHeight="1">
      <c r="A39" s="18" t="s">
        <v>767</v>
      </c>
      <c r="B39" s="19" t="s">
        <v>1121</v>
      </c>
      <c r="C39" s="20"/>
      <c r="D39" s="18" t="s">
        <v>769</v>
      </c>
      <c r="E39" s="19" t="s">
        <v>1509</v>
      </c>
      <c r="F39" s="20"/>
      <c r="G39" s="18" t="s">
        <v>770</v>
      </c>
      <c r="H39" s="19" t="s">
        <v>1510</v>
      </c>
      <c r="I39" s="20"/>
      <c r="J39" s="18" t="s">
        <v>772</v>
      </c>
      <c r="K39" s="19" t="s">
        <v>1511</v>
      </c>
      <c r="L39" s="20"/>
      <c r="M39" s="18" t="s">
        <v>774</v>
      </c>
      <c r="N39" s="19" t="s">
        <v>1417</v>
      </c>
      <c r="O39" s="20"/>
    </row>
    <row r="40" ht="180.0" customHeight="1">
      <c r="A40" s="21" t="str">
        <f>IMAGE("https://assets.tcgdex.net/de/sv/sv03.5/046/low.jpg", 1)</f>
        <v/>
      </c>
      <c r="B40" s="22"/>
      <c r="C40" s="20"/>
      <c r="D40" s="21" t="str">
        <f>IMAGE("https://assets.tcgdex.net/de/sv/sv03.5/047/low.jpg", 1)</f>
        <v/>
      </c>
      <c r="E40" s="22"/>
      <c r="F40" s="20"/>
      <c r="G40" s="21" t="str">
        <f>IMAGE("https://assets.tcgdex.net/de/sv/sv03.5/048/low.jpg", 1)</f>
        <v/>
      </c>
      <c r="H40" s="22"/>
      <c r="I40" s="20"/>
      <c r="J40" s="21" t="str">
        <f>IMAGE("https://assets.tcgdex.net/de/sv/sv03.5/049/low.jpg", 1)</f>
        <v/>
      </c>
      <c r="K40" s="22"/>
      <c r="L40" s="20"/>
      <c r="M40" s="21" t="str">
        <f>IMAGE("https://assets.tcgdex.net/de/sv/sv03.5/050/low.jpg", 1)</f>
        <v/>
      </c>
      <c r="N40" s="22"/>
      <c r="O40" s="20"/>
    </row>
    <row r="41" ht="22.5" customHeight="1">
      <c r="A41" s="23" t="b">
        <v>0</v>
      </c>
      <c r="B41" s="24" t="b">
        <v>0</v>
      </c>
      <c r="C41" s="25" t="str">
        <f>HYPERLINK("https://www.cardmarket.com/en/Pokemon/Products/Singles?idCategory=1&amp;idProduct=sv3pt5-46", "CM")</f>
        <v>CM</v>
      </c>
      <c r="D41" s="23" t="b">
        <v>0</v>
      </c>
      <c r="E41" s="24" t="b">
        <v>0</v>
      </c>
      <c r="F41" s="25" t="str">
        <f>HYPERLINK("https://www.cardmarket.com/en/Pokemon/Products/Singles?idCategory=1&amp;idProduct=sv3pt5-47", "CM")</f>
        <v>CM</v>
      </c>
      <c r="G41" s="23" t="b">
        <v>0</v>
      </c>
      <c r="H41" s="24" t="b">
        <v>0</v>
      </c>
      <c r="I41" s="25" t="str">
        <f>HYPERLINK("https://www.cardmarket.com/en/Pokemon/Products/Singles?idCategory=1&amp;idProduct=sv3pt5-48", "CM")</f>
        <v>CM</v>
      </c>
      <c r="J41" s="23" t="b">
        <v>0</v>
      </c>
      <c r="K41" s="24" t="b">
        <v>0</v>
      </c>
      <c r="L41" s="25" t="str">
        <f>HYPERLINK("https://www.cardmarket.com/en/Pokemon/Products/Singles?idCategory=1&amp;idProduct=sv3pt5-49", "CM")</f>
        <v>CM</v>
      </c>
      <c r="M41" s="23" t="b">
        <v>0</v>
      </c>
      <c r="N41" s="24" t="b">
        <v>0</v>
      </c>
      <c r="O41" s="25" t="str">
        <f>HYPERLINK("https://www.cardmarket.com/en/Pokemon/Products/Singles?idCategory=1&amp;idProduct=sv3pt5-50", "CM")</f>
        <v>CM</v>
      </c>
    </row>
    <row r="42" ht="7.5" customHeight="1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</row>
    <row r="43" ht="18.75" customHeight="1">
      <c r="A43" s="18" t="s">
        <v>776</v>
      </c>
      <c r="B43" s="19" t="s">
        <v>1418</v>
      </c>
      <c r="C43" s="20"/>
      <c r="D43" s="18" t="s">
        <v>778</v>
      </c>
      <c r="E43" s="19" t="s">
        <v>1512</v>
      </c>
      <c r="F43" s="20"/>
      <c r="G43" s="18" t="s">
        <v>780</v>
      </c>
      <c r="H43" s="19" t="s">
        <v>1513</v>
      </c>
      <c r="I43" s="20"/>
      <c r="J43" s="18" t="s">
        <v>583</v>
      </c>
      <c r="K43" s="19" t="s">
        <v>1514</v>
      </c>
      <c r="L43" s="20"/>
      <c r="M43" s="18" t="s">
        <v>585</v>
      </c>
      <c r="N43" s="19" t="s">
        <v>1515</v>
      </c>
      <c r="O43" s="20"/>
    </row>
    <row r="44" ht="180.0" customHeight="1">
      <c r="A44" s="21" t="str">
        <f>IMAGE("https://assets.tcgdex.net/de/sv/sv03.5/051/low.jpg", 1)</f>
        <v/>
      </c>
      <c r="B44" s="22"/>
      <c r="C44" s="20"/>
      <c r="D44" s="21" t="str">
        <f>IMAGE("https://assets.tcgdex.net/de/sv/sv03.5/052/low.jpg", 1)</f>
        <v/>
      </c>
      <c r="E44" s="22"/>
      <c r="F44" s="20"/>
      <c r="G44" s="21" t="str">
        <f>IMAGE("https://assets.tcgdex.net/de/sv/sv03.5/053/low.jpg", 1)</f>
        <v/>
      </c>
      <c r="H44" s="22"/>
      <c r="I44" s="20"/>
      <c r="J44" s="21" t="str">
        <f>IMAGE("https://assets.tcgdex.net/de/sv/sv03.5/054/low.jpg", 1)</f>
        <v/>
      </c>
      <c r="K44" s="22"/>
      <c r="L44" s="20"/>
      <c r="M44" s="21" t="str">
        <f>IMAGE("https://assets.tcgdex.net/de/sv/sv03.5/055/low.jpg", 1)</f>
        <v/>
      </c>
      <c r="N44" s="22"/>
      <c r="O44" s="20"/>
    </row>
    <row r="45" ht="22.5" customHeight="1">
      <c r="A45" s="23" t="b">
        <v>0</v>
      </c>
      <c r="B45" s="24" t="b">
        <v>0</v>
      </c>
      <c r="C45" s="25" t="str">
        <f>HYPERLINK("https://www.cardmarket.com/en/Pokemon/Products/Singles?idCategory=1&amp;idProduct=sv3pt5-51", "CM")</f>
        <v>CM</v>
      </c>
      <c r="D45" s="23" t="b">
        <v>0</v>
      </c>
      <c r="E45" s="24" t="b">
        <v>0</v>
      </c>
      <c r="F45" s="25" t="str">
        <f>HYPERLINK("https://www.cardmarket.com/en/Pokemon/Products/Singles?idCategory=1&amp;idProduct=sv3pt5-52", "CM")</f>
        <v>CM</v>
      </c>
      <c r="G45" s="23" t="b">
        <v>0</v>
      </c>
      <c r="H45" s="24" t="b">
        <v>0</v>
      </c>
      <c r="I45" s="25" t="str">
        <f>HYPERLINK("https://www.cardmarket.com/en/Pokemon/Products/Singles?idCategory=1&amp;idProduct=sv3pt5-53", "CM")</f>
        <v>CM</v>
      </c>
      <c r="J45" s="23" t="b">
        <v>0</v>
      </c>
      <c r="K45" s="24" t="b">
        <v>0</v>
      </c>
      <c r="L45" s="25" t="str">
        <f>HYPERLINK("https://www.cardmarket.com/en/Pokemon/Products/Singles?idCategory=1&amp;idProduct=sv3pt5-54", "CM")</f>
        <v>CM</v>
      </c>
      <c r="M45" s="23" t="b">
        <v>0</v>
      </c>
      <c r="N45" s="24" t="b">
        <v>0</v>
      </c>
      <c r="O45" s="25" t="str">
        <f>HYPERLINK("https://www.cardmarket.com/en/Pokemon/Products/Singles?idCategory=1&amp;idProduct=sv3pt5-55", "CM")</f>
        <v>CM</v>
      </c>
    </row>
    <row r="46" ht="7.5" customHeight="1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</row>
    <row r="47" ht="18.75" customHeight="1">
      <c r="A47" s="18" t="s">
        <v>782</v>
      </c>
      <c r="B47" s="19" t="s">
        <v>1281</v>
      </c>
      <c r="C47" s="20"/>
      <c r="D47" s="18" t="s">
        <v>587</v>
      </c>
      <c r="E47" s="19" t="s">
        <v>1282</v>
      </c>
      <c r="F47" s="20"/>
      <c r="G47" s="18" t="s">
        <v>589</v>
      </c>
      <c r="H47" s="19" t="s">
        <v>550</v>
      </c>
      <c r="I47" s="20"/>
      <c r="J47" s="18" t="s">
        <v>591</v>
      </c>
      <c r="K47" s="19" t="s">
        <v>751</v>
      </c>
      <c r="L47" s="20"/>
      <c r="M47" s="18" t="s">
        <v>593</v>
      </c>
      <c r="N47" s="19" t="s">
        <v>1516</v>
      </c>
      <c r="O47" s="20"/>
    </row>
    <row r="48" ht="180.0" customHeight="1">
      <c r="A48" s="21" t="str">
        <f>IMAGE("https://assets.tcgdex.net/de/sv/sv03.5/056/low.jpg", 1)</f>
        <v/>
      </c>
      <c r="B48" s="22"/>
      <c r="C48" s="20"/>
      <c r="D48" s="21" t="str">
        <f>IMAGE("https://assets.tcgdex.net/de/sv/sv03.5/057/low.jpg", 1)</f>
        <v/>
      </c>
      <c r="E48" s="22"/>
      <c r="F48" s="20"/>
      <c r="G48" s="21" t="str">
        <f>IMAGE("https://assets.tcgdex.net/de/sv/sv03.5/058/low.jpg", 1)</f>
        <v/>
      </c>
      <c r="H48" s="22"/>
      <c r="I48" s="20"/>
      <c r="J48" s="21" t="str">
        <f>IMAGE("https://assets.tcgdex.net/de/sv/sv03.5/059/low.jpg", 1)</f>
        <v/>
      </c>
      <c r="K48" s="22"/>
      <c r="L48" s="20"/>
      <c r="M48" s="21" t="str">
        <f>IMAGE("https://assets.tcgdex.net/de/sv/sv03.5/060/low.jpg", 1)</f>
        <v/>
      </c>
      <c r="N48" s="22"/>
      <c r="O48" s="20"/>
    </row>
    <row r="49" ht="22.5" customHeight="1">
      <c r="A49" s="23" t="b">
        <v>0</v>
      </c>
      <c r="B49" s="24" t="b">
        <v>0</v>
      </c>
      <c r="C49" s="25" t="str">
        <f>HYPERLINK("https://www.cardmarket.com/en/Pokemon/Products/Singles?idCategory=1&amp;idProduct=sv3pt5-56", "CM")</f>
        <v>CM</v>
      </c>
      <c r="D49" s="23" t="b">
        <v>0</v>
      </c>
      <c r="E49" s="24" t="b">
        <v>0</v>
      </c>
      <c r="F49" s="25" t="str">
        <f>HYPERLINK("https://www.cardmarket.com/en/Pokemon/Products/Singles?idCategory=1&amp;idProduct=sv3pt5-57", "CM")</f>
        <v>CM</v>
      </c>
      <c r="G49" s="23" t="b">
        <v>0</v>
      </c>
      <c r="H49" s="24" t="b">
        <v>0</v>
      </c>
      <c r="I49" s="25" t="str">
        <f>HYPERLINK("https://www.cardmarket.com/en/Pokemon/Products/Singles?idCategory=1&amp;idProduct=sv3pt5-58", "CM")</f>
        <v>CM</v>
      </c>
      <c r="J49" s="23" t="b">
        <v>0</v>
      </c>
      <c r="K49" s="24" t="b">
        <v>0</v>
      </c>
      <c r="L49" s="25" t="str">
        <f>HYPERLINK("https://www.cardmarket.com/en/Pokemon/Products/Singles?idCategory=1&amp;idProduct=sv3pt5-59", "CM")</f>
        <v>CM</v>
      </c>
      <c r="M49" s="23" t="b">
        <v>0</v>
      </c>
      <c r="N49" s="24" t="b">
        <v>0</v>
      </c>
      <c r="O49" s="25" t="str">
        <f>HYPERLINK("https://www.cardmarket.com/en/Pokemon/Products/Singles?idCategory=1&amp;idProduct=sv3pt5-60", "CM")</f>
        <v>CM</v>
      </c>
    </row>
    <row r="50" ht="7.5" customHeight="1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</row>
    <row r="51" ht="18.75" customHeight="1">
      <c r="A51" s="18" t="s">
        <v>595</v>
      </c>
      <c r="B51" s="19" t="s">
        <v>1517</v>
      </c>
      <c r="C51" s="20"/>
      <c r="D51" s="18" t="s">
        <v>597</v>
      </c>
      <c r="E51" s="19" t="s">
        <v>1518</v>
      </c>
      <c r="F51" s="20"/>
      <c r="G51" s="18" t="s">
        <v>784</v>
      </c>
      <c r="H51" s="19" t="s">
        <v>1519</v>
      </c>
      <c r="I51" s="20"/>
      <c r="J51" s="18" t="s">
        <v>786</v>
      </c>
      <c r="K51" s="19" t="s">
        <v>1520</v>
      </c>
      <c r="L51" s="20"/>
      <c r="M51" s="18" t="s">
        <v>788</v>
      </c>
      <c r="N51" s="19" t="s">
        <v>775</v>
      </c>
      <c r="O51" s="20"/>
    </row>
    <row r="52" ht="180.0" customHeight="1">
      <c r="A52" s="21" t="str">
        <f>IMAGE("https://assets.tcgdex.net/de/sv/sv03.5/061/low.jpg", 1)</f>
        <v/>
      </c>
      <c r="B52" s="22"/>
      <c r="C52" s="20"/>
      <c r="D52" s="21" t="str">
        <f>IMAGE("https://assets.tcgdex.net/de/sv/sv03.5/062/low.jpg", 1)</f>
        <v/>
      </c>
      <c r="E52" s="22"/>
      <c r="F52" s="20"/>
      <c r="G52" s="21" t="str">
        <f>IMAGE("https://assets.tcgdex.net/de/sv/sv03.5/063/low.jpg", 1)</f>
        <v/>
      </c>
      <c r="H52" s="22"/>
      <c r="I52" s="20"/>
      <c r="J52" s="21" t="str">
        <f>IMAGE("https://assets.tcgdex.net/de/sv/sv03.5/064/low.jpg", 1)</f>
        <v/>
      </c>
      <c r="K52" s="22"/>
      <c r="L52" s="20"/>
      <c r="M52" s="21" t="str">
        <f>IMAGE("https://assets.tcgdex.net/de/sv/sv03.5/065/low.jpg", 1)</f>
        <v/>
      </c>
      <c r="N52" s="22"/>
      <c r="O52" s="20"/>
    </row>
    <row r="53" ht="22.5" customHeight="1">
      <c r="A53" s="23" t="b">
        <v>0</v>
      </c>
      <c r="B53" s="24" t="b">
        <v>0</v>
      </c>
      <c r="C53" s="25" t="str">
        <f>HYPERLINK("https://www.cardmarket.com/en/Pokemon/Products/Singles?idCategory=1&amp;idProduct=sv3pt5-61", "CM")</f>
        <v>CM</v>
      </c>
      <c r="D53" s="23" t="b">
        <v>0</v>
      </c>
      <c r="E53" s="24" t="b">
        <v>0</v>
      </c>
      <c r="F53" s="25" t="str">
        <f>HYPERLINK("https://www.cardmarket.com/en/Pokemon/Products/Singles?idCategory=1&amp;idProduct=sv3pt5-62", "CM")</f>
        <v>CM</v>
      </c>
      <c r="G53" s="23" t="b">
        <v>0</v>
      </c>
      <c r="H53" s="24" t="b">
        <v>0</v>
      </c>
      <c r="I53" s="25" t="str">
        <f>HYPERLINK("https://www.cardmarket.com/en/Pokemon/Products/Singles?idCategory=1&amp;idProduct=sv3pt5-63", "CM")</f>
        <v>CM</v>
      </c>
      <c r="J53" s="23" t="b">
        <v>0</v>
      </c>
      <c r="K53" s="24" t="b">
        <v>0</v>
      </c>
      <c r="L53" s="25" t="str">
        <f>HYPERLINK("https://www.cardmarket.com/en/Pokemon/Products/Singles?idCategory=1&amp;idProduct=sv3pt5-64", "CM")</f>
        <v>CM</v>
      </c>
      <c r="M53" s="23" t="b">
        <v>0</v>
      </c>
      <c r="N53" s="24" t="b">
        <v>0</v>
      </c>
      <c r="O53" s="25" t="str">
        <f>HYPERLINK("https://www.cardmarket.com/en/Pokemon/Products/Singles?idCategory=1&amp;idProduct=sv3pt5-65", "CM")</f>
        <v>CM</v>
      </c>
    </row>
    <row r="54" ht="7.5" customHeight="1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</row>
    <row r="55" ht="18.75" customHeight="1">
      <c r="A55" s="18" t="s">
        <v>790</v>
      </c>
      <c r="B55" s="19" t="s">
        <v>1521</v>
      </c>
      <c r="C55" s="20"/>
      <c r="D55" s="18" t="s">
        <v>791</v>
      </c>
      <c r="E55" s="19" t="s">
        <v>1522</v>
      </c>
      <c r="F55" s="20"/>
      <c r="G55" s="18" t="s">
        <v>793</v>
      </c>
      <c r="H55" s="19" t="s">
        <v>1523</v>
      </c>
      <c r="I55" s="20"/>
      <c r="J55" s="18" t="s">
        <v>795</v>
      </c>
      <c r="K55" s="19" t="s">
        <v>1524</v>
      </c>
      <c r="L55" s="20"/>
      <c r="M55" s="18" t="s">
        <v>797</v>
      </c>
      <c r="N55" s="19" t="s">
        <v>1525</v>
      </c>
      <c r="O55" s="20"/>
    </row>
    <row r="56" ht="180.0" customHeight="1">
      <c r="A56" s="21" t="str">
        <f>IMAGE("https://assets.tcgdex.net/de/sv/sv03.5/066/low.jpg", 1)</f>
        <v/>
      </c>
      <c r="B56" s="22"/>
      <c r="C56" s="20"/>
      <c r="D56" s="21" t="str">
        <f>IMAGE("https://assets.tcgdex.net/de/sv/sv03.5/067/low.jpg", 1)</f>
        <v/>
      </c>
      <c r="E56" s="22"/>
      <c r="F56" s="20"/>
      <c r="G56" s="21" t="str">
        <f>IMAGE("https://assets.tcgdex.net/de/sv/sv03.5/068/low.jpg", 1)</f>
        <v/>
      </c>
      <c r="H56" s="22"/>
      <c r="I56" s="20"/>
      <c r="J56" s="21" t="str">
        <f>IMAGE("https://assets.tcgdex.net/de/sv/sv03.5/069/low.jpg", 1)</f>
        <v/>
      </c>
      <c r="K56" s="22"/>
      <c r="L56" s="20"/>
      <c r="M56" s="21" t="str">
        <f>IMAGE("https://assets.tcgdex.net/de/sv/sv03.5/070/low.jpg", 1)</f>
        <v/>
      </c>
      <c r="N56" s="22"/>
      <c r="O56" s="20"/>
    </row>
    <row r="57" ht="22.5" customHeight="1">
      <c r="A57" s="23" t="b">
        <v>0</v>
      </c>
      <c r="B57" s="24" t="b">
        <v>0</v>
      </c>
      <c r="C57" s="25" t="str">
        <f>HYPERLINK("https://www.cardmarket.com/en/Pokemon/Products/Singles?idCategory=1&amp;idProduct=sv3pt5-66", "CM")</f>
        <v>CM</v>
      </c>
      <c r="D57" s="23" t="b">
        <v>0</v>
      </c>
      <c r="E57" s="24" t="b">
        <v>0</v>
      </c>
      <c r="F57" s="25" t="str">
        <f>HYPERLINK("https://www.cardmarket.com/en/Pokemon/Products/Singles?idCategory=1&amp;idProduct=sv3pt5-67", "CM")</f>
        <v>CM</v>
      </c>
      <c r="G57" s="23" t="b">
        <v>0</v>
      </c>
      <c r="H57" s="24" t="b">
        <v>0</v>
      </c>
      <c r="I57" s="25" t="str">
        <f>HYPERLINK("https://www.cardmarket.com/en/Pokemon/Products/Singles?idCategory=1&amp;idProduct=sv3pt5-68", "CM")</f>
        <v>CM</v>
      </c>
      <c r="J57" s="23" t="b">
        <v>0</v>
      </c>
      <c r="K57" s="24" t="b">
        <v>0</v>
      </c>
      <c r="L57" s="25" t="str">
        <f>HYPERLINK("https://www.cardmarket.com/en/Pokemon/Products/Singles?idCategory=1&amp;idProduct=sv3pt5-69", "CM")</f>
        <v>CM</v>
      </c>
      <c r="M57" s="23" t="b">
        <v>0</v>
      </c>
      <c r="N57" s="24" t="b">
        <v>0</v>
      </c>
      <c r="O57" s="25" t="str">
        <f>HYPERLINK("https://www.cardmarket.com/en/Pokemon/Products/Singles?idCategory=1&amp;idProduct=sv3pt5-70", "CM")</f>
        <v>CM</v>
      </c>
    </row>
    <row r="58" ht="7.5" customHeight="1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</row>
    <row r="59" ht="18.75" customHeight="1">
      <c r="A59" s="18" t="s">
        <v>799</v>
      </c>
      <c r="B59" s="19" t="s">
        <v>1526</v>
      </c>
      <c r="C59" s="20"/>
      <c r="D59" s="18" t="s">
        <v>801</v>
      </c>
      <c r="E59" s="19" t="s">
        <v>1527</v>
      </c>
      <c r="F59" s="20"/>
      <c r="G59" s="18" t="s">
        <v>803</v>
      </c>
      <c r="H59" s="19" t="s">
        <v>1528</v>
      </c>
      <c r="I59" s="20"/>
      <c r="J59" s="18" t="s">
        <v>805</v>
      </c>
      <c r="K59" s="19" t="s">
        <v>1529</v>
      </c>
      <c r="L59" s="20"/>
      <c r="M59" s="18" t="s">
        <v>806</v>
      </c>
      <c r="N59" s="19" t="s">
        <v>996</v>
      </c>
      <c r="O59" s="20"/>
    </row>
    <row r="60" ht="180.0" customHeight="1">
      <c r="A60" s="21" t="str">
        <f>IMAGE("https://assets.tcgdex.net/de/sv/sv03.5/071/low.jpg", 1)</f>
        <v/>
      </c>
      <c r="B60" s="22"/>
      <c r="C60" s="20"/>
      <c r="D60" s="21" t="str">
        <f>IMAGE("https://assets.tcgdex.net/de/sv/sv03.5/072/low.jpg", 1)</f>
        <v/>
      </c>
      <c r="E60" s="22"/>
      <c r="F60" s="20"/>
      <c r="G60" s="21" t="str">
        <f>IMAGE("https://assets.tcgdex.net/de/sv/sv03.5/073/low.jpg", 1)</f>
        <v/>
      </c>
      <c r="H60" s="22"/>
      <c r="I60" s="20"/>
      <c r="J60" s="21" t="str">
        <f>IMAGE("https://assets.tcgdex.net/de/sv/sv03.5/074/low.jpg", 1)</f>
        <v/>
      </c>
      <c r="K60" s="22"/>
      <c r="L60" s="20"/>
      <c r="M60" s="21" t="str">
        <f>IMAGE("https://assets.tcgdex.net/de/sv/sv03.5/075/low.jpg", 1)</f>
        <v/>
      </c>
      <c r="N60" s="22"/>
      <c r="O60" s="20"/>
    </row>
    <row r="61" ht="22.5" customHeight="1">
      <c r="A61" s="23" t="b">
        <v>0</v>
      </c>
      <c r="B61" s="24" t="b">
        <v>0</v>
      </c>
      <c r="C61" s="25" t="str">
        <f>HYPERLINK("https://www.cardmarket.com/en/Pokemon/Products/Singles?idCategory=1&amp;idProduct=sv3pt5-71", "CM")</f>
        <v>CM</v>
      </c>
      <c r="D61" s="23" t="b">
        <v>0</v>
      </c>
      <c r="E61" s="24" t="b">
        <v>0</v>
      </c>
      <c r="F61" s="25" t="str">
        <f>HYPERLINK("https://www.cardmarket.com/en/Pokemon/Products/Singles?idCategory=1&amp;idProduct=sv3pt5-72", "CM")</f>
        <v>CM</v>
      </c>
      <c r="G61" s="23" t="b">
        <v>0</v>
      </c>
      <c r="H61" s="24" t="b">
        <v>0</v>
      </c>
      <c r="I61" s="25" t="str">
        <f>HYPERLINK("https://www.cardmarket.com/en/Pokemon/Products/Singles?idCategory=1&amp;idProduct=sv3pt5-73", "CM")</f>
        <v>CM</v>
      </c>
      <c r="J61" s="23" t="b">
        <v>0</v>
      </c>
      <c r="K61" s="24" t="b">
        <v>0</v>
      </c>
      <c r="L61" s="25" t="str">
        <f>HYPERLINK("https://www.cardmarket.com/en/Pokemon/Products/Singles?idCategory=1&amp;idProduct=sv3pt5-74", "CM")</f>
        <v>CM</v>
      </c>
      <c r="M61" s="23" t="b">
        <v>0</v>
      </c>
      <c r="N61" s="24" t="b">
        <v>0</v>
      </c>
      <c r="O61" s="25" t="str">
        <f>HYPERLINK("https://www.cardmarket.com/en/Pokemon/Products/Singles?idCategory=1&amp;idProduct=sv3pt5-75", "CM")</f>
        <v>CM</v>
      </c>
    </row>
    <row r="62" ht="7.5" customHeight="1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</row>
    <row r="63" ht="18.75" customHeight="1">
      <c r="A63" s="18" t="s">
        <v>808</v>
      </c>
      <c r="B63" s="19" t="s">
        <v>1530</v>
      </c>
      <c r="C63" s="20"/>
      <c r="D63" s="18" t="s">
        <v>809</v>
      </c>
      <c r="E63" s="19" t="s">
        <v>1531</v>
      </c>
      <c r="F63" s="20"/>
      <c r="G63" s="18" t="s">
        <v>811</v>
      </c>
      <c r="H63" s="19" t="s">
        <v>1532</v>
      </c>
      <c r="I63" s="20"/>
      <c r="J63" s="18" t="s">
        <v>599</v>
      </c>
      <c r="K63" s="19" t="s">
        <v>1242</v>
      </c>
      <c r="L63" s="20"/>
      <c r="M63" s="18" t="s">
        <v>601</v>
      </c>
      <c r="N63" s="19" t="s">
        <v>1258</v>
      </c>
      <c r="O63" s="20"/>
    </row>
    <row r="64" ht="180.0" customHeight="1">
      <c r="A64" s="21" t="str">
        <f>IMAGE("https://assets.tcgdex.net/de/sv/sv03.5/076/low.jpg", 1)</f>
        <v/>
      </c>
      <c r="B64" s="22"/>
      <c r="C64" s="20"/>
      <c r="D64" s="21" t="str">
        <f>IMAGE("https://assets.tcgdex.net/de/sv/sv03.5/077/low.jpg", 1)</f>
        <v/>
      </c>
      <c r="E64" s="22"/>
      <c r="F64" s="20"/>
      <c r="G64" s="21" t="str">
        <f>IMAGE("https://assets.tcgdex.net/de/sv/sv03.5/078/low.jpg", 1)</f>
        <v/>
      </c>
      <c r="H64" s="22"/>
      <c r="I64" s="20"/>
      <c r="J64" s="21" t="str">
        <f>IMAGE("https://assets.tcgdex.net/de/sv/sv03.5/079/low.jpg", 1)</f>
        <v/>
      </c>
      <c r="K64" s="22"/>
      <c r="L64" s="20"/>
      <c r="M64" s="21" t="str">
        <f>IMAGE("https://assets.tcgdex.net/de/sv/sv03.5/080/low.jpg", 1)</f>
        <v/>
      </c>
      <c r="N64" s="22"/>
      <c r="O64" s="20"/>
    </row>
    <row r="65" ht="22.5" customHeight="1">
      <c r="A65" s="23" t="b">
        <v>0</v>
      </c>
      <c r="B65" s="24" t="b">
        <v>0</v>
      </c>
      <c r="C65" s="25" t="str">
        <f>HYPERLINK("https://www.cardmarket.com/en/Pokemon/Products/Singles?idCategory=1&amp;idProduct=sv3pt5-76", "CM")</f>
        <v>CM</v>
      </c>
      <c r="D65" s="23" t="b">
        <v>0</v>
      </c>
      <c r="E65" s="24" t="b">
        <v>0</v>
      </c>
      <c r="F65" s="25" t="str">
        <f>HYPERLINK("https://www.cardmarket.com/en/Pokemon/Products/Singles?idCategory=1&amp;idProduct=sv3pt5-77", "CM")</f>
        <v>CM</v>
      </c>
      <c r="G65" s="23" t="b">
        <v>0</v>
      </c>
      <c r="H65" s="24" t="b">
        <v>0</v>
      </c>
      <c r="I65" s="25" t="str">
        <f>HYPERLINK("https://www.cardmarket.com/en/Pokemon/Products/Singles?idCategory=1&amp;idProduct=sv3pt5-78", "CM")</f>
        <v>CM</v>
      </c>
      <c r="J65" s="23" t="b">
        <v>0</v>
      </c>
      <c r="K65" s="24" t="b">
        <v>0</v>
      </c>
      <c r="L65" s="25" t="str">
        <f>HYPERLINK("https://www.cardmarket.com/en/Pokemon/Products/Singles?idCategory=1&amp;idProduct=sv3pt5-79", "CM")</f>
        <v>CM</v>
      </c>
      <c r="M65" s="23" t="b">
        <v>0</v>
      </c>
      <c r="N65" s="24" t="b">
        <v>0</v>
      </c>
      <c r="O65" s="25" t="str">
        <f>HYPERLINK("https://www.cardmarket.com/en/Pokemon/Products/Singles?idCategory=1&amp;idProduct=sv3pt5-80", "CM")</f>
        <v>CM</v>
      </c>
    </row>
    <row r="66" ht="7.5" customHeight="1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</row>
    <row r="67" ht="18.75" customHeight="1">
      <c r="A67" s="18" t="s">
        <v>603</v>
      </c>
      <c r="B67" s="19" t="s">
        <v>1268</v>
      </c>
      <c r="C67" s="20"/>
      <c r="D67" s="18" t="s">
        <v>604</v>
      </c>
      <c r="E67" s="19" t="s">
        <v>688</v>
      </c>
      <c r="F67" s="20"/>
      <c r="G67" s="18" t="s">
        <v>606</v>
      </c>
      <c r="H67" s="19" t="s">
        <v>1533</v>
      </c>
      <c r="I67" s="20"/>
      <c r="J67" s="18" t="s">
        <v>608</v>
      </c>
      <c r="K67" s="19" t="s">
        <v>1534</v>
      </c>
      <c r="L67" s="20"/>
      <c r="M67" s="18" t="s">
        <v>609</v>
      </c>
      <c r="N67" s="19" t="s">
        <v>1535</v>
      </c>
      <c r="O67" s="20"/>
    </row>
    <row r="68" ht="180.0" customHeight="1">
      <c r="A68" s="21" t="str">
        <f>IMAGE("https://assets.tcgdex.net/de/sv/sv03.5/081/low.jpg", 1)</f>
        <v/>
      </c>
      <c r="B68" s="22"/>
      <c r="C68" s="20"/>
      <c r="D68" s="21" t="str">
        <f>IMAGE("https://assets.tcgdex.net/de/sv/sv03.5/082/low.jpg", 1)</f>
        <v/>
      </c>
      <c r="E68" s="22"/>
      <c r="F68" s="20"/>
      <c r="G68" s="21" t="str">
        <f>IMAGE("https://assets.tcgdex.net/de/sv/sv03.5/083/low.jpg", 1)</f>
        <v/>
      </c>
      <c r="H68" s="22"/>
      <c r="I68" s="20"/>
      <c r="J68" s="21" t="str">
        <f>IMAGE("https://assets.tcgdex.net/de/sv/sv03.5/084/low.jpg", 1)</f>
        <v/>
      </c>
      <c r="K68" s="22"/>
      <c r="L68" s="20"/>
      <c r="M68" s="21" t="str">
        <f>IMAGE("https://assets.tcgdex.net/de/sv/sv03.5/085/low.jpg", 1)</f>
        <v/>
      </c>
      <c r="N68" s="22"/>
      <c r="O68" s="20"/>
    </row>
    <row r="69" ht="22.5" customHeight="1">
      <c r="A69" s="23" t="b">
        <v>0</v>
      </c>
      <c r="B69" s="24" t="b">
        <v>0</v>
      </c>
      <c r="C69" s="25" t="str">
        <f>HYPERLINK("https://www.cardmarket.com/en/Pokemon/Products/Singles?idCategory=1&amp;idProduct=sv3pt5-81", "CM")</f>
        <v>CM</v>
      </c>
      <c r="D69" s="23" t="b">
        <v>0</v>
      </c>
      <c r="E69" s="24" t="b">
        <v>0</v>
      </c>
      <c r="F69" s="25" t="str">
        <f>HYPERLINK("https://www.cardmarket.com/en/Pokemon/Products/Singles?idCategory=1&amp;idProduct=sv3pt5-82", "CM")</f>
        <v>CM</v>
      </c>
      <c r="G69" s="23" t="b">
        <v>0</v>
      </c>
      <c r="H69" s="24" t="b">
        <v>0</v>
      </c>
      <c r="I69" s="25" t="str">
        <f>HYPERLINK("https://www.cardmarket.com/en/Pokemon/Products/Singles?idCategory=1&amp;idProduct=sv3pt5-83", "CM")</f>
        <v>CM</v>
      </c>
      <c r="J69" s="23" t="b">
        <v>0</v>
      </c>
      <c r="K69" s="24" t="b">
        <v>0</v>
      </c>
      <c r="L69" s="25" t="str">
        <f>HYPERLINK("https://www.cardmarket.com/en/Pokemon/Products/Singles?idCategory=1&amp;idProduct=sv3pt5-84", "CM")</f>
        <v>CM</v>
      </c>
      <c r="M69" s="23" t="b">
        <v>0</v>
      </c>
      <c r="N69" s="24" t="b">
        <v>0</v>
      </c>
      <c r="O69" s="25" t="str">
        <f>HYPERLINK("https://www.cardmarket.com/en/Pokemon/Products/Singles?idCategory=1&amp;idProduct=sv3pt5-85", "CM")</f>
        <v>CM</v>
      </c>
    </row>
    <row r="70" ht="7.5" customHeight="1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</row>
    <row r="71" ht="18.75" customHeight="1">
      <c r="A71" s="18" t="s">
        <v>611</v>
      </c>
      <c r="B71" s="19" t="s">
        <v>917</v>
      </c>
      <c r="C71" s="20"/>
      <c r="D71" s="18" t="s">
        <v>613</v>
      </c>
      <c r="E71" s="19" t="s">
        <v>1536</v>
      </c>
      <c r="F71" s="20"/>
      <c r="G71" s="18" t="s">
        <v>615</v>
      </c>
      <c r="H71" s="19" t="s">
        <v>1289</v>
      </c>
      <c r="I71" s="20"/>
      <c r="J71" s="18" t="s">
        <v>617</v>
      </c>
      <c r="K71" s="19" t="s">
        <v>1290</v>
      </c>
      <c r="L71" s="20"/>
      <c r="M71" s="18" t="s">
        <v>619</v>
      </c>
      <c r="N71" s="19" t="s">
        <v>1537</v>
      </c>
      <c r="O71" s="20"/>
    </row>
    <row r="72" ht="180.0" customHeight="1">
      <c r="A72" s="21" t="str">
        <f>IMAGE("https://assets.tcgdex.net/de/sv/sv03.5/086/low.jpg", 1)</f>
        <v/>
      </c>
      <c r="B72" s="22"/>
      <c r="C72" s="20"/>
      <c r="D72" s="21" t="str">
        <f>IMAGE("https://assets.tcgdex.net/de/sv/sv03.5/087/low.jpg", 1)</f>
        <v/>
      </c>
      <c r="E72" s="22"/>
      <c r="F72" s="20"/>
      <c r="G72" s="21" t="str">
        <f>IMAGE("https://assets.tcgdex.net/de/sv/sv03.5/088/low.jpg", 1)</f>
        <v/>
      </c>
      <c r="H72" s="22"/>
      <c r="I72" s="20"/>
      <c r="J72" s="21" t="str">
        <f>IMAGE("https://assets.tcgdex.net/de/sv/sv03.5/089/low.jpg", 1)</f>
        <v/>
      </c>
      <c r="K72" s="22"/>
      <c r="L72" s="20"/>
      <c r="M72" s="21" t="str">
        <f>IMAGE("https://assets.tcgdex.net/de/sv/sv03.5/090/low.jpg", 1)</f>
        <v/>
      </c>
      <c r="N72" s="22"/>
      <c r="O72" s="20"/>
    </row>
    <row r="73" ht="22.5" customHeight="1">
      <c r="A73" s="23" t="b">
        <v>0</v>
      </c>
      <c r="B73" s="24" t="b">
        <v>0</v>
      </c>
      <c r="C73" s="25" t="str">
        <f>HYPERLINK("https://www.cardmarket.com/en/Pokemon/Products/Singles?idCategory=1&amp;idProduct=sv3pt5-86", "CM")</f>
        <v>CM</v>
      </c>
      <c r="D73" s="23" t="b">
        <v>0</v>
      </c>
      <c r="E73" s="24" t="b">
        <v>0</v>
      </c>
      <c r="F73" s="25" t="str">
        <f>HYPERLINK("https://www.cardmarket.com/en/Pokemon/Products/Singles?idCategory=1&amp;idProduct=sv3pt5-87", "CM")</f>
        <v>CM</v>
      </c>
      <c r="G73" s="23" t="b">
        <v>0</v>
      </c>
      <c r="H73" s="24" t="b">
        <v>0</v>
      </c>
      <c r="I73" s="25" t="str">
        <f>HYPERLINK("https://www.cardmarket.com/en/Pokemon/Products/Singles?idCategory=1&amp;idProduct=sv3pt5-88", "CM")</f>
        <v>CM</v>
      </c>
      <c r="J73" s="23" t="b">
        <v>0</v>
      </c>
      <c r="K73" s="24" t="b">
        <v>0</v>
      </c>
      <c r="L73" s="25" t="str">
        <f>HYPERLINK("https://www.cardmarket.com/en/Pokemon/Products/Singles?idCategory=1&amp;idProduct=sv3pt5-89", "CM")</f>
        <v>CM</v>
      </c>
      <c r="M73" s="23" t="b">
        <v>0</v>
      </c>
      <c r="N73" s="24" t="b">
        <v>0</v>
      </c>
      <c r="O73" s="25" t="str">
        <f>HYPERLINK("https://www.cardmarket.com/en/Pokemon/Products/Singles?idCategory=1&amp;idProduct=sv3pt5-90", "CM")</f>
        <v>CM</v>
      </c>
    </row>
    <row r="74" ht="7.5" customHeight="1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</row>
    <row r="75" ht="18.75" customHeight="1">
      <c r="A75" s="18" t="s">
        <v>621</v>
      </c>
      <c r="B75" s="19" t="s">
        <v>1538</v>
      </c>
      <c r="C75" s="20"/>
      <c r="D75" s="18" t="s">
        <v>623</v>
      </c>
      <c r="E75" s="19" t="s">
        <v>1539</v>
      </c>
      <c r="F75" s="20"/>
      <c r="G75" s="18" t="s">
        <v>625</v>
      </c>
      <c r="H75" s="19" t="s">
        <v>1540</v>
      </c>
      <c r="I75" s="20"/>
      <c r="J75" s="18" t="s">
        <v>627</v>
      </c>
      <c r="K75" s="19" t="s">
        <v>1541</v>
      </c>
      <c r="L75" s="20"/>
      <c r="M75" s="18" t="s">
        <v>812</v>
      </c>
      <c r="N75" s="19" t="s">
        <v>1542</v>
      </c>
      <c r="O75" s="20"/>
    </row>
    <row r="76" ht="180.0" customHeight="1">
      <c r="A76" s="21" t="str">
        <f>IMAGE("https://assets.tcgdex.net/de/sv/sv03.5/091/low.jpg", 1)</f>
        <v/>
      </c>
      <c r="B76" s="22"/>
      <c r="C76" s="20"/>
      <c r="D76" s="21" t="str">
        <f>IMAGE("https://assets.tcgdex.net/de/sv/sv03.5/092/low.jpg", 1)</f>
        <v/>
      </c>
      <c r="E76" s="22"/>
      <c r="F76" s="20"/>
      <c r="G76" s="21" t="str">
        <f>IMAGE("https://assets.tcgdex.net/de/sv/sv03.5/093/low.jpg", 1)</f>
        <v/>
      </c>
      <c r="H76" s="22"/>
      <c r="I76" s="20"/>
      <c r="J76" s="21" t="str">
        <f>IMAGE("https://assets.tcgdex.net/de/sv/sv03.5/094/low.jpg", 1)</f>
        <v/>
      </c>
      <c r="K76" s="22"/>
      <c r="L76" s="20"/>
      <c r="M76" s="21" t="str">
        <f>IMAGE("https://assets.tcgdex.net/de/sv/sv03.5/095/low.jpg", 1)</f>
        <v/>
      </c>
      <c r="N76" s="22"/>
      <c r="O76" s="20"/>
    </row>
    <row r="77" ht="22.5" customHeight="1">
      <c r="A77" s="23" t="b">
        <v>0</v>
      </c>
      <c r="B77" s="24" t="b">
        <v>0</v>
      </c>
      <c r="C77" s="25" t="str">
        <f>HYPERLINK("https://www.cardmarket.com/en/Pokemon/Products/Singles?idCategory=1&amp;idProduct=sv3pt5-91", "CM")</f>
        <v>CM</v>
      </c>
      <c r="D77" s="23" t="b">
        <v>0</v>
      </c>
      <c r="E77" s="24" t="b">
        <v>0</v>
      </c>
      <c r="F77" s="25" t="str">
        <f>HYPERLINK("https://www.cardmarket.com/en/Pokemon/Products/Singles?idCategory=1&amp;idProduct=sv3pt5-92", "CM")</f>
        <v>CM</v>
      </c>
      <c r="G77" s="23" t="b">
        <v>0</v>
      </c>
      <c r="H77" s="24" t="b">
        <v>0</v>
      </c>
      <c r="I77" s="25" t="str">
        <f>HYPERLINK("https://www.cardmarket.com/en/Pokemon/Products/Singles?idCategory=1&amp;idProduct=sv3pt5-93", "CM")</f>
        <v>CM</v>
      </c>
      <c r="J77" s="23" t="b">
        <v>0</v>
      </c>
      <c r="K77" s="24" t="b">
        <v>0</v>
      </c>
      <c r="L77" s="25" t="str">
        <f>HYPERLINK("https://www.cardmarket.com/en/Pokemon/Products/Singles?idCategory=1&amp;idProduct=sv3pt5-94", "CM")</f>
        <v>CM</v>
      </c>
      <c r="M77" s="23" t="b">
        <v>0</v>
      </c>
      <c r="N77" s="24" t="b">
        <v>0</v>
      </c>
      <c r="O77" s="25" t="str">
        <f>HYPERLINK("https://www.cardmarket.com/en/Pokemon/Products/Singles?idCategory=1&amp;idProduct=sv3pt5-95", "CM")</f>
        <v>CM</v>
      </c>
    </row>
    <row r="78" ht="7.5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</row>
    <row r="79" ht="18.75" customHeight="1">
      <c r="A79" s="18" t="s">
        <v>813</v>
      </c>
      <c r="B79" s="19" t="s">
        <v>1185</v>
      </c>
      <c r="C79" s="20"/>
      <c r="D79" s="18" t="s">
        <v>815</v>
      </c>
      <c r="E79" s="19" t="s">
        <v>1272</v>
      </c>
      <c r="F79" s="20"/>
      <c r="G79" s="18" t="s">
        <v>817</v>
      </c>
      <c r="H79" s="19" t="s">
        <v>1543</v>
      </c>
      <c r="I79" s="20"/>
      <c r="J79" s="18" t="s">
        <v>819</v>
      </c>
      <c r="K79" s="19" t="s">
        <v>1544</v>
      </c>
      <c r="L79" s="20"/>
      <c r="M79" s="18" t="s">
        <v>821</v>
      </c>
      <c r="N79" s="19" t="s">
        <v>1545</v>
      </c>
      <c r="O79" s="20"/>
    </row>
    <row r="80" ht="180.0" customHeight="1">
      <c r="A80" s="21" t="str">
        <f>IMAGE("https://assets.tcgdex.net/de/sv/sv03.5/096/low.jpg", 1)</f>
        <v/>
      </c>
      <c r="B80" s="22"/>
      <c r="C80" s="20"/>
      <c r="D80" s="21" t="str">
        <f>IMAGE("https://assets.tcgdex.net/de/sv/sv03.5/097/low.jpg", 1)</f>
        <v/>
      </c>
      <c r="E80" s="22"/>
      <c r="F80" s="20"/>
      <c r="G80" s="21" t="str">
        <f>IMAGE("https://assets.tcgdex.net/de/sv/sv03.5/098/low.jpg", 1)</f>
        <v/>
      </c>
      <c r="H80" s="22"/>
      <c r="I80" s="20"/>
      <c r="J80" s="21" t="str">
        <f>IMAGE("https://assets.tcgdex.net/de/sv/sv03.5/099/low.jpg", 1)</f>
        <v/>
      </c>
      <c r="K80" s="22"/>
      <c r="L80" s="20"/>
      <c r="M80" s="21" t="str">
        <f>IMAGE("https://assets.tcgdex.net/de/sv/sv03.5/100/low.jpg", 1)</f>
        <v/>
      </c>
      <c r="N80" s="22"/>
      <c r="O80" s="20"/>
    </row>
    <row r="81" ht="22.5" customHeight="1">
      <c r="A81" s="23" t="b">
        <v>0</v>
      </c>
      <c r="B81" s="24" t="b">
        <v>0</v>
      </c>
      <c r="C81" s="25" t="str">
        <f>HYPERLINK("https://www.cardmarket.com/en/Pokemon/Products/Singles?idCategory=1&amp;idProduct=sv3pt5-96", "CM")</f>
        <v>CM</v>
      </c>
      <c r="D81" s="23" t="b">
        <v>0</v>
      </c>
      <c r="E81" s="24" t="b">
        <v>0</v>
      </c>
      <c r="F81" s="25" t="str">
        <f>HYPERLINK("https://www.cardmarket.com/en/Pokemon/Products/Singles?idCategory=1&amp;idProduct=sv3pt5-97", "CM")</f>
        <v>CM</v>
      </c>
      <c r="G81" s="23" t="b">
        <v>0</v>
      </c>
      <c r="H81" s="24" t="b">
        <v>0</v>
      </c>
      <c r="I81" s="25" t="str">
        <f>HYPERLINK("https://www.cardmarket.com/en/Pokemon/Products/Singles?idCategory=1&amp;idProduct=sv3pt5-98", "CM")</f>
        <v>CM</v>
      </c>
      <c r="J81" s="23" t="b">
        <v>0</v>
      </c>
      <c r="K81" s="24" t="b">
        <v>0</v>
      </c>
      <c r="L81" s="25" t="str">
        <f>HYPERLINK("https://www.cardmarket.com/en/Pokemon/Products/Singles?idCategory=1&amp;idProduct=sv3pt5-99", "CM")</f>
        <v>CM</v>
      </c>
      <c r="M81" s="23" t="b">
        <v>0</v>
      </c>
      <c r="N81" s="24" t="b">
        <v>0</v>
      </c>
      <c r="O81" s="25" t="str">
        <f>HYPERLINK("https://www.cardmarket.com/en/Pokemon/Products/Singles?idCategory=1&amp;idProduct=sv3pt5-100", "CM")</f>
        <v>CM</v>
      </c>
    </row>
    <row r="82" ht="7.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</row>
    <row r="83" ht="18.75" customHeight="1">
      <c r="A83" s="18" t="s">
        <v>629</v>
      </c>
      <c r="B83" s="19" t="s">
        <v>1546</v>
      </c>
      <c r="C83" s="20"/>
      <c r="D83" s="18" t="s">
        <v>630</v>
      </c>
      <c r="E83" s="19" t="s">
        <v>926</v>
      </c>
      <c r="F83" s="20"/>
      <c r="G83" s="18" t="s">
        <v>632</v>
      </c>
      <c r="H83" s="19" t="s">
        <v>927</v>
      </c>
      <c r="I83" s="20"/>
      <c r="J83" s="18" t="s">
        <v>634</v>
      </c>
      <c r="K83" s="19" t="s">
        <v>1547</v>
      </c>
      <c r="L83" s="20"/>
      <c r="M83" s="18" t="s">
        <v>636</v>
      </c>
      <c r="N83" s="19" t="s">
        <v>1548</v>
      </c>
      <c r="O83" s="20"/>
    </row>
    <row r="84" ht="180.0" customHeight="1">
      <c r="A84" s="21" t="str">
        <f>IMAGE("https://assets.tcgdex.net/de/sv/sv03.5/101/low.jpg", 1)</f>
        <v/>
      </c>
      <c r="B84" s="22"/>
      <c r="C84" s="20"/>
      <c r="D84" s="21" t="str">
        <f>IMAGE("https://assets.tcgdex.net/de/sv/sv03.5/102/low.jpg", 1)</f>
        <v/>
      </c>
      <c r="E84" s="22"/>
      <c r="F84" s="20"/>
      <c r="G84" s="21" t="str">
        <f>IMAGE("https://assets.tcgdex.net/de/sv/sv03.5/103/low.jpg", 1)</f>
        <v/>
      </c>
      <c r="H84" s="22"/>
      <c r="I84" s="20"/>
      <c r="J84" s="21" t="str">
        <f>IMAGE("https://assets.tcgdex.net/de/sv/sv03.5/104/low.jpg", 1)</f>
        <v/>
      </c>
      <c r="K84" s="22"/>
      <c r="L84" s="20"/>
      <c r="M84" s="21" t="str">
        <f>IMAGE("https://assets.tcgdex.net/de/sv/sv03.5/105/low.jpg", 1)</f>
        <v/>
      </c>
      <c r="N84" s="22"/>
      <c r="O84" s="20"/>
    </row>
    <row r="85" ht="22.5" customHeight="1">
      <c r="A85" s="23" t="b">
        <v>0</v>
      </c>
      <c r="B85" s="24" t="b">
        <v>0</v>
      </c>
      <c r="C85" s="25" t="str">
        <f>HYPERLINK("https://www.cardmarket.com/en/Pokemon/Products/Singles?idCategory=1&amp;idProduct=sv3pt5-101", "CM")</f>
        <v>CM</v>
      </c>
      <c r="D85" s="23" t="b">
        <v>0</v>
      </c>
      <c r="E85" s="24" t="b">
        <v>0</v>
      </c>
      <c r="F85" s="25" t="str">
        <f>HYPERLINK("https://www.cardmarket.com/en/Pokemon/Products/Singles?idCategory=1&amp;idProduct=sv3pt5-102", "CM")</f>
        <v>CM</v>
      </c>
      <c r="G85" s="23" t="b">
        <v>0</v>
      </c>
      <c r="H85" s="24" t="b">
        <v>0</v>
      </c>
      <c r="I85" s="25" t="str">
        <f>HYPERLINK("https://www.cardmarket.com/en/Pokemon/Products/Singles?idCategory=1&amp;idProduct=sv3pt5-103", "CM")</f>
        <v>CM</v>
      </c>
      <c r="J85" s="23" t="b">
        <v>0</v>
      </c>
      <c r="K85" s="24" t="b">
        <v>0</v>
      </c>
      <c r="L85" s="25" t="str">
        <f>HYPERLINK("https://www.cardmarket.com/en/Pokemon/Products/Singles?idCategory=1&amp;idProduct=sv3pt5-104", "CM")</f>
        <v>CM</v>
      </c>
      <c r="M85" s="23" t="b">
        <v>0</v>
      </c>
      <c r="N85" s="24" t="b">
        <v>0</v>
      </c>
      <c r="O85" s="25" t="str">
        <f>HYPERLINK("https://www.cardmarket.com/en/Pokemon/Products/Singles?idCategory=1&amp;idProduct=sv3pt5-105", "CM")</f>
        <v>CM</v>
      </c>
    </row>
    <row r="86" ht="7.5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</row>
    <row r="87" ht="18.75" customHeight="1">
      <c r="A87" s="18" t="s">
        <v>638</v>
      </c>
      <c r="B87" s="19" t="s">
        <v>1549</v>
      </c>
      <c r="C87" s="20"/>
      <c r="D87" s="18" t="s">
        <v>640</v>
      </c>
      <c r="E87" s="19" t="s">
        <v>1550</v>
      </c>
      <c r="F87" s="20"/>
      <c r="G87" s="18" t="s">
        <v>642</v>
      </c>
      <c r="H87" s="19" t="s">
        <v>1551</v>
      </c>
      <c r="I87" s="20"/>
      <c r="J87" s="18" t="s">
        <v>643</v>
      </c>
      <c r="K87" s="19" t="s">
        <v>1002</v>
      </c>
      <c r="L87" s="20"/>
      <c r="M87" s="18" t="s">
        <v>645</v>
      </c>
      <c r="N87" s="19" t="s">
        <v>1552</v>
      </c>
      <c r="O87" s="20"/>
    </row>
    <row r="88" ht="180.0" customHeight="1">
      <c r="A88" s="21" t="str">
        <f>IMAGE("https://assets.tcgdex.net/de/sv/sv03.5/106/low.jpg", 1)</f>
        <v/>
      </c>
      <c r="B88" s="22"/>
      <c r="C88" s="20"/>
      <c r="D88" s="21" t="str">
        <f>IMAGE("https://assets.tcgdex.net/de/sv/sv03.5/107/low.jpg", 1)</f>
        <v/>
      </c>
      <c r="E88" s="22"/>
      <c r="F88" s="20"/>
      <c r="G88" s="21" t="str">
        <f>IMAGE("https://assets.tcgdex.net/de/sv/sv03.5/108/low.jpg", 1)</f>
        <v/>
      </c>
      <c r="H88" s="22"/>
      <c r="I88" s="20"/>
      <c r="J88" s="21" t="str">
        <f>IMAGE("https://assets.tcgdex.net/de/sv/sv03.5/109/low.jpg", 1)</f>
        <v/>
      </c>
      <c r="K88" s="22"/>
      <c r="L88" s="20"/>
      <c r="M88" s="21" t="str">
        <f>IMAGE("https://assets.tcgdex.net/de/sv/sv03.5/110/low.jpg", 1)</f>
        <v/>
      </c>
      <c r="N88" s="22"/>
      <c r="O88" s="20"/>
    </row>
    <row r="89" ht="22.5" customHeight="1">
      <c r="A89" s="23" t="b">
        <v>0</v>
      </c>
      <c r="B89" s="24" t="b">
        <v>0</v>
      </c>
      <c r="C89" s="25" t="str">
        <f>HYPERLINK("https://www.cardmarket.com/en/Pokemon/Products/Singles?idCategory=1&amp;idProduct=sv3pt5-106", "CM")</f>
        <v>CM</v>
      </c>
      <c r="D89" s="23" t="b">
        <v>0</v>
      </c>
      <c r="E89" s="24" t="b">
        <v>0</v>
      </c>
      <c r="F89" s="25" t="str">
        <f>HYPERLINK("https://www.cardmarket.com/en/Pokemon/Products/Singles?idCategory=1&amp;idProduct=sv3pt5-107", "CM")</f>
        <v>CM</v>
      </c>
      <c r="G89" s="23" t="b">
        <v>0</v>
      </c>
      <c r="H89" s="24" t="b">
        <v>0</v>
      </c>
      <c r="I89" s="25" t="str">
        <f>HYPERLINK("https://www.cardmarket.com/en/Pokemon/Products/Singles?idCategory=1&amp;idProduct=sv3pt5-108", "CM")</f>
        <v>CM</v>
      </c>
      <c r="J89" s="23" t="b">
        <v>0</v>
      </c>
      <c r="K89" s="24" t="b">
        <v>0</v>
      </c>
      <c r="L89" s="25" t="str">
        <f>HYPERLINK("https://www.cardmarket.com/en/Pokemon/Products/Singles?idCategory=1&amp;idProduct=sv3pt5-109", "CM")</f>
        <v>CM</v>
      </c>
      <c r="M89" s="23" t="b">
        <v>0</v>
      </c>
      <c r="N89" s="24" t="b">
        <v>0</v>
      </c>
      <c r="O89" s="25" t="str">
        <f>HYPERLINK("https://www.cardmarket.com/en/Pokemon/Products/Singles?idCategory=1&amp;idProduct=sv3pt5-110", "CM")</f>
        <v>CM</v>
      </c>
    </row>
    <row r="90" ht="7.5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</row>
    <row r="91" ht="18.75" customHeight="1">
      <c r="A91" s="18" t="s">
        <v>647</v>
      </c>
      <c r="B91" s="19" t="s">
        <v>1553</v>
      </c>
      <c r="C91" s="20"/>
      <c r="D91" s="18" t="s">
        <v>649</v>
      </c>
      <c r="E91" s="19" t="s">
        <v>1554</v>
      </c>
      <c r="F91" s="20"/>
      <c r="G91" s="18" t="s">
        <v>651</v>
      </c>
      <c r="H91" s="19" t="s">
        <v>1296</v>
      </c>
      <c r="I91" s="20"/>
      <c r="J91" s="18" t="s">
        <v>823</v>
      </c>
      <c r="K91" s="19" t="s">
        <v>910</v>
      </c>
      <c r="L91" s="20"/>
      <c r="M91" s="18" t="s">
        <v>653</v>
      </c>
      <c r="N91" s="19" t="s">
        <v>586</v>
      </c>
      <c r="O91" s="20"/>
    </row>
    <row r="92" ht="180.0" customHeight="1">
      <c r="A92" s="21" t="str">
        <f>IMAGE("https://assets.tcgdex.net/de/sv/sv03.5/111/low.jpg", 1)</f>
        <v/>
      </c>
      <c r="B92" s="22"/>
      <c r="C92" s="20"/>
      <c r="D92" s="21" t="str">
        <f>IMAGE("https://assets.tcgdex.net/de/sv/sv03.5/112/low.jpg", 1)</f>
        <v/>
      </c>
      <c r="E92" s="22"/>
      <c r="F92" s="20"/>
      <c r="G92" s="21" t="str">
        <f>IMAGE("https://assets.tcgdex.net/de/sv/sv03.5/113/low.jpg", 1)</f>
        <v/>
      </c>
      <c r="H92" s="22"/>
      <c r="I92" s="20"/>
      <c r="J92" s="21" t="str">
        <f>IMAGE("https://assets.tcgdex.net/de/sv/sv03.5/114/low.jpg", 1)</f>
        <v/>
      </c>
      <c r="K92" s="22"/>
      <c r="L92" s="20"/>
      <c r="M92" s="21" t="str">
        <f>IMAGE("https://assets.tcgdex.net/de/sv/sv03.5/115/low.jpg", 1)</f>
        <v/>
      </c>
      <c r="N92" s="22"/>
      <c r="O92" s="20"/>
    </row>
    <row r="93" ht="22.5" customHeight="1">
      <c r="A93" s="23" t="b">
        <v>0</v>
      </c>
      <c r="B93" s="24" t="b">
        <v>0</v>
      </c>
      <c r="C93" s="25" t="str">
        <f>HYPERLINK("https://www.cardmarket.com/en/Pokemon/Products/Singles?idCategory=1&amp;idProduct=sv3pt5-111", "CM")</f>
        <v>CM</v>
      </c>
      <c r="D93" s="23" t="b">
        <v>0</v>
      </c>
      <c r="E93" s="24" t="b">
        <v>0</v>
      </c>
      <c r="F93" s="25" t="str">
        <f>HYPERLINK("https://www.cardmarket.com/en/Pokemon/Products/Singles?idCategory=1&amp;idProduct=sv3pt5-112", "CM")</f>
        <v>CM</v>
      </c>
      <c r="G93" s="23" t="b">
        <v>0</v>
      </c>
      <c r="H93" s="24" t="b">
        <v>0</v>
      </c>
      <c r="I93" s="25" t="str">
        <f>HYPERLINK("https://www.cardmarket.com/en/Pokemon/Products/Singles?idCategory=1&amp;idProduct=sv3pt5-113", "CM")</f>
        <v>CM</v>
      </c>
      <c r="J93" s="23" t="b">
        <v>0</v>
      </c>
      <c r="K93" s="24" t="b">
        <v>0</v>
      </c>
      <c r="L93" s="25" t="str">
        <f>HYPERLINK("https://www.cardmarket.com/en/Pokemon/Products/Singles?idCategory=1&amp;idProduct=sv3pt5-114", "CM")</f>
        <v>CM</v>
      </c>
      <c r="M93" s="23" t="b">
        <v>0</v>
      </c>
      <c r="N93" s="24" t="b">
        <v>0</v>
      </c>
      <c r="O93" s="25" t="str">
        <f>HYPERLINK("https://www.cardmarket.com/en/Pokemon/Products/Singles?idCategory=1&amp;idProduct=sv3pt5-115", "CM")</f>
        <v>CM</v>
      </c>
    </row>
    <row r="94" ht="7.5" customHeigh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</row>
    <row r="95" ht="18.75" customHeight="1">
      <c r="A95" s="18" t="s">
        <v>825</v>
      </c>
      <c r="B95" s="19" t="s">
        <v>671</v>
      </c>
      <c r="C95" s="20"/>
      <c r="D95" s="18" t="s">
        <v>655</v>
      </c>
      <c r="E95" s="19" t="s">
        <v>1555</v>
      </c>
      <c r="F95" s="20"/>
      <c r="G95" s="18" t="s">
        <v>827</v>
      </c>
      <c r="H95" s="19" t="s">
        <v>1556</v>
      </c>
      <c r="I95" s="20"/>
      <c r="J95" s="18" t="s">
        <v>657</v>
      </c>
      <c r="K95" s="19" t="s">
        <v>1557</v>
      </c>
      <c r="L95" s="20"/>
      <c r="M95" s="18" t="s">
        <v>659</v>
      </c>
      <c r="N95" s="19" t="s">
        <v>1558</v>
      </c>
      <c r="O95" s="20"/>
    </row>
    <row r="96" ht="180.0" customHeight="1">
      <c r="A96" s="21" t="str">
        <f>IMAGE("https://assets.tcgdex.net/de/sv/sv03.5/116/low.jpg", 1)</f>
        <v/>
      </c>
      <c r="B96" s="22"/>
      <c r="C96" s="20"/>
      <c r="D96" s="21" t="str">
        <f>IMAGE("https://assets.tcgdex.net/de/sv/sv03.5/117/low.jpg", 1)</f>
        <v/>
      </c>
      <c r="E96" s="22"/>
      <c r="F96" s="20"/>
      <c r="G96" s="21" t="str">
        <f>IMAGE("https://assets.tcgdex.net/de/sv/sv03.5/118/low.jpg", 1)</f>
        <v/>
      </c>
      <c r="H96" s="22"/>
      <c r="I96" s="20"/>
      <c r="J96" s="21" t="str">
        <f>IMAGE("https://assets.tcgdex.net/de/sv/sv03.5/119/low.jpg", 1)</f>
        <v/>
      </c>
      <c r="K96" s="22"/>
      <c r="L96" s="20"/>
      <c r="M96" s="21" t="str">
        <f>IMAGE("https://assets.tcgdex.net/de/sv/sv03.5/120/low.jpg", 1)</f>
        <v/>
      </c>
      <c r="N96" s="22"/>
      <c r="O96" s="20"/>
    </row>
    <row r="97" ht="22.5" customHeight="1">
      <c r="A97" s="23" t="b">
        <v>0</v>
      </c>
      <c r="B97" s="24" t="b">
        <v>0</v>
      </c>
      <c r="C97" s="25" t="str">
        <f>HYPERLINK("https://www.cardmarket.com/en/Pokemon/Products/Singles?idCategory=1&amp;idProduct=sv3pt5-116", "CM")</f>
        <v>CM</v>
      </c>
      <c r="D97" s="23" t="b">
        <v>0</v>
      </c>
      <c r="E97" s="24" t="b">
        <v>0</v>
      </c>
      <c r="F97" s="25" t="str">
        <f>HYPERLINK("https://www.cardmarket.com/en/Pokemon/Products/Singles?idCategory=1&amp;idProduct=sv3pt5-117", "CM")</f>
        <v>CM</v>
      </c>
      <c r="G97" s="23" t="b">
        <v>0</v>
      </c>
      <c r="H97" s="24" t="b">
        <v>0</v>
      </c>
      <c r="I97" s="25" t="str">
        <f>HYPERLINK("https://www.cardmarket.com/en/Pokemon/Products/Singles?idCategory=1&amp;idProduct=sv3pt5-118", "CM")</f>
        <v>CM</v>
      </c>
      <c r="J97" s="23" t="b">
        <v>0</v>
      </c>
      <c r="K97" s="24" t="b">
        <v>0</v>
      </c>
      <c r="L97" s="25" t="str">
        <f>HYPERLINK("https://www.cardmarket.com/en/Pokemon/Products/Singles?idCategory=1&amp;idProduct=sv3pt5-119", "CM")</f>
        <v>CM</v>
      </c>
      <c r="M97" s="23" t="b">
        <v>0</v>
      </c>
      <c r="N97" s="24" t="b">
        <v>0</v>
      </c>
      <c r="O97" s="25" t="str">
        <f>HYPERLINK("https://www.cardmarket.com/en/Pokemon/Products/Singles?idCategory=1&amp;idProduct=sv3pt5-120", "CM")</f>
        <v>CM</v>
      </c>
    </row>
    <row r="98" ht="7.5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</row>
    <row r="99" ht="18.75" customHeight="1">
      <c r="A99" s="18" t="s">
        <v>829</v>
      </c>
      <c r="B99" s="19" t="s">
        <v>1559</v>
      </c>
      <c r="C99" s="20"/>
      <c r="D99" s="18" t="s">
        <v>830</v>
      </c>
      <c r="E99" s="19" t="s">
        <v>1560</v>
      </c>
      <c r="F99" s="20"/>
      <c r="G99" s="18" t="s">
        <v>831</v>
      </c>
      <c r="H99" s="19" t="s">
        <v>911</v>
      </c>
      <c r="I99" s="20"/>
      <c r="J99" s="18" t="s">
        <v>833</v>
      </c>
      <c r="K99" s="19" t="s">
        <v>1561</v>
      </c>
      <c r="L99" s="20"/>
      <c r="M99" s="18" t="s">
        <v>661</v>
      </c>
      <c r="N99" s="19" t="s">
        <v>1562</v>
      </c>
      <c r="O99" s="20"/>
    </row>
    <row r="100" ht="180.0" customHeight="1">
      <c r="A100" s="21" t="str">
        <f>IMAGE("https://assets.tcgdex.net/de/sv/sv03.5/121/low.jpg", 1)</f>
        <v/>
      </c>
      <c r="B100" s="22"/>
      <c r="C100" s="20"/>
      <c r="D100" s="21" t="str">
        <f>IMAGE("https://assets.tcgdex.net/de/sv/sv03.5/122/low.jpg", 1)</f>
        <v/>
      </c>
      <c r="E100" s="22"/>
      <c r="F100" s="20"/>
      <c r="G100" s="21" t="str">
        <f>IMAGE("https://assets.tcgdex.net/de/sv/sv03.5/123/low.jpg", 1)</f>
        <v/>
      </c>
      <c r="H100" s="22"/>
      <c r="I100" s="20"/>
      <c r="J100" s="21" t="str">
        <f>IMAGE("https://assets.tcgdex.net/de/sv/sv03.5/124/low.jpg", 1)</f>
        <v/>
      </c>
      <c r="K100" s="22"/>
      <c r="L100" s="20"/>
      <c r="M100" s="21" t="str">
        <f>IMAGE("https://assets.tcgdex.net/de/sv/sv03.5/125/low.jpg", 1)</f>
        <v/>
      </c>
      <c r="N100" s="22"/>
      <c r="O100" s="20"/>
    </row>
    <row r="101" ht="22.5" customHeight="1">
      <c r="A101" s="23" t="b">
        <v>0</v>
      </c>
      <c r="B101" s="24" t="b">
        <v>0</v>
      </c>
      <c r="C101" s="25" t="str">
        <f>HYPERLINK("https://www.cardmarket.com/en/Pokemon/Products/Singles?idCategory=1&amp;idProduct=sv3pt5-121", "CM")</f>
        <v>CM</v>
      </c>
      <c r="D101" s="23" t="b">
        <v>0</v>
      </c>
      <c r="E101" s="24" t="b">
        <v>0</v>
      </c>
      <c r="F101" s="25" t="str">
        <f>HYPERLINK("https://www.cardmarket.com/en/Pokemon/Products/Singles?idCategory=1&amp;idProduct=sv3pt5-122", "CM")</f>
        <v>CM</v>
      </c>
      <c r="G101" s="23" t="b">
        <v>0</v>
      </c>
      <c r="H101" s="24" t="b">
        <v>0</v>
      </c>
      <c r="I101" s="25" t="str">
        <f>HYPERLINK("https://www.cardmarket.com/en/Pokemon/Products/Singles?idCategory=1&amp;idProduct=sv3pt5-123", "CM")</f>
        <v>CM</v>
      </c>
      <c r="J101" s="23" t="b">
        <v>0</v>
      </c>
      <c r="K101" s="24" t="b">
        <v>0</v>
      </c>
      <c r="L101" s="25" t="str">
        <f>HYPERLINK("https://www.cardmarket.com/en/Pokemon/Products/Singles?idCategory=1&amp;idProduct=sv3pt5-124", "CM")</f>
        <v>CM</v>
      </c>
      <c r="M101" s="23" t="b">
        <v>0</v>
      </c>
      <c r="N101" s="24" t="b">
        <v>0</v>
      </c>
      <c r="O101" s="25" t="str">
        <f>HYPERLINK("https://www.cardmarket.com/en/Pokemon/Products/Singles?idCategory=1&amp;idProduct=sv3pt5-125", "CM")</f>
        <v>CM</v>
      </c>
    </row>
    <row r="102" ht="7.5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</row>
    <row r="103" ht="18.75" customHeight="1">
      <c r="A103" s="18" t="s">
        <v>835</v>
      </c>
      <c r="B103" s="19" t="s">
        <v>1563</v>
      </c>
      <c r="C103" s="20"/>
      <c r="D103" s="18" t="s">
        <v>662</v>
      </c>
      <c r="E103" s="19" t="s">
        <v>1564</v>
      </c>
      <c r="F103" s="20"/>
      <c r="G103" s="18" t="s">
        <v>837</v>
      </c>
      <c r="H103" s="19" t="s">
        <v>1019</v>
      </c>
      <c r="I103" s="20"/>
      <c r="J103" s="18" t="s">
        <v>839</v>
      </c>
      <c r="K103" s="19" t="s">
        <v>1259</v>
      </c>
      <c r="L103" s="20"/>
      <c r="M103" s="18" t="s">
        <v>841</v>
      </c>
      <c r="N103" s="19" t="s">
        <v>1565</v>
      </c>
      <c r="O103" s="20"/>
    </row>
    <row r="104" ht="180.0" customHeight="1">
      <c r="A104" s="21" t="str">
        <f>IMAGE("https://assets.tcgdex.net/de/sv/sv03.5/126/low.jpg", 1)</f>
        <v/>
      </c>
      <c r="B104" s="22"/>
      <c r="C104" s="20"/>
      <c r="D104" s="21" t="str">
        <f>IMAGE("https://assets.tcgdex.net/de/sv/sv03.5/127/low.jpg", 1)</f>
        <v/>
      </c>
      <c r="E104" s="22"/>
      <c r="F104" s="20"/>
      <c r="G104" s="21" t="str">
        <f>IMAGE("https://assets.tcgdex.net/de/sv/sv03.5/128/low.jpg", 1)</f>
        <v/>
      </c>
      <c r="H104" s="22"/>
      <c r="I104" s="20"/>
      <c r="J104" s="21" t="str">
        <f>IMAGE("https://assets.tcgdex.net/de/sv/sv03.5/129/low.jpg", 1)</f>
        <v/>
      </c>
      <c r="K104" s="22"/>
      <c r="L104" s="20"/>
      <c r="M104" s="21" t="str">
        <f>IMAGE("https://assets.tcgdex.net/de/sv/sv03.5/130/low.jpg", 1)</f>
        <v/>
      </c>
      <c r="N104" s="22"/>
      <c r="O104" s="20"/>
    </row>
    <row r="105" ht="22.5" customHeight="1">
      <c r="A105" s="23" t="b">
        <v>0</v>
      </c>
      <c r="B105" s="24" t="b">
        <v>0</v>
      </c>
      <c r="C105" s="25" t="str">
        <f>HYPERLINK("https://www.cardmarket.com/en/Pokemon/Products/Singles?idCategory=1&amp;idProduct=sv3pt5-126", "CM")</f>
        <v>CM</v>
      </c>
      <c r="D105" s="23" t="b">
        <v>0</v>
      </c>
      <c r="E105" s="24" t="b">
        <v>0</v>
      </c>
      <c r="F105" s="25" t="str">
        <f>HYPERLINK("https://www.cardmarket.com/en/Pokemon/Products/Singles?idCategory=1&amp;idProduct=sv3pt5-127", "CM")</f>
        <v>CM</v>
      </c>
      <c r="G105" s="23" t="b">
        <v>0</v>
      </c>
      <c r="H105" s="24" t="b">
        <v>0</v>
      </c>
      <c r="I105" s="25" t="str">
        <f>HYPERLINK("https://www.cardmarket.com/en/Pokemon/Products/Singles?idCategory=1&amp;idProduct=sv3pt5-128", "CM")</f>
        <v>CM</v>
      </c>
      <c r="J105" s="23" t="b">
        <v>0</v>
      </c>
      <c r="K105" s="24" t="b">
        <v>0</v>
      </c>
      <c r="L105" s="25" t="str">
        <f>HYPERLINK("https://www.cardmarket.com/en/Pokemon/Products/Singles?idCategory=1&amp;idProduct=sv3pt5-129", "CM")</f>
        <v>CM</v>
      </c>
      <c r="M105" s="23" t="b">
        <v>0</v>
      </c>
      <c r="N105" s="24" t="b">
        <v>0</v>
      </c>
      <c r="O105" s="25" t="str">
        <f>HYPERLINK("https://www.cardmarket.com/en/Pokemon/Products/Singles?idCategory=1&amp;idProduct=sv3pt5-130", "CM")</f>
        <v>CM</v>
      </c>
    </row>
    <row r="106" ht="7.5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</row>
    <row r="107" ht="18.75" customHeight="1">
      <c r="A107" s="18" t="s">
        <v>842</v>
      </c>
      <c r="B107" s="19" t="s">
        <v>1072</v>
      </c>
      <c r="C107" s="20"/>
      <c r="D107" s="18" t="s">
        <v>844</v>
      </c>
      <c r="E107" s="19" t="s">
        <v>941</v>
      </c>
      <c r="F107" s="20"/>
      <c r="G107" s="18" t="s">
        <v>664</v>
      </c>
      <c r="H107" s="19" t="s">
        <v>764</v>
      </c>
      <c r="I107" s="20"/>
      <c r="J107" s="18" t="s">
        <v>666</v>
      </c>
      <c r="K107" s="19" t="s">
        <v>874</v>
      </c>
      <c r="L107" s="20"/>
      <c r="M107" s="18" t="s">
        <v>845</v>
      </c>
      <c r="N107" s="19" t="s">
        <v>876</v>
      </c>
      <c r="O107" s="20"/>
    </row>
    <row r="108" ht="180.0" customHeight="1">
      <c r="A108" s="21" t="str">
        <f>IMAGE("https://assets.tcgdex.net/de/sv/sv03.5/131/low.jpg", 1)</f>
        <v/>
      </c>
      <c r="B108" s="22"/>
      <c r="C108" s="20"/>
      <c r="D108" s="21" t="str">
        <f>IMAGE("https://assets.tcgdex.net/de/sv/sv03.5/132/low.jpg", 1)</f>
        <v/>
      </c>
      <c r="E108" s="22"/>
      <c r="F108" s="20"/>
      <c r="G108" s="21" t="str">
        <f>IMAGE("https://assets.tcgdex.net/de/sv/sv03.5/133/low.jpg", 1)</f>
        <v/>
      </c>
      <c r="H108" s="22"/>
      <c r="I108" s="20"/>
      <c r="J108" s="21" t="str">
        <f>IMAGE("https://assets.tcgdex.net/de/sv/sv03.5/134/low.jpg", 1)</f>
        <v/>
      </c>
      <c r="K108" s="22"/>
      <c r="L108" s="20"/>
      <c r="M108" s="21" t="str">
        <f>IMAGE("https://assets.tcgdex.net/de/sv/sv03.5/135/low.jpg", 1)</f>
        <v/>
      </c>
      <c r="N108" s="22"/>
      <c r="O108" s="20"/>
    </row>
    <row r="109" ht="22.5" customHeight="1">
      <c r="A109" s="23" t="b">
        <v>0</v>
      </c>
      <c r="B109" s="24" t="b">
        <v>0</v>
      </c>
      <c r="C109" s="25" t="str">
        <f>HYPERLINK("https://www.cardmarket.com/en/Pokemon/Products/Singles?idCategory=1&amp;idProduct=sv3pt5-131", "CM")</f>
        <v>CM</v>
      </c>
      <c r="D109" s="23" t="b">
        <v>0</v>
      </c>
      <c r="E109" s="24" t="b">
        <v>0</v>
      </c>
      <c r="F109" s="25" t="str">
        <f>HYPERLINK("https://www.cardmarket.com/en/Pokemon/Products/Singles?idCategory=1&amp;idProduct=sv3pt5-132", "CM")</f>
        <v>CM</v>
      </c>
      <c r="G109" s="23" t="b">
        <v>0</v>
      </c>
      <c r="H109" s="24" t="b">
        <v>0</v>
      </c>
      <c r="I109" s="25" t="str">
        <f>HYPERLINK("https://www.cardmarket.com/en/Pokemon/Products/Singles?idCategory=1&amp;idProduct=sv3pt5-133", "CM")</f>
        <v>CM</v>
      </c>
      <c r="J109" s="23" t="b">
        <v>0</v>
      </c>
      <c r="K109" s="24" t="b">
        <v>0</v>
      </c>
      <c r="L109" s="25" t="str">
        <f>HYPERLINK("https://www.cardmarket.com/en/Pokemon/Products/Singles?idCategory=1&amp;idProduct=sv3pt5-134", "CM")</f>
        <v>CM</v>
      </c>
      <c r="M109" s="23" t="b">
        <v>0</v>
      </c>
      <c r="N109" s="24" t="b">
        <v>0</v>
      </c>
      <c r="O109" s="25" t="str">
        <f>HYPERLINK("https://www.cardmarket.com/en/Pokemon/Products/Singles?idCategory=1&amp;idProduct=sv3pt5-135", "CM")</f>
        <v>CM</v>
      </c>
    </row>
    <row r="110" ht="7.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</row>
    <row r="111" ht="18.75" customHeight="1">
      <c r="A111" s="18" t="s">
        <v>668</v>
      </c>
      <c r="B111" s="19" t="s">
        <v>872</v>
      </c>
      <c r="C111" s="20"/>
      <c r="D111" s="18" t="s">
        <v>670</v>
      </c>
      <c r="E111" s="19" t="s">
        <v>1566</v>
      </c>
      <c r="F111" s="20"/>
      <c r="G111" s="18" t="s">
        <v>672</v>
      </c>
      <c r="H111" s="19" t="s">
        <v>1567</v>
      </c>
      <c r="I111" s="20"/>
      <c r="J111" s="18" t="s">
        <v>674</v>
      </c>
      <c r="K111" s="19" t="s">
        <v>1568</v>
      </c>
      <c r="L111" s="20"/>
      <c r="M111" s="18" t="s">
        <v>847</v>
      </c>
      <c r="N111" s="19" t="s">
        <v>1569</v>
      </c>
      <c r="O111" s="20"/>
    </row>
    <row r="112" ht="180.0" customHeight="1">
      <c r="A112" s="21" t="str">
        <f>IMAGE("https://assets.tcgdex.net/de/sv/sv03.5/136/low.jpg", 1)</f>
        <v/>
      </c>
      <c r="B112" s="22"/>
      <c r="C112" s="20"/>
      <c r="D112" s="21" t="str">
        <f>IMAGE("https://assets.tcgdex.net/de/sv/sv03.5/137/low.jpg", 1)</f>
        <v/>
      </c>
      <c r="E112" s="22"/>
      <c r="F112" s="20"/>
      <c r="G112" s="21" t="str">
        <f>IMAGE("https://assets.tcgdex.net/de/sv/sv03.5/138/low.jpg", 1)</f>
        <v/>
      </c>
      <c r="H112" s="22"/>
      <c r="I112" s="20"/>
      <c r="J112" s="21" t="str">
        <f>IMAGE("https://assets.tcgdex.net/de/sv/sv03.5/139/low.jpg", 1)</f>
        <v/>
      </c>
      <c r="K112" s="22"/>
      <c r="L112" s="20"/>
      <c r="M112" s="21" t="str">
        <f>IMAGE("https://assets.tcgdex.net/de/sv/sv03.5/140/low.jpg", 1)</f>
        <v/>
      </c>
      <c r="N112" s="22"/>
      <c r="O112" s="20"/>
    </row>
    <row r="113" ht="22.5" customHeight="1">
      <c r="A113" s="23" t="b">
        <v>0</v>
      </c>
      <c r="B113" s="24" t="b">
        <v>0</v>
      </c>
      <c r="C113" s="25" t="str">
        <f>HYPERLINK("https://www.cardmarket.com/en/Pokemon/Products/Singles?idCategory=1&amp;idProduct=sv3pt5-136", "CM")</f>
        <v>CM</v>
      </c>
      <c r="D113" s="23" t="b">
        <v>0</v>
      </c>
      <c r="E113" s="24" t="b">
        <v>0</v>
      </c>
      <c r="F113" s="25" t="str">
        <f>HYPERLINK("https://www.cardmarket.com/en/Pokemon/Products/Singles?idCategory=1&amp;idProduct=sv3pt5-137", "CM")</f>
        <v>CM</v>
      </c>
      <c r="G113" s="23" t="b">
        <v>0</v>
      </c>
      <c r="H113" s="24" t="b">
        <v>0</v>
      </c>
      <c r="I113" s="25" t="str">
        <f>HYPERLINK("https://www.cardmarket.com/en/Pokemon/Products/Singles?idCategory=1&amp;idProduct=sv3pt5-138", "CM")</f>
        <v>CM</v>
      </c>
      <c r="J113" s="23" t="b">
        <v>0</v>
      </c>
      <c r="K113" s="24" t="b">
        <v>0</v>
      </c>
      <c r="L113" s="25" t="str">
        <f>HYPERLINK("https://www.cardmarket.com/en/Pokemon/Products/Singles?idCategory=1&amp;idProduct=sv3pt5-139", "CM")</f>
        <v>CM</v>
      </c>
      <c r="M113" s="23" t="b">
        <v>0</v>
      </c>
      <c r="N113" s="24" t="b">
        <v>0</v>
      </c>
      <c r="O113" s="25" t="str">
        <f>HYPERLINK("https://www.cardmarket.com/en/Pokemon/Products/Singles?idCategory=1&amp;idProduct=sv3pt5-140", "CM")</f>
        <v>CM</v>
      </c>
    </row>
    <row r="114" ht="7.5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</row>
    <row r="115" ht="18.75" customHeight="1">
      <c r="A115" s="18" t="s">
        <v>848</v>
      </c>
      <c r="B115" s="19" t="s">
        <v>1570</v>
      </c>
      <c r="C115" s="20"/>
      <c r="D115" s="18" t="s">
        <v>676</v>
      </c>
      <c r="E115" s="19" t="s">
        <v>1571</v>
      </c>
      <c r="F115" s="20"/>
      <c r="G115" s="18" t="s">
        <v>678</v>
      </c>
      <c r="H115" s="19" t="s">
        <v>777</v>
      </c>
      <c r="I115" s="20"/>
      <c r="J115" s="18" t="s">
        <v>679</v>
      </c>
      <c r="K115" s="19" t="s">
        <v>1572</v>
      </c>
      <c r="L115" s="20"/>
      <c r="M115" s="18" t="s">
        <v>850</v>
      </c>
      <c r="N115" s="19" t="s">
        <v>773</v>
      </c>
      <c r="O115" s="20"/>
    </row>
    <row r="116" ht="180.0" customHeight="1">
      <c r="A116" s="21" t="str">
        <f>IMAGE("https://assets.tcgdex.net/de/sv/sv03.5/141/low.jpg", 1)</f>
        <v/>
      </c>
      <c r="B116" s="22"/>
      <c r="C116" s="20"/>
      <c r="D116" s="21" t="str">
        <f>IMAGE("https://assets.tcgdex.net/de/sv/sv03.5/142/low.jpg", 1)</f>
        <v/>
      </c>
      <c r="E116" s="22"/>
      <c r="F116" s="20"/>
      <c r="G116" s="21" t="str">
        <f>IMAGE("https://assets.tcgdex.net/de/sv/sv03.5/143/low.jpg", 1)</f>
        <v/>
      </c>
      <c r="H116" s="22"/>
      <c r="I116" s="20"/>
      <c r="J116" s="21" t="str">
        <f>IMAGE("https://assets.tcgdex.net/de/sv/sv03.5/144/low.jpg", 1)</f>
        <v/>
      </c>
      <c r="K116" s="22"/>
      <c r="L116" s="20"/>
      <c r="M116" s="21" t="str">
        <f>IMAGE("https://assets.tcgdex.net/de/sv/sv03.5/145/low.jpg", 1)</f>
        <v/>
      </c>
      <c r="N116" s="22"/>
      <c r="O116" s="20"/>
    </row>
    <row r="117" ht="22.5" customHeight="1">
      <c r="A117" s="23" t="b">
        <v>0</v>
      </c>
      <c r="B117" s="24" t="b">
        <v>0</v>
      </c>
      <c r="C117" s="25" t="str">
        <f>HYPERLINK("https://www.cardmarket.com/en/Pokemon/Products/Singles?idCategory=1&amp;idProduct=sv3pt5-141", "CM")</f>
        <v>CM</v>
      </c>
      <c r="D117" s="23" t="b">
        <v>0</v>
      </c>
      <c r="E117" s="24" t="b">
        <v>0</v>
      </c>
      <c r="F117" s="25" t="str">
        <f>HYPERLINK("https://www.cardmarket.com/en/Pokemon/Products/Singles?idCategory=1&amp;idProduct=sv3pt5-142", "CM")</f>
        <v>CM</v>
      </c>
      <c r="G117" s="23" t="b">
        <v>0</v>
      </c>
      <c r="H117" s="24" t="b">
        <v>0</v>
      </c>
      <c r="I117" s="25" t="str">
        <f>HYPERLINK("https://www.cardmarket.com/en/Pokemon/Products/Singles?idCategory=1&amp;idProduct=sv3pt5-143", "CM")</f>
        <v>CM</v>
      </c>
      <c r="J117" s="23" t="b">
        <v>0</v>
      </c>
      <c r="K117" s="24" t="b">
        <v>0</v>
      </c>
      <c r="L117" s="25" t="str">
        <f>HYPERLINK("https://www.cardmarket.com/en/Pokemon/Products/Singles?idCategory=1&amp;idProduct=sv3pt5-144", "CM")</f>
        <v>CM</v>
      </c>
      <c r="M117" s="23" t="b">
        <v>0</v>
      </c>
      <c r="N117" s="24" t="b">
        <v>0</v>
      </c>
      <c r="O117" s="25" t="str">
        <f>HYPERLINK("https://www.cardmarket.com/en/Pokemon/Products/Singles?idCategory=1&amp;idProduct=sv3pt5-145", "CM")</f>
        <v>CM</v>
      </c>
    </row>
    <row r="118" ht="7.5" customHeigh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</row>
    <row r="119" ht="18.75" customHeight="1">
      <c r="A119" s="18" t="s">
        <v>681</v>
      </c>
      <c r="B119" s="19" t="s">
        <v>1573</v>
      </c>
      <c r="C119" s="20"/>
      <c r="D119" s="18" t="s">
        <v>683</v>
      </c>
      <c r="E119" s="19" t="s">
        <v>1445</v>
      </c>
      <c r="F119" s="20"/>
      <c r="G119" s="18" t="s">
        <v>685</v>
      </c>
      <c r="H119" s="19" t="s">
        <v>1446</v>
      </c>
      <c r="I119" s="20"/>
      <c r="J119" s="18" t="s">
        <v>852</v>
      </c>
      <c r="K119" s="19" t="s">
        <v>1574</v>
      </c>
      <c r="L119" s="20"/>
      <c r="M119" s="18" t="s">
        <v>686</v>
      </c>
      <c r="N119" s="19" t="s">
        <v>779</v>
      </c>
      <c r="O119" s="20"/>
    </row>
    <row r="120" ht="180.0" customHeight="1">
      <c r="A120" s="21" t="str">
        <f>IMAGE("https://assets.tcgdex.net/de/sv/sv03.5/146/low.jpg", 1)</f>
        <v/>
      </c>
      <c r="B120" s="22"/>
      <c r="C120" s="20"/>
      <c r="D120" s="21" t="str">
        <f>IMAGE("https://assets.tcgdex.net/de/sv/sv03.5/147/low.jpg", 1)</f>
        <v/>
      </c>
      <c r="E120" s="22"/>
      <c r="F120" s="20"/>
      <c r="G120" s="21" t="str">
        <f>IMAGE("https://assets.tcgdex.net/de/sv/sv03.5/148/low.jpg", 1)</f>
        <v/>
      </c>
      <c r="H120" s="22"/>
      <c r="I120" s="20"/>
      <c r="J120" s="21" t="str">
        <f>IMAGE("https://assets.tcgdex.net/de/sv/sv03.5/149/low.jpg", 1)</f>
        <v/>
      </c>
      <c r="K120" s="22"/>
      <c r="L120" s="20"/>
      <c r="M120" s="21" t="str">
        <f>IMAGE("https://assets.tcgdex.net/de/sv/sv03.5/150/low.jpg", 1)</f>
        <v/>
      </c>
      <c r="N120" s="22"/>
      <c r="O120" s="20"/>
    </row>
    <row r="121" ht="22.5" customHeight="1">
      <c r="A121" s="23" t="b">
        <v>0</v>
      </c>
      <c r="B121" s="24" t="b">
        <v>0</v>
      </c>
      <c r="C121" s="25" t="str">
        <f>HYPERLINK("https://www.cardmarket.com/en/Pokemon/Products/Singles?idCategory=1&amp;idProduct=sv3pt5-146", "CM")</f>
        <v>CM</v>
      </c>
      <c r="D121" s="23" t="b">
        <v>0</v>
      </c>
      <c r="E121" s="24" t="b">
        <v>0</v>
      </c>
      <c r="F121" s="25" t="str">
        <f>HYPERLINK("https://www.cardmarket.com/en/Pokemon/Products/Singles?idCategory=1&amp;idProduct=sv3pt5-147", "CM")</f>
        <v>CM</v>
      </c>
      <c r="G121" s="23" t="b">
        <v>0</v>
      </c>
      <c r="H121" s="24" t="b">
        <v>0</v>
      </c>
      <c r="I121" s="25" t="str">
        <f>HYPERLINK("https://www.cardmarket.com/en/Pokemon/Products/Singles?idCategory=1&amp;idProduct=sv3pt5-148", "CM")</f>
        <v>CM</v>
      </c>
      <c r="J121" s="23" t="b">
        <v>0</v>
      </c>
      <c r="K121" s="24" t="b">
        <v>0</v>
      </c>
      <c r="L121" s="25" t="str">
        <f>HYPERLINK("https://www.cardmarket.com/en/Pokemon/Products/Singles?idCategory=1&amp;idProduct=sv3pt5-149", "CM")</f>
        <v>CM</v>
      </c>
      <c r="M121" s="23" t="b">
        <v>0</v>
      </c>
      <c r="N121" s="24" t="b">
        <v>0</v>
      </c>
      <c r="O121" s="25" t="str">
        <f>HYPERLINK("https://www.cardmarket.com/en/Pokemon/Products/Singles?idCategory=1&amp;idProduct=sv3pt5-150", "CM")</f>
        <v>CM</v>
      </c>
    </row>
    <row r="122" ht="7.5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</row>
    <row r="123" ht="18.75" customHeight="1">
      <c r="A123" s="18" t="s">
        <v>853</v>
      </c>
      <c r="B123" s="19" t="s">
        <v>781</v>
      </c>
      <c r="C123" s="20"/>
      <c r="D123" s="18" t="s">
        <v>855</v>
      </c>
      <c r="E123" s="19" t="s">
        <v>1575</v>
      </c>
      <c r="F123" s="20"/>
      <c r="G123" s="18" t="s">
        <v>687</v>
      </c>
      <c r="H123" s="19" t="s">
        <v>1576</v>
      </c>
      <c r="I123" s="20"/>
      <c r="J123" s="18" t="s">
        <v>689</v>
      </c>
      <c r="K123" s="19" t="s">
        <v>1577</v>
      </c>
      <c r="L123" s="20"/>
      <c r="M123" s="18" t="s">
        <v>691</v>
      </c>
      <c r="N123" s="19" t="s">
        <v>1578</v>
      </c>
      <c r="O123" s="20"/>
    </row>
    <row r="124" ht="180.0" customHeight="1">
      <c r="A124" s="21" t="str">
        <f>IMAGE("https://assets.tcgdex.net/de/sv/sv03.5/151/low.jpg", 1)</f>
        <v/>
      </c>
      <c r="B124" s="22"/>
      <c r="C124" s="20"/>
      <c r="D124" s="21" t="str">
        <f>IMAGE("https://assets.tcgdex.net/de/sv/sv03.5/152/low.jpg", 1)</f>
        <v/>
      </c>
      <c r="E124" s="22"/>
      <c r="F124" s="20"/>
      <c r="G124" s="21" t="str">
        <f>IMAGE("https://assets.tcgdex.net/de/sv/sv03.5/153/low.jpg", 1)</f>
        <v/>
      </c>
      <c r="H124" s="22"/>
      <c r="I124" s="20"/>
      <c r="J124" s="21" t="str">
        <f>IMAGE("https://assets.tcgdex.net/de/sv/sv03.5/154/low.jpg", 1)</f>
        <v/>
      </c>
      <c r="K124" s="22"/>
      <c r="L124" s="20"/>
      <c r="M124" s="21" t="str">
        <f>IMAGE("https://assets.tcgdex.net/de/sv/sv03.5/155/low.jpg", 1)</f>
        <v/>
      </c>
      <c r="N124" s="22"/>
      <c r="O124" s="20"/>
    </row>
    <row r="125" ht="22.5" customHeight="1">
      <c r="A125" s="23" t="b">
        <v>0</v>
      </c>
      <c r="B125" s="24" t="b">
        <v>0</v>
      </c>
      <c r="C125" s="25" t="str">
        <f>HYPERLINK("https://www.cardmarket.com/en/Pokemon/Products/Singles?idCategory=1&amp;idProduct=sv3pt5-151", "CM")</f>
        <v>CM</v>
      </c>
      <c r="D125" s="23" t="b">
        <v>0</v>
      </c>
      <c r="E125" s="24" t="b">
        <v>0</v>
      </c>
      <c r="F125" s="25" t="str">
        <f>HYPERLINK("https://www.cardmarket.com/en/Pokemon/Products/Singles?idCategory=1&amp;idProduct=sv3pt5-152", "CM")</f>
        <v>CM</v>
      </c>
      <c r="G125" s="23" t="b">
        <v>0</v>
      </c>
      <c r="H125" s="24" t="b">
        <v>0</v>
      </c>
      <c r="I125" s="25" t="str">
        <f>HYPERLINK("https://www.cardmarket.com/en/Pokemon/Products/Singles?idCategory=1&amp;idProduct=sv3pt5-153", "CM")</f>
        <v>CM</v>
      </c>
      <c r="J125" s="23" t="b">
        <v>0</v>
      </c>
      <c r="K125" s="24" t="b">
        <v>0</v>
      </c>
      <c r="L125" s="25" t="str">
        <f>HYPERLINK("https://www.cardmarket.com/en/Pokemon/Products/Singles?idCategory=1&amp;idProduct=sv3pt5-154", "CM")</f>
        <v>CM</v>
      </c>
      <c r="M125" s="23" t="b">
        <v>0</v>
      </c>
      <c r="N125" s="24" t="b">
        <v>0</v>
      </c>
      <c r="O125" s="25" t="str">
        <f>HYPERLINK("https://www.cardmarket.com/en/Pokemon/Products/Singles?idCategory=1&amp;idProduct=sv3pt5-155", "CM")</f>
        <v>CM</v>
      </c>
    </row>
    <row r="126" ht="7.5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</row>
    <row r="127" ht="18.75" customHeight="1">
      <c r="A127" s="18" t="s">
        <v>857</v>
      </c>
      <c r="B127" s="19" t="s">
        <v>1579</v>
      </c>
      <c r="C127" s="20"/>
      <c r="D127" s="18" t="s">
        <v>859</v>
      </c>
      <c r="E127" s="19" t="s">
        <v>1580</v>
      </c>
      <c r="F127" s="20"/>
      <c r="G127" s="18" t="s">
        <v>693</v>
      </c>
      <c r="H127" s="19" t="s">
        <v>1581</v>
      </c>
      <c r="I127" s="20"/>
      <c r="J127" s="18" t="s">
        <v>861</v>
      </c>
      <c r="K127" s="19" t="s">
        <v>1582</v>
      </c>
      <c r="L127" s="20"/>
      <c r="M127" s="18" t="s">
        <v>695</v>
      </c>
      <c r="N127" s="19" t="s">
        <v>1583</v>
      </c>
      <c r="O127" s="20"/>
    </row>
    <row r="128" ht="180.0" customHeight="1">
      <c r="A128" s="21" t="str">
        <f>IMAGE("https://assets.tcgdex.net/de/sv/sv03.5/156/low.jpg", 1)</f>
        <v/>
      </c>
      <c r="B128" s="22"/>
      <c r="C128" s="20"/>
      <c r="D128" s="21" t="str">
        <f>IMAGE("https://assets.tcgdex.net/de/sv/sv03.5/157/low.jpg", 1)</f>
        <v/>
      </c>
      <c r="E128" s="22"/>
      <c r="F128" s="20"/>
      <c r="G128" s="21" t="str">
        <f>IMAGE("https://assets.tcgdex.net/de/sv/sv03.5/158/low.jpg", 1)</f>
        <v/>
      </c>
      <c r="H128" s="22"/>
      <c r="I128" s="20"/>
      <c r="J128" s="21" t="str">
        <f>IMAGE("https://assets.tcgdex.net/de/sv/sv03.5/159/low.jpg", 1)</f>
        <v/>
      </c>
      <c r="K128" s="22"/>
      <c r="L128" s="20"/>
      <c r="M128" s="21" t="str">
        <f>IMAGE("https://assets.tcgdex.net/de/sv/sv03.5/160/low.jpg", 1)</f>
        <v/>
      </c>
      <c r="N128" s="22"/>
      <c r="O128" s="20"/>
    </row>
    <row r="129" ht="22.5" customHeight="1">
      <c r="A129" s="23" t="b">
        <v>0</v>
      </c>
      <c r="B129" s="24" t="b">
        <v>0</v>
      </c>
      <c r="C129" s="25" t="str">
        <f>HYPERLINK("https://www.cardmarket.com/en/Pokemon/Products/Singles?idCategory=1&amp;idProduct=sv3pt5-156", "CM")</f>
        <v>CM</v>
      </c>
      <c r="D129" s="23" t="b">
        <v>0</v>
      </c>
      <c r="E129" s="24" t="b">
        <v>0</v>
      </c>
      <c r="F129" s="25" t="str">
        <f>HYPERLINK("https://www.cardmarket.com/en/Pokemon/Products/Singles?idCategory=1&amp;idProduct=sv3pt5-157", "CM")</f>
        <v>CM</v>
      </c>
      <c r="G129" s="23" t="b">
        <v>0</v>
      </c>
      <c r="H129" s="24" t="b">
        <v>0</v>
      </c>
      <c r="I129" s="25" t="str">
        <f>HYPERLINK("https://www.cardmarket.com/en/Pokemon/Products/Singles?idCategory=1&amp;idProduct=sv3pt5-158", "CM")</f>
        <v>CM</v>
      </c>
      <c r="J129" s="23" t="b">
        <v>0</v>
      </c>
      <c r="K129" s="24" t="b">
        <v>0</v>
      </c>
      <c r="L129" s="25" t="str">
        <f>HYPERLINK("https://www.cardmarket.com/en/Pokemon/Products/Singles?idCategory=1&amp;idProduct=sv3pt5-159", "CM")</f>
        <v>CM</v>
      </c>
      <c r="M129" s="23" t="b">
        <v>0</v>
      </c>
      <c r="N129" s="24" t="b">
        <v>0</v>
      </c>
      <c r="O129" s="25" t="str">
        <f>HYPERLINK("https://www.cardmarket.com/en/Pokemon/Products/Singles?idCategory=1&amp;idProduct=sv3pt5-160", "CM")</f>
        <v>CM</v>
      </c>
    </row>
    <row r="130" ht="7.5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</row>
    <row r="131" ht="18.75" customHeight="1">
      <c r="A131" s="18" t="s">
        <v>862</v>
      </c>
      <c r="B131" s="19" t="s">
        <v>1584</v>
      </c>
      <c r="C131" s="20"/>
      <c r="D131" s="18" t="s">
        <v>697</v>
      </c>
      <c r="E131" s="19" t="s">
        <v>1585</v>
      </c>
      <c r="F131" s="20"/>
      <c r="G131" s="18" t="s">
        <v>863</v>
      </c>
      <c r="H131" s="19" t="s">
        <v>1586</v>
      </c>
      <c r="I131" s="20"/>
      <c r="J131" s="18" t="s">
        <v>865</v>
      </c>
      <c r="K131" s="19" t="s">
        <v>1587</v>
      </c>
      <c r="L131" s="20"/>
      <c r="M131" s="18" t="s">
        <v>867</v>
      </c>
      <c r="N131" s="19" t="s">
        <v>1588</v>
      </c>
      <c r="O131" s="20"/>
    </row>
    <row r="132" ht="180.0" customHeight="1">
      <c r="A132" s="21" t="str">
        <f>IMAGE("https://assets.tcgdex.net/de/sv/sv03.5/161/low.jpg", 1)</f>
        <v/>
      </c>
      <c r="B132" s="22"/>
      <c r="C132" s="20"/>
      <c r="D132" s="21" t="str">
        <f>IMAGE("https://assets.tcgdex.net/de/sv/sv03.5/162/low.jpg", 1)</f>
        <v/>
      </c>
      <c r="E132" s="22"/>
      <c r="F132" s="20"/>
      <c r="G132" s="21" t="str">
        <f>IMAGE("https://assets.tcgdex.net/de/sv/sv03.5/163/low.jpg", 1)</f>
        <v/>
      </c>
      <c r="H132" s="22"/>
      <c r="I132" s="20"/>
      <c r="J132" s="21" t="str">
        <f>IMAGE("https://assets.tcgdex.net/de/sv/sv03.5/164/low.jpg", 1)</f>
        <v/>
      </c>
      <c r="K132" s="22"/>
      <c r="L132" s="20"/>
      <c r="M132" s="21" t="str">
        <f>IMAGE("https://assets.tcgdex.net/de/sv/sv03.5/165/low.jpg", 1)</f>
        <v/>
      </c>
      <c r="N132" s="22"/>
      <c r="O132" s="20"/>
    </row>
    <row r="133" ht="22.5" customHeight="1">
      <c r="A133" s="23" t="b">
        <v>0</v>
      </c>
      <c r="B133" s="24" t="b">
        <v>0</v>
      </c>
      <c r="C133" s="25" t="str">
        <f>HYPERLINK("https://www.cardmarket.com/en/Pokemon/Products/Singles?idCategory=1&amp;idProduct=sv3pt5-161", "CM")</f>
        <v>CM</v>
      </c>
      <c r="D133" s="23" t="b">
        <v>0</v>
      </c>
      <c r="E133" s="24" t="b">
        <v>0</v>
      </c>
      <c r="F133" s="25" t="str">
        <f>HYPERLINK("https://www.cardmarket.com/en/Pokemon/Products/Singles?idCategory=1&amp;idProduct=sv3pt5-162", "CM")</f>
        <v>CM</v>
      </c>
      <c r="G133" s="23" t="b">
        <v>0</v>
      </c>
      <c r="H133" s="24" t="b">
        <v>0</v>
      </c>
      <c r="I133" s="25" t="str">
        <f>HYPERLINK("https://www.cardmarket.com/en/Pokemon/Products/Singles?idCategory=1&amp;idProduct=sv3pt5-163", "CM")</f>
        <v>CM</v>
      </c>
      <c r="J133" s="23" t="b">
        <v>0</v>
      </c>
      <c r="K133" s="24" t="b">
        <v>0</v>
      </c>
      <c r="L133" s="25" t="str">
        <f>HYPERLINK("https://www.cardmarket.com/en/Pokemon/Products/Singles?idCategory=1&amp;idProduct=sv3pt5-164", "CM")</f>
        <v>CM</v>
      </c>
      <c r="M133" s="23" t="b">
        <v>0</v>
      </c>
      <c r="N133" s="24" t="b">
        <v>0</v>
      </c>
      <c r="O133" s="25" t="str">
        <f>HYPERLINK("https://www.cardmarket.com/en/Pokemon/Products/Singles?idCategory=1&amp;idProduct=sv3pt5-165", "CM")</f>
        <v>CM</v>
      </c>
    </row>
    <row r="134" ht="7.5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</row>
    <row r="135" ht="18.75" customHeight="1">
      <c r="A135" s="18" t="s">
        <v>869</v>
      </c>
      <c r="B135" s="19" t="s">
        <v>768</v>
      </c>
      <c r="C135" s="20"/>
      <c r="D135" s="18" t="s">
        <v>871</v>
      </c>
      <c r="E135" s="19" t="s">
        <v>1476</v>
      </c>
      <c r="F135" s="20"/>
      <c r="G135" s="18" t="s">
        <v>873</v>
      </c>
      <c r="H135" s="19" t="s">
        <v>766</v>
      </c>
      <c r="I135" s="20"/>
      <c r="J135" s="18" t="s">
        <v>875</v>
      </c>
      <c r="K135" s="19" t="s">
        <v>1377</v>
      </c>
      <c r="L135" s="20"/>
      <c r="M135" s="18" t="s">
        <v>877</v>
      </c>
      <c r="N135" s="19" t="s">
        <v>771</v>
      </c>
      <c r="O135" s="20"/>
    </row>
    <row r="136" ht="180.0" customHeight="1">
      <c r="A136" s="21" t="str">
        <f>IMAGE("https://assets.tcgdex.net/de/sv/sv03.5/166/low.jpg", 1)</f>
        <v/>
      </c>
      <c r="B136" s="22"/>
      <c r="C136" s="20"/>
      <c r="D136" s="21" t="str">
        <f>IMAGE("https://assets.tcgdex.net/de/sv/sv03.5/167/low.jpg", 1)</f>
        <v/>
      </c>
      <c r="E136" s="22"/>
      <c r="F136" s="20"/>
      <c r="G136" s="21" t="str">
        <f>IMAGE("https://assets.tcgdex.net/de/sv/sv03.5/168/low.jpg", 1)</f>
        <v/>
      </c>
      <c r="H136" s="22"/>
      <c r="I136" s="20"/>
      <c r="J136" s="21" t="str">
        <f>IMAGE("https://assets.tcgdex.net/de/sv/sv03.5/169/low.jpg", 1)</f>
        <v/>
      </c>
      <c r="K136" s="22"/>
      <c r="L136" s="20"/>
      <c r="M136" s="21" t="str">
        <f>IMAGE("https://assets.tcgdex.net/de/sv/sv03.5/170/low.jpg", 1)</f>
        <v/>
      </c>
      <c r="N136" s="22"/>
      <c r="O136" s="20"/>
    </row>
    <row r="137" ht="22.5" customHeight="1">
      <c r="A137" s="23" t="b">
        <v>0</v>
      </c>
      <c r="B137" s="24" t="b">
        <v>0</v>
      </c>
      <c r="C137" s="25" t="str">
        <f>HYPERLINK("https://www.cardmarket.com/en/Pokemon/Products/Singles?idCategory=1&amp;idProduct=sv3pt5-166", "CM")</f>
        <v>CM</v>
      </c>
      <c r="D137" s="23" t="b">
        <v>0</v>
      </c>
      <c r="E137" s="24" t="b">
        <v>0</v>
      </c>
      <c r="F137" s="25" t="str">
        <f>HYPERLINK("https://www.cardmarket.com/en/Pokemon/Products/Singles?idCategory=1&amp;idProduct=sv3pt5-167", "CM")</f>
        <v>CM</v>
      </c>
      <c r="G137" s="23" t="b">
        <v>0</v>
      </c>
      <c r="H137" s="24" t="b">
        <v>0</v>
      </c>
      <c r="I137" s="25" t="str">
        <f>HYPERLINK("https://www.cardmarket.com/en/Pokemon/Products/Singles?idCategory=1&amp;idProduct=sv3pt5-168", "CM")</f>
        <v>CM</v>
      </c>
      <c r="J137" s="23" t="b">
        <v>0</v>
      </c>
      <c r="K137" s="24" t="b">
        <v>0</v>
      </c>
      <c r="L137" s="25" t="str">
        <f>HYPERLINK("https://www.cardmarket.com/en/Pokemon/Products/Singles?idCategory=1&amp;idProduct=sv3pt5-169", "CM")</f>
        <v>CM</v>
      </c>
      <c r="M137" s="23" t="b">
        <v>0</v>
      </c>
      <c r="N137" s="24" t="b">
        <v>0</v>
      </c>
      <c r="O137" s="25" t="str">
        <f>HYPERLINK("https://www.cardmarket.com/en/Pokemon/Products/Singles?idCategory=1&amp;idProduct=sv3pt5-170", "CM")</f>
        <v>CM</v>
      </c>
    </row>
    <row r="138" ht="7.5" customHeight="1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</row>
    <row r="139" ht="18.75" customHeight="1">
      <c r="A139" s="18" t="s">
        <v>879</v>
      </c>
      <c r="B139" s="19" t="s">
        <v>1478</v>
      </c>
      <c r="C139" s="20"/>
      <c r="D139" s="18" t="s">
        <v>881</v>
      </c>
      <c r="E139" s="19" t="s">
        <v>1480</v>
      </c>
      <c r="F139" s="20"/>
      <c r="G139" s="18" t="s">
        <v>883</v>
      </c>
      <c r="H139" s="19" t="s">
        <v>616</v>
      </c>
      <c r="I139" s="20"/>
      <c r="J139" s="18" t="s">
        <v>699</v>
      </c>
      <c r="K139" s="19" t="s">
        <v>1501</v>
      </c>
      <c r="L139" s="20"/>
      <c r="M139" s="18" t="s">
        <v>1304</v>
      </c>
      <c r="N139" s="19" t="s">
        <v>1514</v>
      </c>
      <c r="O139" s="20"/>
    </row>
    <row r="140" ht="180.0" customHeight="1">
      <c r="A140" s="21" t="str">
        <f>IMAGE("https://assets.tcgdex.net/de/sv/sv03.5/171/low.jpg", 1)</f>
        <v/>
      </c>
      <c r="B140" s="22"/>
      <c r="C140" s="20"/>
      <c r="D140" s="21" t="str">
        <f>IMAGE("https://assets.tcgdex.net/de/sv/sv03.5/172/low.jpg", 1)</f>
        <v/>
      </c>
      <c r="E140" s="22"/>
      <c r="F140" s="20"/>
      <c r="G140" s="21" t="str">
        <f>IMAGE("https://assets.tcgdex.net/de/sv/sv03.5/173/low.jpg", 1)</f>
        <v/>
      </c>
      <c r="H140" s="22"/>
      <c r="I140" s="20"/>
      <c r="J140" s="21" t="str">
        <f>IMAGE("https://assets.tcgdex.net/de/sv/sv03.5/174/low.jpg", 1)</f>
        <v/>
      </c>
      <c r="K140" s="22"/>
      <c r="L140" s="20"/>
      <c r="M140" s="21" t="str">
        <f>IMAGE("https://assets.tcgdex.net/de/sv/sv03.5/175/low.jpg", 1)</f>
        <v/>
      </c>
      <c r="N140" s="22"/>
      <c r="O140" s="20"/>
    </row>
    <row r="141" ht="22.5" customHeight="1">
      <c r="A141" s="23" t="b">
        <v>0</v>
      </c>
      <c r="B141" s="24" t="b">
        <v>0</v>
      </c>
      <c r="C141" s="25" t="str">
        <f>HYPERLINK("https://www.cardmarket.com/en/Pokemon/Products/Singles?idCategory=1&amp;idProduct=sv3pt5-171", "CM")</f>
        <v>CM</v>
      </c>
      <c r="D141" s="23" t="b">
        <v>0</v>
      </c>
      <c r="E141" s="24" t="b">
        <v>0</v>
      </c>
      <c r="F141" s="25" t="str">
        <f>HYPERLINK("https://www.cardmarket.com/en/Pokemon/Products/Singles?idCategory=1&amp;idProduct=sv3pt5-172", "CM")</f>
        <v>CM</v>
      </c>
      <c r="G141" s="23" t="b">
        <v>0</v>
      </c>
      <c r="H141" s="24" t="b">
        <v>0</v>
      </c>
      <c r="I141" s="25" t="str">
        <f>HYPERLINK("https://www.cardmarket.com/en/Pokemon/Products/Singles?idCategory=1&amp;idProduct=sv3pt5-173", "CM")</f>
        <v>CM</v>
      </c>
      <c r="J141" s="23" t="b">
        <v>0</v>
      </c>
      <c r="K141" s="24" t="b">
        <v>0</v>
      </c>
      <c r="L141" s="25" t="str">
        <f>HYPERLINK("https://www.cardmarket.com/en/Pokemon/Products/Singles?idCategory=1&amp;idProduct=sv3pt5-174", "CM")</f>
        <v>CM</v>
      </c>
      <c r="M141" s="23" t="b">
        <v>0</v>
      </c>
      <c r="N141" s="24" t="b">
        <v>0</v>
      </c>
      <c r="O141" s="25" t="str">
        <f>HYPERLINK("https://www.cardmarket.com/en/Pokemon/Products/Singles?idCategory=1&amp;idProduct=sv3pt5-175", "CM")</f>
        <v>CM</v>
      </c>
    </row>
    <row r="142" ht="7.5" customHeight="1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</row>
    <row r="143" ht="18.75" customHeight="1">
      <c r="A143" s="18" t="s">
        <v>1306</v>
      </c>
      <c r="B143" s="19" t="s">
        <v>1517</v>
      </c>
      <c r="C143" s="20"/>
      <c r="D143" s="18" t="s">
        <v>884</v>
      </c>
      <c r="E143" s="19" t="s">
        <v>1522</v>
      </c>
      <c r="F143" s="20"/>
      <c r="G143" s="18" t="s">
        <v>701</v>
      </c>
      <c r="H143" s="19" t="s">
        <v>910</v>
      </c>
      <c r="I143" s="20"/>
      <c r="J143" s="18" t="s">
        <v>703</v>
      </c>
      <c r="K143" s="19" t="s">
        <v>1560</v>
      </c>
      <c r="L143" s="20"/>
      <c r="M143" s="18" t="s">
        <v>886</v>
      </c>
      <c r="N143" s="19" t="s">
        <v>1567</v>
      </c>
      <c r="O143" s="20"/>
    </row>
    <row r="144" ht="180.0" customHeight="1">
      <c r="A144" s="21" t="str">
        <f>IMAGE("https://assets.tcgdex.net/de/sv/sv03.5/176/low.jpg", 1)</f>
        <v/>
      </c>
      <c r="B144" s="22"/>
      <c r="C144" s="20"/>
      <c r="D144" s="21" t="str">
        <f>IMAGE("https://assets.tcgdex.net/de/sv/sv03.5/177/low.jpg", 1)</f>
        <v/>
      </c>
      <c r="E144" s="22"/>
      <c r="F144" s="20"/>
      <c r="G144" s="21" t="str">
        <f>IMAGE("https://assets.tcgdex.net/de/sv/sv03.5/178/low.jpg", 1)</f>
        <v/>
      </c>
      <c r="H144" s="22"/>
      <c r="I144" s="20"/>
      <c r="J144" s="21" t="str">
        <f>IMAGE("https://assets.tcgdex.net/de/sv/sv03.5/179/low.jpg", 1)</f>
        <v/>
      </c>
      <c r="K144" s="22"/>
      <c r="L144" s="20"/>
      <c r="M144" s="21" t="str">
        <f>IMAGE("https://assets.tcgdex.net/de/sv/sv03.5/180/low.jpg", 1)</f>
        <v/>
      </c>
      <c r="N144" s="22"/>
      <c r="O144" s="20"/>
    </row>
    <row r="145" ht="22.5" customHeight="1">
      <c r="A145" s="23" t="b">
        <v>0</v>
      </c>
      <c r="B145" s="24" t="b">
        <v>0</v>
      </c>
      <c r="C145" s="25" t="str">
        <f>HYPERLINK("https://www.cardmarket.com/en/Pokemon/Products/Singles?idCategory=1&amp;idProduct=sv3pt5-176", "CM")</f>
        <v>CM</v>
      </c>
      <c r="D145" s="23" t="b">
        <v>0</v>
      </c>
      <c r="E145" s="24" t="b">
        <v>0</v>
      </c>
      <c r="F145" s="25" t="str">
        <f>HYPERLINK("https://www.cardmarket.com/en/Pokemon/Products/Singles?idCategory=1&amp;idProduct=sv3pt5-177", "CM")</f>
        <v>CM</v>
      </c>
      <c r="G145" s="23" t="b">
        <v>0</v>
      </c>
      <c r="H145" s="24" t="b">
        <v>0</v>
      </c>
      <c r="I145" s="25" t="str">
        <f>HYPERLINK("https://www.cardmarket.com/en/Pokemon/Products/Singles?idCategory=1&amp;idProduct=sv3pt5-178", "CM")</f>
        <v>CM</v>
      </c>
      <c r="J145" s="23" t="b">
        <v>0</v>
      </c>
      <c r="K145" s="24" t="b">
        <v>0</v>
      </c>
      <c r="L145" s="25" t="str">
        <f>HYPERLINK("https://www.cardmarket.com/en/Pokemon/Products/Singles?idCategory=1&amp;idProduct=sv3pt5-179", "CM")</f>
        <v>CM</v>
      </c>
      <c r="M145" s="23" t="b">
        <v>0</v>
      </c>
      <c r="N145" s="24" t="b">
        <v>0</v>
      </c>
      <c r="O145" s="25" t="str">
        <f>HYPERLINK("https://www.cardmarket.com/en/Pokemon/Products/Singles?idCategory=1&amp;idProduct=sv3pt5-180", "CM")</f>
        <v>CM</v>
      </c>
    </row>
    <row r="146" ht="7.5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</row>
    <row r="147" ht="18.75" customHeight="1">
      <c r="A147" s="18" t="s">
        <v>888</v>
      </c>
      <c r="B147" s="19" t="s">
        <v>1446</v>
      </c>
      <c r="C147" s="20"/>
      <c r="D147" s="18" t="s">
        <v>705</v>
      </c>
      <c r="E147" s="19" t="s">
        <v>1477</v>
      </c>
      <c r="F147" s="20"/>
      <c r="G147" s="18" t="s">
        <v>890</v>
      </c>
      <c r="H147" s="19" t="s">
        <v>783</v>
      </c>
      <c r="I147" s="20"/>
      <c r="J147" s="18" t="s">
        <v>707</v>
      </c>
      <c r="K147" s="19" t="s">
        <v>1479</v>
      </c>
      <c r="L147" s="20"/>
      <c r="M147" s="18" t="s">
        <v>709</v>
      </c>
      <c r="N147" s="19" t="s">
        <v>1492</v>
      </c>
      <c r="O147" s="20"/>
    </row>
    <row r="148" ht="180.0" customHeight="1">
      <c r="A148" s="21" t="str">
        <f>IMAGE("https://assets.tcgdex.net/de/sv/sv03.5/181/low.jpg", 1)</f>
        <v/>
      </c>
      <c r="B148" s="22"/>
      <c r="C148" s="20"/>
      <c r="D148" s="21" t="str">
        <f>IMAGE("https://assets.tcgdex.net/de/sv/sv03.5/182/low.jpg", 1)</f>
        <v/>
      </c>
      <c r="E148" s="22"/>
      <c r="F148" s="20"/>
      <c r="G148" s="21" t="str">
        <f>IMAGE("https://assets.tcgdex.net/de/sv/sv03.5/183/low.jpg", 1)</f>
        <v/>
      </c>
      <c r="H148" s="22"/>
      <c r="I148" s="20"/>
      <c r="J148" s="21" t="str">
        <f>IMAGE("https://assets.tcgdex.net/de/sv/sv03.5/184/low.jpg", 1)</f>
        <v/>
      </c>
      <c r="K148" s="22"/>
      <c r="L148" s="20"/>
      <c r="M148" s="21" t="str">
        <f>IMAGE("https://assets.tcgdex.net/de/sv/sv03.5/185/low.jpg", 1)</f>
        <v/>
      </c>
      <c r="N148" s="22"/>
      <c r="O148" s="20"/>
    </row>
    <row r="149" ht="22.5" customHeight="1">
      <c r="A149" s="23" t="b">
        <v>0</v>
      </c>
      <c r="B149" s="24" t="b">
        <v>0</v>
      </c>
      <c r="C149" s="25" t="str">
        <f>HYPERLINK("https://www.cardmarket.com/en/Pokemon/Products/Singles?idCategory=1&amp;idProduct=sv3pt5-181", "CM")</f>
        <v>CM</v>
      </c>
      <c r="D149" s="23" t="b">
        <v>0</v>
      </c>
      <c r="E149" s="24" t="b">
        <v>0</v>
      </c>
      <c r="F149" s="25" t="str">
        <f>HYPERLINK("https://www.cardmarket.com/en/Pokemon/Products/Singles?idCategory=1&amp;idProduct=sv3pt5-182", "CM")</f>
        <v>CM</v>
      </c>
      <c r="G149" s="23" t="b">
        <v>0</v>
      </c>
      <c r="H149" s="24" t="b">
        <v>0</v>
      </c>
      <c r="I149" s="25" t="str">
        <f>HYPERLINK("https://www.cardmarket.com/en/Pokemon/Products/Singles?idCategory=1&amp;idProduct=sv3pt5-183", "CM")</f>
        <v>CM</v>
      </c>
      <c r="J149" s="23" t="b">
        <v>0</v>
      </c>
      <c r="K149" s="24" t="b">
        <v>0</v>
      </c>
      <c r="L149" s="25" t="str">
        <f>HYPERLINK("https://www.cardmarket.com/en/Pokemon/Products/Singles?idCategory=1&amp;idProduct=sv3pt5-184", "CM")</f>
        <v>CM</v>
      </c>
      <c r="M149" s="23" t="b">
        <v>0</v>
      </c>
      <c r="N149" s="24" t="b">
        <v>0</v>
      </c>
      <c r="O149" s="25" t="str">
        <f>HYPERLINK("https://www.cardmarket.com/en/Pokemon/Products/Singles?idCategory=1&amp;idProduct=sv3pt5-185", "CM")</f>
        <v>CM</v>
      </c>
    </row>
    <row r="150" ht="7.5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</row>
    <row r="151" ht="18.75" customHeight="1">
      <c r="A151" s="18" t="s">
        <v>711</v>
      </c>
      <c r="B151" s="19" t="s">
        <v>1503</v>
      </c>
      <c r="C151" s="20"/>
      <c r="D151" s="18" t="s">
        <v>892</v>
      </c>
      <c r="E151" s="19" t="s">
        <v>1505</v>
      </c>
      <c r="F151" s="20"/>
      <c r="G151" s="18" t="s">
        <v>894</v>
      </c>
      <c r="H151" s="19" t="s">
        <v>775</v>
      </c>
      <c r="I151" s="20"/>
      <c r="J151" s="18" t="s">
        <v>896</v>
      </c>
      <c r="K151" s="19" t="s">
        <v>1530</v>
      </c>
      <c r="L151" s="20"/>
      <c r="M151" s="18" t="s">
        <v>1312</v>
      </c>
      <c r="N151" s="19" t="s">
        <v>586</v>
      </c>
      <c r="O151" s="20"/>
    </row>
    <row r="152" ht="180.0" customHeight="1">
      <c r="A152" s="21" t="str">
        <f>IMAGE("https://assets.tcgdex.net/de/sv/sv03.5/186/low.jpg", 1)</f>
        <v/>
      </c>
      <c r="B152" s="22"/>
      <c r="C152" s="20"/>
      <c r="D152" s="21" t="str">
        <f>IMAGE("https://assets.tcgdex.net/de/sv/sv03.5/187/low.jpg", 1)</f>
        <v/>
      </c>
      <c r="E152" s="22"/>
      <c r="F152" s="20"/>
      <c r="G152" s="21" t="str">
        <f>IMAGE("https://assets.tcgdex.net/de/sv/sv03.5/188/low.jpg", 1)</f>
        <v/>
      </c>
      <c r="H152" s="22"/>
      <c r="I152" s="20"/>
      <c r="J152" s="21" t="str">
        <f>IMAGE("https://assets.tcgdex.net/de/sv/sv03.5/189/low.jpg", 1)</f>
        <v/>
      </c>
      <c r="K152" s="22"/>
      <c r="L152" s="20"/>
      <c r="M152" s="21" t="str">
        <f>IMAGE("https://assets.tcgdex.net/de/sv/sv03.5/190/low.jpg", 1)</f>
        <v/>
      </c>
      <c r="N152" s="22"/>
      <c r="O152" s="20"/>
    </row>
    <row r="153" ht="22.5" customHeight="1">
      <c r="A153" s="23" t="b">
        <v>0</v>
      </c>
      <c r="B153" s="24" t="b">
        <v>0</v>
      </c>
      <c r="C153" s="25" t="str">
        <f>HYPERLINK("https://www.cardmarket.com/en/Pokemon/Products/Singles?idCategory=1&amp;idProduct=sv3pt5-186", "CM")</f>
        <v>CM</v>
      </c>
      <c r="D153" s="23" t="b">
        <v>0</v>
      </c>
      <c r="E153" s="24" t="b">
        <v>0</v>
      </c>
      <c r="F153" s="25" t="str">
        <f>HYPERLINK("https://www.cardmarket.com/en/Pokemon/Products/Singles?idCategory=1&amp;idProduct=sv3pt5-187", "CM")</f>
        <v>CM</v>
      </c>
      <c r="G153" s="23" t="b">
        <v>0</v>
      </c>
      <c r="H153" s="24" t="b">
        <v>0</v>
      </c>
      <c r="I153" s="25" t="str">
        <f>HYPERLINK("https://www.cardmarket.com/en/Pokemon/Products/Singles?idCategory=1&amp;idProduct=sv3pt5-188", "CM")</f>
        <v>CM</v>
      </c>
      <c r="J153" s="23" t="b">
        <v>0</v>
      </c>
      <c r="K153" s="24" t="b">
        <v>0</v>
      </c>
      <c r="L153" s="25" t="str">
        <f>HYPERLINK("https://www.cardmarket.com/en/Pokemon/Products/Singles?idCategory=1&amp;idProduct=sv3pt5-189", "CM")</f>
        <v>CM</v>
      </c>
      <c r="M153" s="23" t="b">
        <v>0</v>
      </c>
      <c r="N153" s="24" t="b">
        <v>0</v>
      </c>
      <c r="O153" s="25" t="str">
        <f>HYPERLINK("https://www.cardmarket.com/en/Pokemon/Products/Singles?idCategory=1&amp;idProduct=sv3pt5-190", "CM")</f>
        <v>CM</v>
      </c>
    </row>
    <row r="154" ht="7.5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</row>
    <row r="155" ht="18.75" customHeight="1">
      <c r="A155" s="18" t="s">
        <v>1240</v>
      </c>
      <c r="B155" s="19" t="s">
        <v>1561</v>
      </c>
      <c r="C155" s="20"/>
      <c r="D155" s="18" t="s">
        <v>1313</v>
      </c>
      <c r="E155" s="19" t="s">
        <v>773</v>
      </c>
      <c r="F155" s="20"/>
      <c r="G155" s="18" t="s">
        <v>898</v>
      </c>
      <c r="H155" s="19" t="s">
        <v>781</v>
      </c>
      <c r="I155" s="20"/>
      <c r="J155" s="18" t="s">
        <v>713</v>
      </c>
      <c r="K155" s="19" t="s">
        <v>1579</v>
      </c>
      <c r="L155" s="20"/>
      <c r="M155" s="18" t="s">
        <v>715</v>
      </c>
      <c r="N155" s="19" t="s">
        <v>1581</v>
      </c>
      <c r="O155" s="20"/>
    </row>
    <row r="156" ht="180.0" customHeight="1">
      <c r="A156" s="21" t="str">
        <f>IMAGE("https://assets.tcgdex.net/de/sv/sv03.5/191/low.jpg", 1)</f>
        <v/>
      </c>
      <c r="B156" s="22"/>
      <c r="C156" s="20"/>
      <c r="D156" s="21" t="str">
        <f>IMAGE("https://assets.tcgdex.net/de/sv/sv03.5/192/low.jpg", 1)</f>
        <v/>
      </c>
      <c r="E156" s="22"/>
      <c r="F156" s="20"/>
      <c r="G156" s="21" t="str">
        <f>IMAGE("https://assets.tcgdex.net/de/sv/sv03.5/193/low.jpg", 1)</f>
        <v/>
      </c>
      <c r="H156" s="22"/>
      <c r="I156" s="20"/>
      <c r="J156" s="21" t="str">
        <f>IMAGE("https://assets.tcgdex.net/de/sv/sv03.5/194/low.jpg", 1)</f>
        <v/>
      </c>
      <c r="K156" s="22"/>
      <c r="L156" s="20"/>
      <c r="M156" s="21" t="str">
        <f>IMAGE("https://assets.tcgdex.net/de/sv/sv03.5/195/low.jpg", 1)</f>
        <v/>
      </c>
      <c r="N156" s="22"/>
      <c r="O156" s="20"/>
    </row>
    <row r="157" ht="22.5" customHeight="1">
      <c r="A157" s="23" t="b">
        <v>0</v>
      </c>
      <c r="B157" s="24" t="b">
        <v>0</v>
      </c>
      <c r="C157" s="25" t="str">
        <f>HYPERLINK("https://www.cardmarket.com/en/Pokemon/Products/Singles?idCategory=1&amp;idProduct=sv3pt5-191", "CM")</f>
        <v>CM</v>
      </c>
      <c r="D157" s="23" t="b">
        <v>0</v>
      </c>
      <c r="E157" s="24" t="b">
        <v>0</v>
      </c>
      <c r="F157" s="25" t="str">
        <f>HYPERLINK("https://www.cardmarket.com/en/Pokemon/Products/Singles?idCategory=1&amp;idProduct=sv3pt5-192", "CM")</f>
        <v>CM</v>
      </c>
      <c r="G157" s="23" t="b">
        <v>0</v>
      </c>
      <c r="H157" s="24" t="b">
        <v>0</v>
      </c>
      <c r="I157" s="25" t="str">
        <f>HYPERLINK("https://www.cardmarket.com/en/Pokemon/Products/Singles?idCategory=1&amp;idProduct=sv3pt5-193", "CM")</f>
        <v>CM</v>
      </c>
      <c r="J157" s="23" t="b">
        <v>0</v>
      </c>
      <c r="K157" s="24" t="b">
        <v>0</v>
      </c>
      <c r="L157" s="25" t="str">
        <f>HYPERLINK("https://www.cardmarket.com/en/Pokemon/Products/Singles?idCategory=1&amp;idProduct=sv3pt5-194", "CM")</f>
        <v>CM</v>
      </c>
      <c r="M157" s="23" t="b">
        <v>0</v>
      </c>
      <c r="N157" s="24" t="b">
        <v>0</v>
      </c>
      <c r="O157" s="25" t="str">
        <f>HYPERLINK("https://www.cardmarket.com/en/Pokemon/Products/Singles?idCategory=1&amp;idProduct=sv3pt5-195", "CM")</f>
        <v>CM</v>
      </c>
    </row>
    <row r="158" ht="7.5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</row>
    <row r="159" ht="18.75" customHeight="1">
      <c r="A159" s="18" t="s">
        <v>717</v>
      </c>
      <c r="B159" s="19" t="s">
        <v>1583</v>
      </c>
      <c r="C159" s="20"/>
      <c r="D159" s="18" t="s">
        <v>719</v>
      </c>
      <c r="E159" s="19" t="s">
        <v>1584</v>
      </c>
      <c r="F159" s="20"/>
      <c r="G159" s="18" t="s">
        <v>720</v>
      </c>
      <c r="H159" s="19" t="s">
        <v>1477</v>
      </c>
      <c r="I159" s="20"/>
      <c r="J159" s="18" t="s">
        <v>722</v>
      </c>
      <c r="K159" s="19" t="s">
        <v>783</v>
      </c>
      <c r="L159" s="20"/>
      <c r="M159" s="18" t="s">
        <v>724</v>
      </c>
      <c r="N159" s="19" t="s">
        <v>1479</v>
      </c>
      <c r="O159" s="20"/>
    </row>
    <row r="160" ht="180.0" customHeight="1">
      <c r="A160" s="21" t="str">
        <f>IMAGE("https://assets.tcgdex.net/de/sv/sv03.5/196/low.jpg", 1)</f>
        <v/>
      </c>
      <c r="B160" s="22"/>
      <c r="C160" s="20"/>
      <c r="D160" s="21" t="str">
        <f>IMAGE("https://assets.tcgdex.net/de/sv/sv03.5/197/low.jpg", 1)</f>
        <v/>
      </c>
      <c r="E160" s="22"/>
      <c r="F160" s="20"/>
      <c r="G160" s="21" t="str">
        <f>IMAGE("https://assets.tcgdex.net/de/sv/sv03.5/198/low.jpg", 1)</f>
        <v/>
      </c>
      <c r="H160" s="22"/>
      <c r="I160" s="20"/>
      <c r="J160" s="21" t="str">
        <f>IMAGE("https://assets.tcgdex.net/de/sv/sv03.5/199/low.jpg", 1)</f>
        <v/>
      </c>
      <c r="K160" s="22"/>
      <c r="L160" s="20"/>
      <c r="M160" s="21" t="str">
        <f>IMAGE("https://assets.tcgdex.net/de/sv/sv03.5/200/low.jpg", 1)</f>
        <v/>
      </c>
      <c r="N160" s="22"/>
      <c r="O160" s="20"/>
    </row>
    <row r="161" ht="22.5" customHeight="1">
      <c r="A161" s="23" t="b">
        <v>0</v>
      </c>
      <c r="B161" s="24" t="b">
        <v>0</v>
      </c>
      <c r="C161" s="25" t="str">
        <f>HYPERLINK("https://www.cardmarket.com/en/Pokemon/Products/Singles?idCategory=1&amp;idProduct=sv3pt5-196", "CM")</f>
        <v>CM</v>
      </c>
      <c r="D161" s="23" t="b">
        <v>0</v>
      </c>
      <c r="E161" s="24" t="b">
        <v>0</v>
      </c>
      <c r="F161" s="25" t="str">
        <f>HYPERLINK("https://www.cardmarket.com/en/Pokemon/Products/Singles?idCategory=1&amp;idProduct=sv3pt5-197", "CM")</f>
        <v>CM</v>
      </c>
      <c r="G161" s="23" t="b">
        <v>0</v>
      </c>
      <c r="H161" s="24" t="b">
        <v>0</v>
      </c>
      <c r="I161" s="25" t="str">
        <f>HYPERLINK("https://www.cardmarket.com/en/Pokemon/Products/Singles?idCategory=1&amp;idProduct=sv3pt5-198", "CM")</f>
        <v>CM</v>
      </c>
      <c r="J161" s="23" t="b">
        <v>0</v>
      </c>
      <c r="K161" s="24" t="b">
        <v>0</v>
      </c>
      <c r="L161" s="25" t="str">
        <f>HYPERLINK("https://www.cardmarket.com/en/Pokemon/Products/Singles?idCategory=1&amp;idProduct=sv3pt5-199", "CM")</f>
        <v>CM</v>
      </c>
      <c r="M161" s="23" t="b">
        <v>0</v>
      </c>
      <c r="N161" s="24" t="b">
        <v>0</v>
      </c>
      <c r="O161" s="25" t="str">
        <f>HYPERLINK("https://www.cardmarket.com/en/Pokemon/Products/Singles?idCategory=1&amp;idProduct=sv3pt5-200", "CM")</f>
        <v>CM</v>
      </c>
    </row>
    <row r="162" ht="7.5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</row>
    <row r="163" ht="18.75" customHeight="1">
      <c r="A163" s="18" t="s">
        <v>726</v>
      </c>
      <c r="B163" s="19" t="s">
        <v>775</v>
      </c>
      <c r="C163" s="20"/>
      <c r="D163" s="18" t="s">
        <v>728</v>
      </c>
      <c r="E163" s="19" t="s">
        <v>773</v>
      </c>
      <c r="F163" s="20"/>
      <c r="G163" s="18" t="s">
        <v>730</v>
      </c>
      <c r="H163" s="19" t="s">
        <v>1583</v>
      </c>
      <c r="I163" s="20"/>
      <c r="J163" s="18" t="s">
        <v>1241</v>
      </c>
      <c r="K163" s="19" t="s">
        <v>1584</v>
      </c>
      <c r="L163" s="20"/>
      <c r="M163" s="18" t="s">
        <v>1319</v>
      </c>
      <c r="N163" s="19" t="s">
        <v>781</v>
      </c>
      <c r="O163" s="20"/>
    </row>
    <row r="164" ht="180.0" customHeight="1">
      <c r="A164" s="21" t="str">
        <f>IMAGE("https://assets.tcgdex.net/de/sv/sv03.5/201/low.jpg", 1)</f>
        <v/>
      </c>
      <c r="B164" s="22"/>
      <c r="C164" s="20"/>
      <c r="D164" s="21" t="str">
        <f>IMAGE("https://assets.tcgdex.net/de/sv/sv03.5/202/low.jpg", 1)</f>
        <v/>
      </c>
      <c r="E164" s="22"/>
      <c r="F164" s="20"/>
      <c r="G164" s="21" t="str">
        <f>IMAGE("https://assets.tcgdex.net/de/sv/sv03.5/203/low.jpg", 1)</f>
        <v/>
      </c>
      <c r="H164" s="22"/>
      <c r="I164" s="20"/>
      <c r="J164" s="21" t="str">
        <f>IMAGE("https://assets.tcgdex.net/de/sv/sv03.5/204/low.jpg", 1)</f>
        <v/>
      </c>
      <c r="K164" s="22"/>
      <c r="L164" s="20"/>
      <c r="M164" s="21" t="str">
        <f>IMAGE("https://assets.tcgdex.net/de/sv/sv03.5/205/low.jpg", 1)</f>
        <v/>
      </c>
      <c r="N164" s="22"/>
      <c r="O164" s="20"/>
    </row>
    <row r="165" ht="22.5" customHeight="1">
      <c r="A165" s="23" t="b">
        <v>0</v>
      </c>
      <c r="B165" s="24" t="b">
        <v>0</v>
      </c>
      <c r="C165" s="25" t="str">
        <f>HYPERLINK("https://www.cardmarket.com/en/Pokemon/Products/Singles?idCategory=1&amp;idProduct=sv3pt5-201", "CM")</f>
        <v>CM</v>
      </c>
      <c r="D165" s="23" t="b">
        <v>0</v>
      </c>
      <c r="E165" s="24" t="b">
        <v>0</v>
      </c>
      <c r="F165" s="25" t="str">
        <f>HYPERLINK("https://www.cardmarket.com/en/Pokemon/Products/Singles?idCategory=1&amp;idProduct=sv3pt5-202", "CM")</f>
        <v>CM</v>
      </c>
      <c r="G165" s="23" t="b">
        <v>0</v>
      </c>
      <c r="H165" s="24" t="b">
        <v>0</v>
      </c>
      <c r="I165" s="25" t="str">
        <f>HYPERLINK("https://www.cardmarket.com/en/Pokemon/Products/Singles?idCategory=1&amp;idProduct=sv3pt5-203", "CM")</f>
        <v>CM</v>
      </c>
      <c r="J165" s="23" t="b">
        <v>0</v>
      </c>
      <c r="K165" s="24" t="b">
        <v>0</v>
      </c>
      <c r="L165" s="25" t="str">
        <f>HYPERLINK("https://www.cardmarket.com/en/Pokemon/Products/Singles?idCategory=1&amp;idProduct=sv3pt5-204", "CM")</f>
        <v>CM</v>
      </c>
      <c r="M165" s="23" t="b">
        <v>0</v>
      </c>
      <c r="N165" s="24" t="b">
        <v>0</v>
      </c>
      <c r="O165" s="25" t="str">
        <f>HYPERLINK("https://www.cardmarket.com/en/Pokemon/Products/Singles?idCategory=1&amp;idProduct=sv3pt5-205", "CM")</f>
        <v>CM</v>
      </c>
    </row>
    <row r="166" ht="7.5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</row>
    <row r="167" ht="18.75" customHeight="1">
      <c r="A167" s="18" t="s">
        <v>732</v>
      </c>
      <c r="B167" s="19" t="s">
        <v>959</v>
      </c>
      <c r="C167" s="20"/>
      <c r="D167" s="18" t="s">
        <v>734</v>
      </c>
      <c r="E167" s="19" t="s">
        <v>1589</v>
      </c>
      <c r="F167" s="20"/>
      <c r="G167" s="26"/>
      <c r="H167" s="26"/>
      <c r="I167" s="26"/>
      <c r="J167" s="26"/>
      <c r="K167" s="26"/>
      <c r="L167" s="26"/>
      <c r="M167" s="26"/>
      <c r="N167" s="26"/>
      <c r="O167" s="26"/>
    </row>
    <row r="168" ht="180.0" customHeight="1">
      <c r="A168" s="21" t="str">
        <f>IMAGE("https://assets.tcgdex.net/de/sv/sv03.5/206/low.jpg", 1)</f>
        <v/>
      </c>
      <c r="B168" s="22"/>
      <c r="C168" s="20"/>
      <c r="D168" s="21" t="str">
        <f>IMAGE("https://assets.tcgdex.net/de/sv/sv03.5/207/low.jpg", 1)</f>
        <v/>
      </c>
      <c r="E168" s="22"/>
      <c r="F168" s="20"/>
      <c r="G168" s="26"/>
      <c r="H168" s="26"/>
      <c r="I168" s="26"/>
      <c r="J168" s="26"/>
      <c r="K168" s="26"/>
      <c r="L168" s="26"/>
      <c r="M168" s="26"/>
      <c r="N168" s="26"/>
      <c r="O168" s="26"/>
    </row>
    <row r="169" ht="22.5" customHeight="1">
      <c r="A169" s="23" t="b">
        <v>0</v>
      </c>
      <c r="B169" s="24" t="b">
        <v>0</v>
      </c>
      <c r="C169" s="25" t="str">
        <f>HYPERLINK("https://www.cardmarket.com/en/Pokemon/Products/Singles?idCategory=1&amp;idProduct=sv3pt5-206", "CM")</f>
        <v>CM</v>
      </c>
      <c r="D169" s="23" t="b">
        <v>0</v>
      </c>
      <c r="E169" s="24" t="b">
        <v>0</v>
      </c>
      <c r="F169" s="25" t="str">
        <f>HYPERLINK("https://www.cardmarket.com/en/Pokemon/Products/Singles?idCategory=1&amp;idProduct=sv3pt5-207", "CM")</f>
        <v>CM</v>
      </c>
      <c r="G169" s="26"/>
      <c r="H169" s="26"/>
      <c r="I169" s="26"/>
      <c r="J169" s="26"/>
      <c r="K169" s="26"/>
      <c r="L169" s="26"/>
      <c r="M169" s="26"/>
      <c r="N169" s="26"/>
      <c r="O169" s="26"/>
    </row>
    <row r="170" ht="7.5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</row>
  </sheetData>
  <mergeCells count="416">
    <mergeCell ref="H3:I3"/>
    <mergeCell ref="K3:L3"/>
    <mergeCell ref="J4:L4"/>
    <mergeCell ref="N3:O3"/>
    <mergeCell ref="M4:O4"/>
    <mergeCell ref="A1:N1"/>
    <mergeCell ref="A2:O2"/>
    <mergeCell ref="B3:C3"/>
    <mergeCell ref="A4:C4"/>
    <mergeCell ref="E3:F3"/>
    <mergeCell ref="D4:F4"/>
    <mergeCell ref="G4:I4"/>
    <mergeCell ref="K7:L7"/>
    <mergeCell ref="N7:O7"/>
    <mergeCell ref="M8:O8"/>
    <mergeCell ref="B7:C7"/>
    <mergeCell ref="A8:C8"/>
    <mergeCell ref="E7:F7"/>
    <mergeCell ref="D8:F8"/>
    <mergeCell ref="H7:I7"/>
    <mergeCell ref="G8:I8"/>
    <mergeCell ref="J8:L8"/>
    <mergeCell ref="K11:L11"/>
    <mergeCell ref="N11:O11"/>
    <mergeCell ref="M12:O12"/>
    <mergeCell ref="B11:C11"/>
    <mergeCell ref="A12:C12"/>
    <mergeCell ref="E11:F11"/>
    <mergeCell ref="D12:F12"/>
    <mergeCell ref="H11:I11"/>
    <mergeCell ref="G12:I12"/>
    <mergeCell ref="J12:L12"/>
    <mergeCell ref="K27:L27"/>
    <mergeCell ref="N27:O27"/>
    <mergeCell ref="M28:O28"/>
    <mergeCell ref="B27:C27"/>
    <mergeCell ref="A28:C28"/>
    <mergeCell ref="E27:F27"/>
    <mergeCell ref="D28:F28"/>
    <mergeCell ref="H27:I27"/>
    <mergeCell ref="G28:I28"/>
    <mergeCell ref="J28:L28"/>
    <mergeCell ref="K31:L31"/>
    <mergeCell ref="N31:O31"/>
    <mergeCell ref="M32:O32"/>
    <mergeCell ref="B31:C31"/>
    <mergeCell ref="A32:C32"/>
    <mergeCell ref="E31:F31"/>
    <mergeCell ref="D32:F32"/>
    <mergeCell ref="H31:I31"/>
    <mergeCell ref="G32:I32"/>
    <mergeCell ref="J32:L32"/>
    <mergeCell ref="K35:L35"/>
    <mergeCell ref="N35:O35"/>
    <mergeCell ref="M36:O36"/>
    <mergeCell ref="B35:C35"/>
    <mergeCell ref="A36:C36"/>
    <mergeCell ref="E35:F35"/>
    <mergeCell ref="D36:F36"/>
    <mergeCell ref="H35:I35"/>
    <mergeCell ref="G36:I36"/>
    <mergeCell ref="J36:L36"/>
    <mergeCell ref="K39:L39"/>
    <mergeCell ref="N39:O39"/>
    <mergeCell ref="M40:O40"/>
    <mergeCell ref="B39:C39"/>
    <mergeCell ref="A40:C40"/>
    <mergeCell ref="E39:F39"/>
    <mergeCell ref="D40:F40"/>
    <mergeCell ref="H39:I39"/>
    <mergeCell ref="G40:I40"/>
    <mergeCell ref="J40:L40"/>
    <mergeCell ref="K43:L43"/>
    <mergeCell ref="N43:O43"/>
    <mergeCell ref="M44:O44"/>
    <mergeCell ref="B43:C43"/>
    <mergeCell ref="A44:C44"/>
    <mergeCell ref="E43:F43"/>
    <mergeCell ref="D44:F44"/>
    <mergeCell ref="H43:I43"/>
    <mergeCell ref="G44:I44"/>
    <mergeCell ref="J44:L44"/>
    <mergeCell ref="K47:L47"/>
    <mergeCell ref="N47:O47"/>
    <mergeCell ref="M48:O48"/>
    <mergeCell ref="B47:C47"/>
    <mergeCell ref="A48:C48"/>
    <mergeCell ref="E47:F47"/>
    <mergeCell ref="D48:F48"/>
    <mergeCell ref="H47:I47"/>
    <mergeCell ref="G48:I48"/>
    <mergeCell ref="J48:L48"/>
    <mergeCell ref="K51:L51"/>
    <mergeCell ref="N51:O51"/>
    <mergeCell ref="M52:O52"/>
    <mergeCell ref="B51:C51"/>
    <mergeCell ref="A52:C52"/>
    <mergeCell ref="E51:F51"/>
    <mergeCell ref="D52:F52"/>
    <mergeCell ref="H51:I51"/>
    <mergeCell ref="G52:I52"/>
    <mergeCell ref="J52:L52"/>
    <mergeCell ref="K55:L55"/>
    <mergeCell ref="N55:O55"/>
    <mergeCell ref="M56:O56"/>
    <mergeCell ref="B55:C55"/>
    <mergeCell ref="A56:C56"/>
    <mergeCell ref="E55:F55"/>
    <mergeCell ref="D56:F56"/>
    <mergeCell ref="H55:I55"/>
    <mergeCell ref="G56:I56"/>
    <mergeCell ref="J56:L56"/>
    <mergeCell ref="K59:L59"/>
    <mergeCell ref="N59:O59"/>
    <mergeCell ref="M60:O60"/>
    <mergeCell ref="B59:C59"/>
    <mergeCell ref="A60:C60"/>
    <mergeCell ref="E59:F59"/>
    <mergeCell ref="D60:F60"/>
    <mergeCell ref="H59:I59"/>
    <mergeCell ref="G60:I60"/>
    <mergeCell ref="J60:L60"/>
    <mergeCell ref="K63:L63"/>
    <mergeCell ref="N63:O63"/>
    <mergeCell ref="M64:O64"/>
    <mergeCell ref="B63:C63"/>
    <mergeCell ref="A64:C64"/>
    <mergeCell ref="E63:F63"/>
    <mergeCell ref="D64:F64"/>
    <mergeCell ref="H63:I63"/>
    <mergeCell ref="G64:I64"/>
    <mergeCell ref="J64:L64"/>
    <mergeCell ref="K67:L67"/>
    <mergeCell ref="N67:O67"/>
    <mergeCell ref="M68:O68"/>
    <mergeCell ref="B67:C67"/>
    <mergeCell ref="A68:C68"/>
    <mergeCell ref="E67:F67"/>
    <mergeCell ref="D68:F68"/>
    <mergeCell ref="H67:I67"/>
    <mergeCell ref="G68:I68"/>
    <mergeCell ref="J68:L68"/>
    <mergeCell ref="K71:L71"/>
    <mergeCell ref="N71:O71"/>
    <mergeCell ref="M72:O72"/>
    <mergeCell ref="B71:C71"/>
    <mergeCell ref="A72:C72"/>
    <mergeCell ref="E71:F71"/>
    <mergeCell ref="D72:F72"/>
    <mergeCell ref="H71:I71"/>
    <mergeCell ref="G72:I72"/>
    <mergeCell ref="J72:L72"/>
    <mergeCell ref="K75:L75"/>
    <mergeCell ref="N75:O75"/>
    <mergeCell ref="M76:O76"/>
    <mergeCell ref="B75:C75"/>
    <mergeCell ref="A76:C76"/>
    <mergeCell ref="E75:F75"/>
    <mergeCell ref="D76:F76"/>
    <mergeCell ref="H75:I75"/>
    <mergeCell ref="G76:I76"/>
    <mergeCell ref="J76:L76"/>
    <mergeCell ref="K79:L79"/>
    <mergeCell ref="N79:O79"/>
    <mergeCell ref="M80:O80"/>
    <mergeCell ref="B79:C79"/>
    <mergeCell ref="A80:C80"/>
    <mergeCell ref="E79:F79"/>
    <mergeCell ref="D80:F80"/>
    <mergeCell ref="H79:I79"/>
    <mergeCell ref="G80:I80"/>
    <mergeCell ref="J80:L80"/>
    <mergeCell ref="K83:L83"/>
    <mergeCell ref="N83:O83"/>
    <mergeCell ref="M84:O84"/>
    <mergeCell ref="B83:C83"/>
    <mergeCell ref="A84:C84"/>
    <mergeCell ref="E83:F83"/>
    <mergeCell ref="D84:F84"/>
    <mergeCell ref="H83:I83"/>
    <mergeCell ref="G84:I84"/>
    <mergeCell ref="J84:L84"/>
    <mergeCell ref="K87:L87"/>
    <mergeCell ref="N87:O87"/>
    <mergeCell ref="M88:O88"/>
    <mergeCell ref="B87:C87"/>
    <mergeCell ref="A88:C88"/>
    <mergeCell ref="E87:F87"/>
    <mergeCell ref="D88:F88"/>
    <mergeCell ref="H87:I87"/>
    <mergeCell ref="G88:I88"/>
    <mergeCell ref="J88:L88"/>
    <mergeCell ref="K91:L91"/>
    <mergeCell ref="N91:O91"/>
    <mergeCell ref="M92:O92"/>
    <mergeCell ref="B91:C91"/>
    <mergeCell ref="A92:C92"/>
    <mergeCell ref="E91:F91"/>
    <mergeCell ref="D92:F92"/>
    <mergeCell ref="H91:I91"/>
    <mergeCell ref="G92:I92"/>
    <mergeCell ref="J92:L92"/>
    <mergeCell ref="K95:L95"/>
    <mergeCell ref="N95:O95"/>
    <mergeCell ref="M96:O96"/>
    <mergeCell ref="B95:C95"/>
    <mergeCell ref="A96:C96"/>
    <mergeCell ref="E95:F95"/>
    <mergeCell ref="D96:F96"/>
    <mergeCell ref="H95:I95"/>
    <mergeCell ref="G96:I96"/>
    <mergeCell ref="J96:L96"/>
    <mergeCell ref="K99:L99"/>
    <mergeCell ref="N99:O99"/>
    <mergeCell ref="M100:O100"/>
    <mergeCell ref="B99:C99"/>
    <mergeCell ref="A100:C100"/>
    <mergeCell ref="E99:F99"/>
    <mergeCell ref="D100:F100"/>
    <mergeCell ref="H99:I99"/>
    <mergeCell ref="G100:I100"/>
    <mergeCell ref="J100:L100"/>
    <mergeCell ref="K103:L103"/>
    <mergeCell ref="N103:O103"/>
    <mergeCell ref="M104:O104"/>
    <mergeCell ref="B103:C103"/>
    <mergeCell ref="A104:C104"/>
    <mergeCell ref="E103:F103"/>
    <mergeCell ref="D104:F104"/>
    <mergeCell ref="H103:I103"/>
    <mergeCell ref="G104:I104"/>
    <mergeCell ref="J104:L104"/>
    <mergeCell ref="K107:L107"/>
    <mergeCell ref="N107:O107"/>
    <mergeCell ref="M108:O108"/>
    <mergeCell ref="B107:C107"/>
    <mergeCell ref="A108:C108"/>
    <mergeCell ref="E107:F107"/>
    <mergeCell ref="D108:F108"/>
    <mergeCell ref="H107:I107"/>
    <mergeCell ref="G108:I108"/>
    <mergeCell ref="J108:L108"/>
    <mergeCell ref="K111:L111"/>
    <mergeCell ref="N111:O111"/>
    <mergeCell ref="M112:O112"/>
    <mergeCell ref="B111:C111"/>
    <mergeCell ref="A112:C112"/>
    <mergeCell ref="E111:F111"/>
    <mergeCell ref="D112:F112"/>
    <mergeCell ref="H111:I111"/>
    <mergeCell ref="G112:I112"/>
    <mergeCell ref="J112:L112"/>
    <mergeCell ref="K115:L115"/>
    <mergeCell ref="N115:O115"/>
    <mergeCell ref="M116:O116"/>
    <mergeCell ref="B115:C115"/>
    <mergeCell ref="A116:C116"/>
    <mergeCell ref="E115:F115"/>
    <mergeCell ref="D116:F116"/>
    <mergeCell ref="H115:I115"/>
    <mergeCell ref="G116:I116"/>
    <mergeCell ref="J116:L116"/>
    <mergeCell ref="K119:L119"/>
    <mergeCell ref="N119:O119"/>
    <mergeCell ref="M120:O120"/>
    <mergeCell ref="B119:C119"/>
    <mergeCell ref="A120:C120"/>
    <mergeCell ref="E119:F119"/>
    <mergeCell ref="D120:F120"/>
    <mergeCell ref="H119:I119"/>
    <mergeCell ref="G120:I120"/>
    <mergeCell ref="J120:L120"/>
    <mergeCell ref="K123:L123"/>
    <mergeCell ref="N123:O123"/>
    <mergeCell ref="M124:O124"/>
    <mergeCell ref="B123:C123"/>
    <mergeCell ref="A124:C124"/>
    <mergeCell ref="E123:F123"/>
    <mergeCell ref="D124:F124"/>
    <mergeCell ref="H123:I123"/>
    <mergeCell ref="G124:I124"/>
    <mergeCell ref="J124:L124"/>
    <mergeCell ref="K127:L127"/>
    <mergeCell ref="N127:O127"/>
    <mergeCell ref="M128:O128"/>
    <mergeCell ref="B127:C127"/>
    <mergeCell ref="A128:C128"/>
    <mergeCell ref="E127:F127"/>
    <mergeCell ref="D128:F128"/>
    <mergeCell ref="H127:I127"/>
    <mergeCell ref="G128:I128"/>
    <mergeCell ref="J128:L128"/>
    <mergeCell ref="K131:L131"/>
    <mergeCell ref="N131:O131"/>
    <mergeCell ref="M132:O132"/>
    <mergeCell ref="B131:C131"/>
    <mergeCell ref="A132:C132"/>
    <mergeCell ref="E131:F131"/>
    <mergeCell ref="D132:F132"/>
    <mergeCell ref="H131:I131"/>
    <mergeCell ref="G132:I132"/>
    <mergeCell ref="J132:L132"/>
    <mergeCell ref="K163:L163"/>
    <mergeCell ref="N163:O163"/>
    <mergeCell ref="M164:O164"/>
    <mergeCell ref="B163:C163"/>
    <mergeCell ref="A164:C164"/>
    <mergeCell ref="E163:F163"/>
    <mergeCell ref="D164:F164"/>
    <mergeCell ref="H163:I163"/>
    <mergeCell ref="G164:I164"/>
    <mergeCell ref="J164:L164"/>
    <mergeCell ref="K15:L15"/>
    <mergeCell ref="N15:O15"/>
    <mergeCell ref="M16:O16"/>
    <mergeCell ref="B15:C15"/>
    <mergeCell ref="A16:C16"/>
    <mergeCell ref="E15:F15"/>
    <mergeCell ref="D16:F16"/>
    <mergeCell ref="H15:I15"/>
    <mergeCell ref="G16:I16"/>
    <mergeCell ref="J16:L16"/>
    <mergeCell ref="K19:L19"/>
    <mergeCell ref="N19:O19"/>
    <mergeCell ref="M20:O20"/>
    <mergeCell ref="B19:C19"/>
    <mergeCell ref="A20:C20"/>
    <mergeCell ref="E19:F19"/>
    <mergeCell ref="D20:F20"/>
    <mergeCell ref="H19:I19"/>
    <mergeCell ref="G20:I20"/>
    <mergeCell ref="J20:L20"/>
    <mergeCell ref="K23:L23"/>
    <mergeCell ref="N23:O23"/>
    <mergeCell ref="M24:O24"/>
    <mergeCell ref="B23:C23"/>
    <mergeCell ref="A24:C24"/>
    <mergeCell ref="E23:F23"/>
    <mergeCell ref="D24:F24"/>
    <mergeCell ref="H23:I23"/>
    <mergeCell ref="G24:I24"/>
    <mergeCell ref="J24:L24"/>
    <mergeCell ref="B167:C167"/>
    <mergeCell ref="A168:C168"/>
    <mergeCell ref="E167:F167"/>
    <mergeCell ref="D168:F168"/>
    <mergeCell ref="K135:L135"/>
    <mergeCell ref="N135:O135"/>
    <mergeCell ref="M136:O136"/>
    <mergeCell ref="B135:C135"/>
    <mergeCell ref="A136:C136"/>
    <mergeCell ref="E135:F135"/>
    <mergeCell ref="D136:F136"/>
    <mergeCell ref="H135:I135"/>
    <mergeCell ref="G136:I136"/>
    <mergeCell ref="J136:L136"/>
    <mergeCell ref="K139:L139"/>
    <mergeCell ref="N139:O139"/>
    <mergeCell ref="M140:O140"/>
    <mergeCell ref="B139:C139"/>
    <mergeCell ref="A140:C140"/>
    <mergeCell ref="E139:F139"/>
    <mergeCell ref="D140:F140"/>
    <mergeCell ref="H139:I139"/>
    <mergeCell ref="G140:I140"/>
    <mergeCell ref="J140:L140"/>
    <mergeCell ref="K143:L143"/>
    <mergeCell ref="N143:O143"/>
    <mergeCell ref="M144:O144"/>
    <mergeCell ref="B143:C143"/>
    <mergeCell ref="A144:C144"/>
    <mergeCell ref="E143:F143"/>
    <mergeCell ref="D144:F144"/>
    <mergeCell ref="H143:I143"/>
    <mergeCell ref="G144:I144"/>
    <mergeCell ref="J144:L144"/>
    <mergeCell ref="K147:L147"/>
    <mergeCell ref="N147:O147"/>
    <mergeCell ref="M148:O148"/>
    <mergeCell ref="B147:C147"/>
    <mergeCell ref="A148:C148"/>
    <mergeCell ref="E147:F147"/>
    <mergeCell ref="D148:F148"/>
    <mergeCell ref="H147:I147"/>
    <mergeCell ref="G148:I148"/>
    <mergeCell ref="J148:L148"/>
    <mergeCell ref="K151:L151"/>
    <mergeCell ref="N151:O151"/>
    <mergeCell ref="M152:O152"/>
    <mergeCell ref="B151:C151"/>
    <mergeCell ref="A152:C152"/>
    <mergeCell ref="E151:F151"/>
    <mergeCell ref="D152:F152"/>
    <mergeCell ref="H151:I151"/>
    <mergeCell ref="G152:I152"/>
    <mergeCell ref="J152:L152"/>
    <mergeCell ref="K155:L155"/>
    <mergeCell ref="N155:O155"/>
    <mergeCell ref="M156:O156"/>
    <mergeCell ref="B155:C155"/>
    <mergeCell ref="A156:C156"/>
    <mergeCell ref="E155:F155"/>
    <mergeCell ref="D156:F156"/>
    <mergeCell ref="H155:I155"/>
    <mergeCell ref="G156:I156"/>
    <mergeCell ref="J156:L156"/>
    <mergeCell ref="K159:L159"/>
    <mergeCell ref="N159:O159"/>
    <mergeCell ref="M160:O160"/>
    <mergeCell ref="B159:C159"/>
    <mergeCell ref="A160:C160"/>
    <mergeCell ref="E159:F159"/>
    <mergeCell ref="D160:F160"/>
    <mergeCell ref="H159:I159"/>
    <mergeCell ref="G160:I160"/>
    <mergeCell ref="J160:L160"/>
  </mergeCells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.13"/>
    <col customWidth="1" min="3" max="3" width="12.63"/>
    <col customWidth="1" min="4" max="5" width="5.13"/>
    <col customWidth="1" min="6" max="6" width="12.63"/>
    <col customWidth="1" min="7" max="8" width="5.13"/>
    <col customWidth="1" min="9" max="9" width="12.63"/>
    <col customWidth="1" min="10" max="11" width="5.13"/>
    <col customWidth="1" min="12" max="12" width="12.63"/>
    <col customWidth="1" min="13" max="14" width="5.13"/>
    <col customWidth="1" min="15" max="15" width="12.63"/>
  </cols>
  <sheetData>
    <row r="1" ht="18.75" customHeight="1">
      <c r="A1" s="16" t="s">
        <v>1590</v>
      </c>
      <c r="O1" s="17" t="b">
        <v>0</v>
      </c>
    </row>
    <row r="2" ht="18.75" customHeight="1">
      <c r="A2" s="3" t="s">
        <v>1591</v>
      </c>
    </row>
    <row r="3" ht="18.75" customHeight="1">
      <c r="A3" s="18" t="s">
        <v>736</v>
      </c>
      <c r="B3" s="19" t="s">
        <v>1363</v>
      </c>
      <c r="C3" s="20"/>
      <c r="D3" s="18" t="s">
        <v>738</v>
      </c>
      <c r="E3" s="19" t="s">
        <v>1364</v>
      </c>
      <c r="F3" s="20"/>
      <c r="G3" s="18" t="s">
        <v>739</v>
      </c>
      <c r="H3" s="19" t="s">
        <v>1592</v>
      </c>
      <c r="I3" s="20"/>
      <c r="J3" s="18" t="s">
        <v>740</v>
      </c>
      <c r="K3" s="19" t="s">
        <v>1593</v>
      </c>
      <c r="L3" s="20"/>
      <c r="M3" s="18" t="s">
        <v>742</v>
      </c>
      <c r="N3" s="19" t="s">
        <v>1594</v>
      </c>
      <c r="O3" s="20"/>
    </row>
    <row r="4" ht="180.0" customHeight="1">
      <c r="A4" s="21" t="str">
        <f>IMAGE("https://assets.tcgdex.net/de/sv/sv04/001/low.jpg", 1)</f>
        <v/>
      </c>
      <c r="B4" s="22"/>
      <c r="C4" s="20"/>
      <c r="D4" s="21" t="str">
        <f>IMAGE("https://assets.tcgdex.net/de/sv/sv04/002/low.jpg", 1)</f>
        <v/>
      </c>
      <c r="E4" s="22"/>
      <c r="F4" s="20"/>
      <c r="G4" s="21" t="str">
        <f>IMAGE("https://assets.tcgdex.net/de/sv/sv04/003/low.jpg", 1)</f>
        <v/>
      </c>
      <c r="H4" s="22"/>
      <c r="I4" s="20"/>
      <c r="J4" s="21" t="str">
        <f>IMAGE("https://assets.tcgdex.net/de/sv/sv04/004/low.jpg", 1)</f>
        <v/>
      </c>
      <c r="K4" s="22"/>
      <c r="L4" s="20"/>
      <c r="M4" s="21" t="str">
        <f>IMAGE("https://assets.tcgdex.net/de/sv/sv04/005/low.jpg", 1)</f>
        <v/>
      </c>
      <c r="N4" s="22"/>
      <c r="O4" s="20"/>
    </row>
    <row r="5" ht="22.5" customHeight="1">
      <c r="A5" s="23" t="b">
        <v>0</v>
      </c>
      <c r="B5" s="24" t="b">
        <v>0</v>
      </c>
      <c r="C5" s="25" t="str">
        <f>HYPERLINK("https://www.cardmarket.com/en/Pokemon/Products/Singles?idCategory=1&amp;idProduct=sv4-1", "CM")</f>
        <v>CM</v>
      </c>
      <c r="D5" s="23" t="b">
        <v>0</v>
      </c>
      <c r="E5" s="24" t="b">
        <v>0</v>
      </c>
      <c r="F5" s="25" t="str">
        <f>HYPERLINK("https://www.cardmarket.com/en/Pokemon/Products/Singles?idCategory=1&amp;idProduct=sv4-2", "CM")</f>
        <v>CM</v>
      </c>
      <c r="G5" s="23" t="b">
        <v>0</v>
      </c>
      <c r="H5" s="24" t="b">
        <v>0</v>
      </c>
      <c r="I5" s="25" t="str">
        <f>HYPERLINK("https://www.cardmarket.com/en/Pokemon/Products/Singles?idCategory=1&amp;idProduct=sv4-3", "CM")</f>
        <v>CM</v>
      </c>
      <c r="J5" s="23" t="b">
        <v>0</v>
      </c>
      <c r="K5" s="24" t="b">
        <v>0</v>
      </c>
      <c r="L5" s="25" t="str">
        <f>HYPERLINK("https://www.cardmarket.com/en/Pokemon/Products/Singles?idCategory=1&amp;idProduct=sv4-4", "CM")</f>
        <v>CM</v>
      </c>
      <c r="M5" s="23" t="b">
        <v>0</v>
      </c>
      <c r="N5" s="24" t="b">
        <v>0</v>
      </c>
      <c r="O5" s="25" t="str">
        <f>HYPERLINK("https://www.cardmarket.com/en/Pokemon/Products/Singles?idCategory=1&amp;idProduct=sv4-5", "CM")</f>
        <v>CM</v>
      </c>
    </row>
    <row r="6" ht="7.5" customHeight="1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</row>
    <row r="7" ht="18.75" customHeight="1">
      <c r="A7" s="18" t="s">
        <v>529</v>
      </c>
      <c r="B7" s="19" t="s">
        <v>1595</v>
      </c>
      <c r="C7" s="20"/>
      <c r="D7" s="18" t="s">
        <v>744</v>
      </c>
      <c r="E7" s="19" t="s">
        <v>1596</v>
      </c>
      <c r="F7" s="20"/>
      <c r="G7" s="18" t="s">
        <v>531</v>
      </c>
      <c r="H7" s="19" t="s">
        <v>1373</v>
      </c>
      <c r="I7" s="20"/>
      <c r="J7" s="18" t="s">
        <v>746</v>
      </c>
      <c r="K7" s="19" t="s">
        <v>1374</v>
      </c>
      <c r="L7" s="20"/>
      <c r="M7" s="18" t="s">
        <v>748</v>
      </c>
      <c r="N7" s="19" t="s">
        <v>1597</v>
      </c>
      <c r="O7" s="20"/>
    </row>
    <row r="8" ht="180.0" customHeight="1">
      <c r="A8" s="21" t="str">
        <f>IMAGE("https://assets.tcgdex.net/de/sv/sv04/006/low.jpg", 1)</f>
        <v/>
      </c>
      <c r="B8" s="22"/>
      <c r="C8" s="20"/>
      <c r="D8" s="21" t="str">
        <f>IMAGE("https://assets.tcgdex.net/de/sv/sv04/007/low.jpg", 1)</f>
        <v/>
      </c>
      <c r="E8" s="22"/>
      <c r="F8" s="20"/>
      <c r="G8" s="21" t="str">
        <f>IMAGE("https://assets.tcgdex.net/de/sv/sv04/008/low.jpg", 1)</f>
        <v/>
      </c>
      <c r="H8" s="22"/>
      <c r="I8" s="20"/>
      <c r="J8" s="21" t="str">
        <f>IMAGE("https://assets.tcgdex.net/de/sv/sv04/009/low.jpg", 1)</f>
        <v/>
      </c>
      <c r="K8" s="22"/>
      <c r="L8" s="20"/>
      <c r="M8" s="21" t="str">
        <f>IMAGE("https://assets.tcgdex.net/de/sv/sv04/010/low.jpg", 1)</f>
        <v/>
      </c>
      <c r="N8" s="22"/>
      <c r="O8" s="20"/>
    </row>
    <row r="9" ht="22.5" customHeight="1">
      <c r="A9" s="23" t="b">
        <v>0</v>
      </c>
      <c r="B9" s="24" t="b">
        <v>0</v>
      </c>
      <c r="C9" s="25" t="str">
        <f>HYPERLINK("https://www.cardmarket.com/en/Pokemon/Products/Singles?idCategory=1&amp;idProduct=sv4-6", "CM")</f>
        <v>CM</v>
      </c>
      <c r="D9" s="23" t="b">
        <v>0</v>
      </c>
      <c r="E9" s="24" t="b">
        <v>0</v>
      </c>
      <c r="F9" s="25" t="str">
        <f>HYPERLINK("https://www.cardmarket.com/en/Pokemon/Products/Singles?idCategory=1&amp;idProduct=sv4-7", "CM")</f>
        <v>CM</v>
      </c>
      <c r="G9" s="23" t="b">
        <v>0</v>
      </c>
      <c r="H9" s="24" t="b">
        <v>0</v>
      </c>
      <c r="I9" s="25" t="str">
        <f>HYPERLINK("https://www.cardmarket.com/en/Pokemon/Products/Singles?idCategory=1&amp;idProduct=sv4-8", "CM")</f>
        <v>CM</v>
      </c>
      <c r="J9" s="23" t="b">
        <v>0</v>
      </c>
      <c r="K9" s="24" t="b">
        <v>0</v>
      </c>
      <c r="L9" s="25" t="str">
        <f>HYPERLINK("https://www.cardmarket.com/en/Pokemon/Products/Singles?idCategory=1&amp;idProduct=sv4-9", "CM")</f>
        <v>CM</v>
      </c>
      <c r="M9" s="23" t="b">
        <v>0</v>
      </c>
      <c r="N9" s="24" t="b">
        <v>0</v>
      </c>
      <c r="O9" s="25" t="str">
        <f>HYPERLINK("https://www.cardmarket.com/en/Pokemon/Products/Singles?idCategory=1&amp;idProduct=sv4-10", "CM")</f>
        <v>CM</v>
      </c>
    </row>
    <row r="10" ht="7.5" customHeight="1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</row>
    <row r="11" ht="18.75" customHeight="1">
      <c r="A11" s="18" t="s">
        <v>750</v>
      </c>
      <c r="B11" s="19" t="s">
        <v>1598</v>
      </c>
      <c r="C11" s="20"/>
      <c r="D11" s="18" t="s">
        <v>752</v>
      </c>
      <c r="E11" s="19" t="s">
        <v>1599</v>
      </c>
      <c r="F11" s="20"/>
      <c r="G11" s="18" t="s">
        <v>754</v>
      </c>
      <c r="H11" s="19" t="s">
        <v>1600</v>
      </c>
      <c r="I11" s="20"/>
      <c r="J11" s="18" t="s">
        <v>755</v>
      </c>
      <c r="K11" s="19" t="s">
        <v>1600</v>
      </c>
      <c r="L11" s="20"/>
      <c r="M11" s="18" t="s">
        <v>533</v>
      </c>
      <c r="N11" s="19" t="s">
        <v>1252</v>
      </c>
      <c r="O11" s="20"/>
    </row>
    <row r="12" ht="180.0" customHeight="1">
      <c r="A12" s="21" t="str">
        <f>IMAGE("https://assets.tcgdex.net/de/sv/sv04/011/low.jpg", 1)</f>
        <v/>
      </c>
      <c r="B12" s="22"/>
      <c r="C12" s="20"/>
      <c r="D12" s="21" t="str">
        <f>IMAGE("https://assets.tcgdex.net/de/sv/sv04/012/low.jpg", 1)</f>
        <v/>
      </c>
      <c r="E12" s="22"/>
      <c r="F12" s="20"/>
      <c r="G12" s="21" t="str">
        <f>IMAGE("https://assets.tcgdex.net/de/sv/sv04/013/low.jpg", 1)</f>
        <v/>
      </c>
      <c r="H12" s="22"/>
      <c r="I12" s="20"/>
      <c r="J12" s="21" t="str">
        <f>IMAGE("https://assets.tcgdex.net/de/sv/sv04/014/low.jpg", 1)</f>
        <v/>
      </c>
      <c r="K12" s="22"/>
      <c r="L12" s="20"/>
      <c r="M12" s="21" t="str">
        <f>IMAGE("https://assets.tcgdex.net/de/sv/sv04/015/low.jpg", 1)</f>
        <v/>
      </c>
      <c r="N12" s="22"/>
      <c r="O12" s="20"/>
    </row>
    <row r="13" ht="22.5" customHeight="1">
      <c r="A13" s="23" t="b">
        <v>0</v>
      </c>
      <c r="B13" s="24" t="b">
        <v>0</v>
      </c>
      <c r="C13" s="25" t="str">
        <f>HYPERLINK("https://www.cardmarket.com/en/Pokemon/Products/Singles?idCategory=1&amp;idProduct=sv4-11", "CM")</f>
        <v>CM</v>
      </c>
      <c r="D13" s="23" t="b">
        <v>0</v>
      </c>
      <c r="E13" s="24" t="b">
        <v>0</v>
      </c>
      <c r="F13" s="25" t="str">
        <f>HYPERLINK("https://www.cardmarket.com/en/Pokemon/Products/Singles?idCategory=1&amp;idProduct=sv4-12", "CM")</f>
        <v>CM</v>
      </c>
      <c r="G13" s="23" t="b">
        <v>0</v>
      </c>
      <c r="H13" s="24" t="b">
        <v>0</v>
      </c>
      <c r="I13" s="25" t="str">
        <f>HYPERLINK("https://www.cardmarket.com/en/Pokemon/Products/Singles?idCategory=1&amp;idProduct=sv4-13", "CM")</f>
        <v>CM</v>
      </c>
      <c r="J13" s="23" t="b">
        <v>0</v>
      </c>
      <c r="K13" s="24" t="b">
        <v>0</v>
      </c>
      <c r="L13" s="25" t="str">
        <f>HYPERLINK("https://www.cardmarket.com/en/Pokemon/Products/Singles?idCategory=1&amp;idProduct=sv4-14", "CM")</f>
        <v>CM</v>
      </c>
      <c r="M13" s="23" t="b">
        <v>0</v>
      </c>
      <c r="N13" s="24" t="b">
        <v>0</v>
      </c>
      <c r="O13" s="25" t="str">
        <f>HYPERLINK("https://www.cardmarket.com/en/Pokemon/Products/Singles?idCategory=1&amp;idProduct=sv4-15", "CM")</f>
        <v>CM</v>
      </c>
    </row>
    <row r="14" ht="7.5" customHeight="1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</row>
    <row r="15" ht="18.75" customHeight="1">
      <c r="A15" s="18" t="s">
        <v>535</v>
      </c>
      <c r="B15" s="19" t="s">
        <v>1252</v>
      </c>
      <c r="C15" s="20"/>
      <c r="D15" s="18" t="s">
        <v>537</v>
      </c>
      <c r="E15" s="19" t="s">
        <v>1210</v>
      </c>
      <c r="F15" s="20"/>
      <c r="G15" s="18" t="s">
        <v>756</v>
      </c>
      <c r="H15" s="19" t="s">
        <v>1601</v>
      </c>
      <c r="I15" s="20"/>
      <c r="J15" s="18" t="s">
        <v>539</v>
      </c>
      <c r="K15" s="19" t="s">
        <v>1602</v>
      </c>
      <c r="L15" s="20"/>
      <c r="M15" s="18" t="s">
        <v>541</v>
      </c>
      <c r="N15" s="19" t="s">
        <v>1603</v>
      </c>
      <c r="O15" s="20"/>
    </row>
    <row r="16" ht="180.0" customHeight="1">
      <c r="A16" s="21" t="str">
        <f>IMAGE("https://assets.tcgdex.net/de/sv/sv04/016/low.jpg", 1)</f>
        <v/>
      </c>
      <c r="B16" s="22"/>
      <c r="C16" s="20"/>
      <c r="D16" s="21" t="str">
        <f>IMAGE("https://assets.tcgdex.net/de/sv/sv04/017/low.jpg", 1)</f>
        <v/>
      </c>
      <c r="E16" s="22"/>
      <c r="F16" s="20"/>
      <c r="G16" s="21" t="str">
        <f>IMAGE("https://assets.tcgdex.net/de/sv/sv04/018/low.jpg", 1)</f>
        <v/>
      </c>
      <c r="H16" s="22"/>
      <c r="I16" s="20"/>
      <c r="J16" s="21" t="str">
        <f>IMAGE("https://assets.tcgdex.net/de/sv/sv04/019/low.jpg", 1)</f>
        <v/>
      </c>
      <c r="K16" s="22"/>
      <c r="L16" s="20"/>
      <c r="M16" s="21" t="str">
        <f>IMAGE("https://assets.tcgdex.net/de/sv/sv04/020/low.jpg", 1)</f>
        <v/>
      </c>
      <c r="N16" s="22"/>
      <c r="O16" s="20"/>
    </row>
    <row r="17" ht="22.5" customHeight="1">
      <c r="A17" s="23" t="b">
        <v>0</v>
      </c>
      <c r="B17" s="24" t="b">
        <v>0</v>
      </c>
      <c r="C17" s="25" t="str">
        <f>HYPERLINK("https://www.cardmarket.com/en/Pokemon/Products/Singles?idCategory=1&amp;idProduct=sv4-16", "CM")</f>
        <v>CM</v>
      </c>
      <c r="D17" s="23" t="b">
        <v>0</v>
      </c>
      <c r="E17" s="24" t="b">
        <v>0</v>
      </c>
      <c r="F17" s="25" t="str">
        <f>HYPERLINK("https://www.cardmarket.com/en/Pokemon/Products/Singles?idCategory=1&amp;idProduct=sv4-17", "CM")</f>
        <v>CM</v>
      </c>
      <c r="G17" s="23" t="b">
        <v>0</v>
      </c>
      <c r="H17" s="24" t="b">
        <v>0</v>
      </c>
      <c r="I17" s="25" t="str">
        <f>HYPERLINK("https://www.cardmarket.com/en/Pokemon/Products/Singles?idCategory=1&amp;idProduct=sv4-18", "CM")</f>
        <v>CM</v>
      </c>
      <c r="J17" s="23" t="b">
        <v>0</v>
      </c>
      <c r="K17" s="24" t="b">
        <v>0</v>
      </c>
      <c r="L17" s="25" t="str">
        <f>HYPERLINK("https://www.cardmarket.com/en/Pokemon/Products/Singles?idCategory=1&amp;idProduct=sv4-19", "CM")</f>
        <v>CM</v>
      </c>
      <c r="M17" s="23" t="b">
        <v>0</v>
      </c>
      <c r="N17" s="24" t="b">
        <v>0</v>
      </c>
      <c r="O17" s="25" t="str">
        <f>HYPERLINK("https://www.cardmarket.com/en/Pokemon/Products/Singles?idCategory=1&amp;idProduct=sv4-20", "CM")</f>
        <v>CM</v>
      </c>
    </row>
    <row r="18" ht="7.5" customHeight="1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</row>
    <row r="19" ht="18.75" customHeight="1">
      <c r="A19" s="18" t="s">
        <v>543</v>
      </c>
      <c r="B19" s="19" t="s">
        <v>1604</v>
      </c>
      <c r="C19" s="20"/>
      <c r="D19" s="18" t="s">
        <v>545</v>
      </c>
      <c r="E19" s="19" t="s">
        <v>915</v>
      </c>
      <c r="F19" s="20"/>
      <c r="G19" s="18" t="s">
        <v>547</v>
      </c>
      <c r="H19" s="19" t="s">
        <v>600</v>
      </c>
      <c r="I19" s="20"/>
      <c r="J19" s="18" t="s">
        <v>549</v>
      </c>
      <c r="K19" s="19" t="s">
        <v>602</v>
      </c>
      <c r="L19" s="20"/>
      <c r="M19" s="18" t="s">
        <v>758</v>
      </c>
      <c r="N19" s="19" t="s">
        <v>1213</v>
      </c>
      <c r="O19" s="20"/>
    </row>
    <row r="20" ht="180.0" customHeight="1">
      <c r="A20" s="21" t="str">
        <f>IMAGE("https://assets.tcgdex.net/de/sv/sv04/021/low.jpg", 1)</f>
        <v/>
      </c>
      <c r="B20" s="22"/>
      <c r="C20" s="20"/>
      <c r="D20" s="21" t="str">
        <f>IMAGE("https://assets.tcgdex.net/de/sv/sv04/022/low.jpg", 1)</f>
        <v/>
      </c>
      <c r="E20" s="22"/>
      <c r="F20" s="20"/>
      <c r="G20" s="21" t="str">
        <f>IMAGE("https://assets.tcgdex.net/de/sv/sv04/023/low.jpg", 1)</f>
        <v/>
      </c>
      <c r="H20" s="22"/>
      <c r="I20" s="20"/>
      <c r="J20" s="21" t="str">
        <f>IMAGE("https://assets.tcgdex.net/de/sv/sv04/024/low.jpg", 1)</f>
        <v/>
      </c>
      <c r="K20" s="22"/>
      <c r="L20" s="20"/>
      <c r="M20" s="21" t="str">
        <f>IMAGE("https://assets.tcgdex.net/de/sv/sv04/025/low.jpg", 1)</f>
        <v/>
      </c>
      <c r="N20" s="22"/>
      <c r="O20" s="20"/>
    </row>
    <row r="21" ht="22.5" customHeight="1">
      <c r="A21" s="23" t="b">
        <v>0</v>
      </c>
      <c r="B21" s="24" t="b">
        <v>0</v>
      </c>
      <c r="C21" s="25" t="str">
        <f>HYPERLINK("https://www.cardmarket.com/en/Pokemon/Products/Singles?idCategory=1&amp;idProduct=sv4-21", "CM")</f>
        <v>CM</v>
      </c>
      <c r="D21" s="23" t="b">
        <v>0</v>
      </c>
      <c r="E21" s="24" t="b">
        <v>0</v>
      </c>
      <c r="F21" s="25" t="str">
        <f>HYPERLINK("https://www.cardmarket.com/en/Pokemon/Products/Singles?idCategory=1&amp;idProduct=sv4-22", "CM")</f>
        <v>CM</v>
      </c>
      <c r="G21" s="23" t="b">
        <v>0</v>
      </c>
      <c r="H21" s="24" t="b">
        <v>0</v>
      </c>
      <c r="I21" s="25" t="str">
        <f>HYPERLINK("https://www.cardmarket.com/en/Pokemon/Products/Singles?idCategory=1&amp;idProduct=sv4-23", "CM")</f>
        <v>CM</v>
      </c>
      <c r="J21" s="23" t="b">
        <v>0</v>
      </c>
      <c r="K21" s="24" t="b">
        <v>0</v>
      </c>
      <c r="L21" s="25" t="str">
        <f>HYPERLINK("https://www.cardmarket.com/en/Pokemon/Products/Singles?idCategory=1&amp;idProduct=sv4-24", "CM")</f>
        <v>CM</v>
      </c>
      <c r="M21" s="23" t="b">
        <v>0</v>
      </c>
      <c r="N21" s="24" t="b">
        <v>0</v>
      </c>
      <c r="O21" s="25" t="str">
        <f>HYPERLINK("https://www.cardmarket.com/en/Pokemon/Products/Singles?idCategory=1&amp;idProduct=sv4-25", "CM")</f>
        <v>CM</v>
      </c>
    </row>
    <row r="22" ht="7.5" customHeight="1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</row>
    <row r="23" ht="18.75" customHeight="1">
      <c r="A23" s="18" t="s">
        <v>760</v>
      </c>
      <c r="B23" s="19" t="s">
        <v>1213</v>
      </c>
      <c r="C23" s="20"/>
      <c r="D23" s="18" t="s">
        <v>762</v>
      </c>
      <c r="E23" s="19" t="s">
        <v>637</v>
      </c>
      <c r="F23" s="20"/>
      <c r="G23" s="18" t="s">
        <v>551</v>
      </c>
      <c r="H23" s="19" t="s">
        <v>1605</v>
      </c>
      <c r="I23" s="20"/>
      <c r="J23" s="18" t="s">
        <v>553</v>
      </c>
      <c r="K23" s="19" t="s">
        <v>588</v>
      </c>
      <c r="L23" s="20"/>
      <c r="M23" s="18" t="s">
        <v>555</v>
      </c>
      <c r="N23" s="19" t="s">
        <v>671</v>
      </c>
      <c r="O23" s="20"/>
    </row>
    <row r="24" ht="180.0" customHeight="1">
      <c r="A24" s="21" t="str">
        <f>IMAGE("https://assets.tcgdex.net/de/sv/sv04/026/low.jpg", 1)</f>
        <v/>
      </c>
      <c r="B24" s="22"/>
      <c r="C24" s="20"/>
      <c r="D24" s="21" t="str">
        <f>IMAGE("https://assets.tcgdex.net/de/sv/sv04/027/low.jpg", 1)</f>
        <v/>
      </c>
      <c r="E24" s="22"/>
      <c r="F24" s="20"/>
      <c r="G24" s="21" t="str">
        <f>IMAGE("https://assets.tcgdex.net/de/sv/sv04/028/low.jpg", 1)</f>
        <v/>
      </c>
      <c r="H24" s="22"/>
      <c r="I24" s="20"/>
      <c r="J24" s="21" t="str">
        <f>IMAGE("https://assets.tcgdex.net/de/sv/sv04/029/low.jpg", 1)</f>
        <v/>
      </c>
      <c r="K24" s="22"/>
      <c r="L24" s="20"/>
      <c r="M24" s="21" t="str">
        <f>IMAGE("https://assets.tcgdex.net/de/sv/sv04/030/low.jpg", 1)</f>
        <v/>
      </c>
      <c r="N24" s="22"/>
      <c r="O24" s="20"/>
    </row>
    <row r="25" ht="22.5" customHeight="1">
      <c r="A25" s="23" t="b">
        <v>0</v>
      </c>
      <c r="B25" s="24" t="b">
        <v>0</v>
      </c>
      <c r="C25" s="25" t="str">
        <f>HYPERLINK("https://www.cardmarket.com/en/Pokemon/Products/Singles?idCategory=1&amp;idProduct=sv4-26", "CM")</f>
        <v>CM</v>
      </c>
      <c r="D25" s="23" t="b">
        <v>0</v>
      </c>
      <c r="E25" s="24" t="b">
        <v>0</v>
      </c>
      <c r="F25" s="25" t="str">
        <f>HYPERLINK("https://www.cardmarket.com/en/Pokemon/Products/Singles?idCategory=1&amp;idProduct=sv4-27", "CM")</f>
        <v>CM</v>
      </c>
      <c r="G25" s="23" t="b">
        <v>0</v>
      </c>
      <c r="H25" s="24" t="b">
        <v>0</v>
      </c>
      <c r="I25" s="25" t="str">
        <f>HYPERLINK("https://www.cardmarket.com/en/Pokemon/Products/Singles?idCategory=1&amp;idProduct=sv4-28", "CM")</f>
        <v>CM</v>
      </c>
      <c r="J25" s="23" t="b">
        <v>0</v>
      </c>
      <c r="K25" s="24" t="b">
        <v>0</v>
      </c>
      <c r="L25" s="25" t="str">
        <f>HYPERLINK("https://www.cardmarket.com/en/Pokemon/Products/Singles?idCategory=1&amp;idProduct=sv4-29", "CM")</f>
        <v>CM</v>
      </c>
      <c r="M25" s="23" t="b">
        <v>0</v>
      </c>
      <c r="N25" s="24" t="b">
        <v>0</v>
      </c>
      <c r="O25" s="25" t="str">
        <f>HYPERLINK("https://www.cardmarket.com/en/Pokemon/Products/Singles?idCategory=1&amp;idProduct=sv4-30", "CM")</f>
        <v>CM</v>
      </c>
    </row>
    <row r="26" ht="7.5" customHeight="1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</row>
    <row r="27" ht="18.75" customHeight="1">
      <c r="A27" s="18" t="s">
        <v>557</v>
      </c>
      <c r="B27" s="19" t="s">
        <v>1555</v>
      </c>
      <c r="C27" s="20"/>
      <c r="D27" s="18" t="s">
        <v>559</v>
      </c>
      <c r="E27" s="19" t="s">
        <v>1606</v>
      </c>
      <c r="F27" s="20"/>
      <c r="G27" s="18" t="s">
        <v>561</v>
      </c>
      <c r="H27" s="19" t="s">
        <v>1607</v>
      </c>
      <c r="I27" s="20"/>
      <c r="J27" s="18" t="s">
        <v>563</v>
      </c>
      <c r="K27" s="19" t="s">
        <v>1608</v>
      </c>
      <c r="L27" s="20"/>
      <c r="M27" s="18" t="s">
        <v>565</v>
      </c>
      <c r="N27" s="19" t="s">
        <v>1609</v>
      </c>
      <c r="O27" s="20"/>
    </row>
    <row r="28" ht="180.0" customHeight="1">
      <c r="A28" s="21" t="str">
        <f>IMAGE("https://assets.tcgdex.net/de/sv/sv04/031/low.jpg", 1)</f>
        <v/>
      </c>
      <c r="B28" s="22"/>
      <c r="C28" s="20"/>
      <c r="D28" s="21" t="str">
        <f>IMAGE("https://assets.tcgdex.net/de/sv/sv04/032/low.jpg", 1)</f>
        <v/>
      </c>
      <c r="E28" s="22"/>
      <c r="F28" s="20"/>
      <c r="G28" s="21" t="str">
        <f>IMAGE("https://assets.tcgdex.net/de/sv/sv04/033/low.jpg", 1)</f>
        <v/>
      </c>
      <c r="H28" s="22"/>
      <c r="I28" s="20"/>
      <c r="J28" s="21" t="str">
        <f>IMAGE("https://assets.tcgdex.net/de/sv/sv04/034/low.jpg", 1)</f>
        <v/>
      </c>
      <c r="K28" s="22"/>
      <c r="L28" s="20"/>
      <c r="M28" s="21" t="str">
        <f>IMAGE("https://assets.tcgdex.net/de/sv/sv04/035/low.jpg", 1)</f>
        <v/>
      </c>
      <c r="N28" s="22"/>
      <c r="O28" s="20"/>
    </row>
    <row r="29" ht="22.5" customHeight="1">
      <c r="A29" s="23" t="b">
        <v>0</v>
      </c>
      <c r="B29" s="24" t="b">
        <v>0</v>
      </c>
      <c r="C29" s="25" t="str">
        <f>HYPERLINK("https://www.cardmarket.com/en/Pokemon/Products/Singles?idCategory=1&amp;idProduct=sv4-31", "CM")</f>
        <v>CM</v>
      </c>
      <c r="D29" s="23" t="b">
        <v>0</v>
      </c>
      <c r="E29" s="24" t="b">
        <v>0</v>
      </c>
      <c r="F29" s="25" t="str">
        <f>HYPERLINK("https://www.cardmarket.com/en/Pokemon/Products/Singles?idCategory=1&amp;idProduct=sv4-32", "CM")</f>
        <v>CM</v>
      </c>
      <c r="G29" s="23" t="b">
        <v>0</v>
      </c>
      <c r="H29" s="24" t="b">
        <v>0</v>
      </c>
      <c r="I29" s="25" t="str">
        <f>HYPERLINK("https://www.cardmarket.com/en/Pokemon/Products/Singles?idCategory=1&amp;idProduct=sv4-33", "CM")</f>
        <v>CM</v>
      </c>
      <c r="J29" s="23" t="b">
        <v>0</v>
      </c>
      <c r="K29" s="24" t="b">
        <v>0</v>
      </c>
      <c r="L29" s="25" t="str">
        <f>HYPERLINK("https://www.cardmarket.com/en/Pokemon/Products/Singles?idCategory=1&amp;idProduct=sv4-34", "CM")</f>
        <v>CM</v>
      </c>
      <c r="M29" s="23" t="b">
        <v>0</v>
      </c>
      <c r="N29" s="24" t="b">
        <v>0</v>
      </c>
      <c r="O29" s="25" t="str">
        <f>HYPERLINK("https://www.cardmarket.com/en/Pokemon/Products/Singles?idCategory=1&amp;idProduct=sv4-35", "CM")</f>
        <v>CM</v>
      </c>
    </row>
    <row r="30" ht="7.5" customHeight="1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</row>
    <row r="31" ht="18.75" customHeight="1">
      <c r="A31" s="18" t="s">
        <v>567</v>
      </c>
      <c r="B31" s="19" t="s">
        <v>1610</v>
      </c>
      <c r="C31" s="20"/>
      <c r="D31" s="18" t="s">
        <v>569</v>
      </c>
      <c r="E31" s="19" t="s">
        <v>977</v>
      </c>
      <c r="F31" s="20"/>
      <c r="G31" s="18" t="s">
        <v>571</v>
      </c>
      <c r="H31" s="19" t="s">
        <v>1611</v>
      </c>
      <c r="I31" s="20"/>
      <c r="J31" s="18" t="s">
        <v>573</v>
      </c>
      <c r="K31" s="19" t="s">
        <v>1612</v>
      </c>
      <c r="L31" s="20"/>
      <c r="M31" s="18" t="s">
        <v>575</v>
      </c>
      <c r="N31" s="19" t="s">
        <v>1613</v>
      </c>
      <c r="O31" s="20"/>
    </row>
    <row r="32" ht="180.0" customHeight="1">
      <c r="A32" s="21" t="str">
        <f>IMAGE("https://assets.tcgdex.net/de/sv/sv04/036/low.jpg", 1)</f>
        <v/>
      </c>
      <c r="B32" s="22"/>
      <c r="C32" s="20"/>
      <c r="D32" s="21" t="str">
        <f>IMAGE("https://assets.tcgdex.net/de/sv/sv04/037/low.jpg", 1)</f>
        <v/>
      </c>
      <c r="E32" s="22"/>
      <c r="F32" s="20"/>
      <c r="G32" s="21" t="str">
        <f>IMAGE("https://assets.tcgdex.net/de/sv/sv04/038/low.jpg", 1)</f>
        <v/>
      </c>
      <c r="H32" s="22"/>
      <c r="I32" s="20"/>
      <c r="J32" s="21" t="str">
        <f>IMAGE("https://assets.tcgdex.net/de/sv/sv04/039/low.jpg", 1)</f>
        <v/>
      </c>
      <c r="K32" s="22"/>
      <c r="L32" s="20"/>
      <c r="M32" s="21" t="str">
        <f>IMAGE("https://assets.tcgdex.net/de/sv/sv04/040/low.jpg", 1)</f>
        <v/>
      </c>
      <c r="N32" s="22"/>
      <c r="O32" s="20"/>
    </row>
    <row r="33" ht="22.5" customHeight="1">
      <c r="A33" s="23" t="b">
        <v>0</v>
      </c>
      <c r="B33" s="24" t="b">
        <v>0</v>
      </c>
      <c r="C33" s="25" t="str">
        <f>HYPERLINK("https://www.cardmarket.com/en/Pokemon/Products/Singles?idCategory=1&amp;idProduct=sv4-36", "CM")</f>
        <v>CM</v>
      </c>
      <c r="D33" s="23" t="b">
        <v>0</v>
      </c>
      <c r="E33" s="24" t="b">
        <v>0</v>
      </c>
      <c r="F33" s="25" t="str">
        <f>HYPERLINK("https://www.cardmarket.com/en/Pokemon/Products/Singles?idCategory=1&amp;idProduct=sv4-37", "CM")</f>
        <v>CM</v>
      </c>
      <c r="G33" s="23" t="b">
        <v>0</v>
      </c>
      <c r="H33" s="24" t="b">
        <v>0</v>
      </c>
      <c r="I33" s="25" t="str">
        <f>HYPERLINK("https://www.cardmarket.com/en/Pokemon/Products/Singles?idCategory=1&amp;idProduct=sv4-38", "CM")</f>
        <v>CM</v>
      </c>
      <c r="J33" s="23" t="b">
        <v>0</v>
      </c>
      <c r="K33" s="24" t="b">
        <v>0</v>
      </c>
      <c r="L33" s="25" t="str">
        <f>HYPERLINK("https://www.cardmarket.com/en/Pokemon/Products/Singles?idCategory=1&amp;idProduct=sv4-39", "CM")</f>
        <v>CM</v>
      </c>
      <c r="M33" s="23" t="b">
        <v>0</v>
      </c>
      <c r="N33" s="24" t="b">
        <v>0</v>
      </c>
      <c r="O33" s="25" t="str">
        <f>HYPERLINK("https://www.cardmarket.com/en/Pokemon/Products/Singles?idCategory=1&amp;idProduct=sv4-40", "CM")</f>
        <v>CM</v>
      </c>
    </row>
    <row r="34" ht="7.5" customHeight="1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</row>
    <row r="35" ht="18.75" customHeight="1">
      <c r="A35" s="18" t="s">
        <v>577</v>
      </c>
      <c r="B35" s="19" t="s">
        <v>1614</v>
      </c>
      <c r="C35" s="20"/>
      <c r="D35" s="18" t="s">
        <v>579</v>
      </c>
      <c r="E35" s="19" t="s">
        <v>1615</v>
      </c>
      <c r="F35" s="20"/>
      <c r="G35" s="18" t="s">
        <v>763</v>
      </c>
      <c r="H35" s="19" t="s">
        <v>1616</v>
      </c>
      <c r="I35" s="20"/>
      <c r="J35" s="18" t="s">
        <v>765</v>
      </c>
      <c r="K35" s="19" t="s">
        <v>1617</v>
      </c>
      <c r="L35" s="20"/>
      <c r="M35" s="18" t="s">
        <v>581</v>
      </c>
      <c r="N35" s="19" t="s">
        <v>1618</v>
      </c>
      <c r="O35" s="20"/>
    </row>
    <row r="36" ht="180.0" customHeight="1">
      <c r="A36" s="21" t="str">
        <f>IMAGE("https://assets.tcgdex.net/de/sv/sv04/041/low.jpg", 1)</f>
        <v/>
      </c>
      <c r="B36" s="22"/>
      <c r="C36" s="20"/>
      <c r="D36" s="21" t="str">
        <f>IMAGE("https://assets.tcgdex.net/de/sv/sv04/042/low.jpg", 1)</f>
        <v/>
      </c>
      <c r="E36" s="22"/>
      <c r="F36" s="20"/>
      <c r="G36" s="21" t="str">
        <f>IMAGE("https://assets.tcgdex.net/de/sv/sv04/043/low.jpg", 1)</f>
        <v/>
      </c>
      <c r="H36" s="22"/>
      <c r="I36" s="20"/>
      <c r="J36" s="21" t="str">
        <f>IMAGE("https://assets.tcgdex.net/de/sv/sv04/044/low.jpg", 1)</f>
        <v/>
      </c>
      <c r="K36" s="22"/>
      <c r="L36" s="20"/>
      <c r="M36" s="21" t="str">
        <f>IMAGE("https://assets.tcgdex.net/de/sv/sv04/045/low.jpg", 1)</f>
        <v/>
      </c>
      <c r="N36" s="22"/>
      <c r="O36" s="20"/>
    </row>
    <row r="37" ht="22.5" customHeight="1">
      <c r="A37" s="23" t="b">
        <v>0</v>
      </c>
      <c r="B37" s="24" t="b">
        <v>0</v>
      </c>
      <c r="C37" s="25" t="str">
        <f>HYPERLINK("https://www.cardmarket.com/en/Pokemon/Products/Singles?idCategory=1&amp;idProduct=sv4-41", "CM")</f>
        <v>CM</v>
      </c>
      <c r="D37" s="23" t="b">
        <v>0</v>
      </c>
      <c r="E37" s="24" t="b">
        <v>0</v>
      </c>
      <c r="F37" s="25" t="str">
        <f>HYPERLINK("https://www.cardmarket.com/en/Pokemon/Products/Singles?idCategory=1&amp;idProduct=sv4-42", "CM")</f>
        <v>CM</v>
      </c>
      <c r="G37" s="23" t="b">
        <v>0</v>
      </c>
      <c r="H37" s="24" t="b">
        <v>0</v>
      </c>
      <c r="I37" s="25" t="str">
        <f>HYPERLINK("https://www.cardmarket.com/en/Pokemon/Products/Singles?idCategory=1&amp;idProduct=sv4-43", "CM")</f>
        <v>CM</v>
      </c>
      <c r="J37" s="23" t="b">
        <v>0</v>
      </c>
      <c r="K37" s="24" t="b">
        <v>0</v>
      </c>
      <c r="L37" s="25" t="str">
        <f>HYPERLINK("https://www.cardmarket.com/en/Pokemon/Products/Singles?idCategory=1&amp;idProduct=sv4-44", "CM")</f>
        <v>CM</v>
      </c>
      <c r="M37" s="23" t="b">
        <v>0</v>
      </c>
      <c r="N37" s="24" t="b">
        <v>0</v>
      </c>
      <c r="O37" s="25" t="str">
        <f>HYPERLINK("https://www.cardmarket.com/en/Pokemon/Products/Singles?idCategory=1&amp;idProduct=sv4-45", "CM")</f>
        <v>CM</v>
      </c>
    </row>
    <row r="38" ht="7.5" customHeight="1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</row>
    <row r="39" ht="18.75" customHeight="1">
      <c r="A39" s="18" t="s">
        <v>767</v>
      </c>
      <c r="B39" s="19" t="s">
        <v>1619</v>
      </c>
      <c r="C39" s="20"/>
      <c r="D39" s="18" t="s">
        <v>769</v>
      </c>
      <c r="E39" s="19" t="s">
        <v>1620</v>
      </c>
      <c r="F39" s="20"/>
      <c r="G39" s="18" t="s">
        <v>770</v>
      </c>
      <c r="H39" s="19" t="s">
        <v>1620</v>
      </c>
      <c r="I39" s="20"/>
      <c r="J39" s="18" t="s">
        <v>772</v>
      </c>
      <c r="K39" s="19" t="s">
        <v>1621</v>
      </c>
      <c r="L39" s="20"/>
      <c r="M39" s="18" t="s">
        <v>774</v>
      </c>
      <c r="N39" s="19" t="s">
        <v>1622</v>
      </c>
      <c r="O39" s="20"/>
    </row>
    <row r="40" ht="180.0" customHeight="1">
      <c r="A40" s="21" t="str">
        <f>IMAGE("https://assets.tcgdex.net/de/sv/sv04/046/low.jpg", 1)</f>
        <v/>
      </c>
      <c r="B40" s="22"/>
      <c r="C40" s="20"/>
      <c r="D40" s="21" t="str">
        <f>IMAGE("https://assets.tcgdex.net/de/sv/sv04/047/low.jpg", 1)</f>
        <v/>
      </c>
      <c r="E40" s="22"/>
      <c r="F40" s="20"/>
      <c r="G40" s="21" t="str">
        <f>IMAGE("https://assets.tcgdex.net/de/sv/sv04/048/low.jpg", 1)</f>
        <v/>
      </c>
      <c r="H40" s="22"/>
      <c r="I40" s="20"/>
      <c r="J40" s="21" t="str">
        <f>IMAGE("https://assets.tcgdex.net/de/sv/sv04/049/low.jpg", 1)</f>
        <v/>
      </c>
      <c r="K40" s="22"/>
      <c r="L40" s="20"/>
      <c r="M40" s="21" t="str">
        <f>IMAGE("https://assets.tcgdex.net/de/sv/sv04/050/low.jpg", 1)</f>
        <v/>
      </c>
      <c r="N40" s="22"/>
      <c r="O40" s="20"/>
    </row>
    <row r="41" ht="22.5" customHeight="1">
      <c r="A41" s="23" t="b">
        <v>0</v>
      </c>
      <c r="B41" s="24" t="b">
        <v>0</v>
      </c>
      <c r="C41" s="25" t="str">
        <f>HYPERLINK("https://www.cardmarket.com/en/Pokemon/Products/Singles?idCategory=1&amp;idProduct=sv4-46", "CM")</f>
        <v>CM</v>
      </c>
      <c r="D41" s="23" t="b">
        <v>0</v>
      </c>
      <c r="E41" s="24" t="b">
        <v>0</v>
      </c>
      <c r="F41" s="25" t="str">
        <f>HYPERLINK("https://www.cardmarket.com/en/Pokemon/Products/Singles?idCategory=1&amp;idProduct=sv4-47", "CM")</f>
        <v>CM</v>
      </c>
      <c r="G41" s="23" t="b">
        <v>0</v>
      </c>
      <c r="H41" s="24" t="b">
        <v>0</v>
      </c>
      <c r="I41" s="25" t="str">
        <f>HYPERLINK("https://www.cardmarket.com/en/Pokemon/Products/Singles?idCategory=1&amp;idProduct=sv4-48", "CM")</f>
        <v>CM</v>
      </c>
      <c r="J41" s="23" t="b">
        <v>0</v>
      </c>
      <c r="K41" s="24" t="b">
        <v>0</v>
      </c>
      <c r="L41" s="25" t="str">
        <f>HYPERLINK("https://www.cardmarket.com/en/Pokemon/Products/Singles?idCategory=1&amp;idProduct=sv4-49", "CM")</f>
        <v>CM</v>
      </c>
      <c r="M41" s="23" t="b">
        <v>0</v>
      </c>
      <c r="N41" s="24" t="b">
        <v>0</v>
      </c>
      <c r="O41" s="25" t="str">
        <f>HYPERLINK("https://www.cardmarket.com/en/Pokemon/Products/Singles?idCategory=1&amp;idProduct=sv4-50", "CM")</f>
        <v>CM</v>
      </c>
    </row>
    <row r="42" ht="7.5" customHeight="1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</row>
    <row r="43" ht="18.75" customHeight="1">
      <c r="A43" s="18" t="s">
        <v>776</v>
      </c>
      <c r="B43" s="19" t="s">
        <v>1182</v>
      </c>
      <c r="C43" s="20"/>
      <c r="D43" s="18" t="s">
        <v>778</v>
      </c>
      <c r="E43" s="19" t="s">
        <v>1182</v>
      </c>
      <c r="F43" s="20"/>
      <c r="G43" s="18" t="s">
        <v>780</v>
      </c>
      <c r="H43" s="19" t="s">
        <v>1266</v>
      </c>
      <c r="I43" s="20"/>
      <c r="J43" s="18" t="s">
        <v>583</v>
      </c>
      <c r="K43" s="19" t="s">
        <v>1623</v>
      </c>
      <c r="L43" s="20"/>
      <c r="M43" s="18" t="s">
        <v>585</v>
      </c>
      <c r="N43" s="19" t="s">
        <v>753</v>
      </c>
      <c r="O43" s="20"/>
    </row>
    <row r="44" ht="180.0" customHeight="1">
      <c r="A44" s="21" t="str">
        <f>IMAGE("https://assets.tcgdex.net/de/sv/sv04/051/low.jpg", 1)</f>
        <v/>
      </c>
      <c r="B44" s="22"/>
      <c r="C44" s="20"/>
      <c r="D44" s="21" t="str">
        <f>IMAGE("https://assets.tcgdex.net/de/sv/sv04/052/low.jpg", 1)</f>
        <v/>
      </c>
      <c r="E44" s="22"/>
      <c r="F44" s="20"/>
      <c r="G44" s="21" t="str">
        <f>IMAGE("https://assets.tcgdex.net/de/sv/sv04/053/low.jpg", 1)</f>
        <v/>
      </c>
      <c r="H44" s="22"/>
      <c r="I44" s="20"/>
      <c r="J44" s="21" t="str">
        <f>IMAGE("https://assets.tcgdex.net/de/sv/sv04/054/low.jpg", 1)</f>
        <v/>
      </c>
      <c r="K44" s="22"/>
      <c r="L44" s="20"/>
      <c r="M44" s="21" t="str">
        <f>IMAGE("https://assets.tcgdex.net/de/sv/sv04/055/low.jpg", 1)</f>
        <v/>
      </c>
      <c r="N44" s="22"/>
      <c r="O44" s="20"/>
    </row>
    <row r="45" ht="22.5" customHeight="1">
      <c r="A45" s="23" t="b">
        <v>0</v>
      </c>
      <c r="B45" s="24" t="b">
        <v>0</v>
      </c>
      <c r="C45" s="25" t="str">
        <f>HYPERLINK("https://www.cardmarket.com/en/Pokemon/Products/Singles?idCategory=1&amp;idProduct=sv4-51", "CM")</f>
        <v>CM</v>
      </c>
      <c r="D45" s="23" t="b">
        <v>0</v>
      </c>
      <c r="E45" s="24" t="b">
        <v>0</v>
      </c>
      <c r="F45" s="25" t="str">
        <f>HYPERLINK("https://www.cardmarket.com/en/Pokemon/Products/Singles?idCategory=1&amp;idProduct=sv4-52", "CM")</f>
        <v>CM</v>
      </c>
      <c r="G45" s="23" t="b">
        <v>0</v>
      </c>
      <c r="H45" s="24" t="b">
        <v>0</v>
      </c>
      <c r="I45" s="25" t="str">
        <f>HYPERLINK("https://www.cardmarket.com/en/Pokemon/Products/Singles?idCategory=1&amp;idProduct=sv4-53", "CM")</f>
        <v>CM</v>
      </c>
      <c r="J45" s="23" t="b">
        <v>0</v>
      </c>
      <c r="K45" s="24" t="b">
        <v>0</v>
      </c>
      <c r="L45" s="25" t="str">
        <f>HYPERLINK("https://www.cardmarket.com/en/Pokemon/Products/Singles?idCategory=1&amp;idProduct=sv4-54", "CM")</f>
        <v>CM</v>
      </c>
      <c r="M45" s="23" t="b">
        <v>0</v>
      </c>
      <c r="N45" s="24" t="b">
        <v>0</v>
      </c>
      <c r="O45" s="25" t="str">
        <f>HYPERLINK("https://www.cardmarket.com/en/Pokemon/Products/Singles?idCategory=1&amp;idProduct=sv4-55", "CM")</f>
        <v>CM</v>
      </c>
    </row>
    <row r="46" ht="7.5" customHeight="1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</row>
    <row r="47" ht="18.75" customHeight="1">
      <c r="A47" s="18" t="s">
        <v>782</v>
      </c>
      <c r="B47" s="19" t="s">
        <v>590</v>
      </c>
      <c r="C47" s="20"/>
      <c r="D47" s="18" t="s">
        <v>587</v>
      </c>
      <c r="E47" s="19" t="s">
        <v>856</v>
      </c>
      <c r="F47" s="20"/>
      <c r="G47" s="18" t="s">
        <v>589</v>
      </c>
      <c r="H47" s="19" t="s">
        <v>1624</v>
      </c>
      <c r="I47" s="20"/>
      <c r="J47" s="18" t="s">
        <v>591</v>
      </c>
      <c r="K47" s="19" t="s">
        <v>1625</v>
      </c>
      <c r="L47" s="20"/>
      <c r="M47" s="18" t="s">
        <v>593</v>
      </c>
      <c r="N47" s="19" t="s">
        <v>1626</v>
      </c>
      <c r="O47" s="20"/>
    </row>
    <row r="48" ht="180.0" customHeight="1">
      <c r="A48" s="21" t="str">
        <f>IMAGE("https://assets.tcgdex.net/de/sv/sv04/056/low.jpg", 1)</f>
        <v/>
      </c>
      <c r="B48" s="22"/>
      <c r="C48" s="20"/>
      <c r="D48" s="21" t="str">
        <f>IMAGE("https://assets.tcgdex.net/de/sv/sv04/057/low.jpg", 1)</f>
        <v/>
      </c>
      <c r="E48" s="22"/>
      <c r="F48" s="20"/>
      <c r="G48" s="21" t="str">
        <f>IMAGE("https://assets.tcgdex.net/de/sv/sv04/058/low.jpg", 1)</f>
        <v/>
      </c>
      <c r="H48" s="22"/>
      <c r="I48" s="20"/>
      <c r="J48" s="21" t="str">
        <f>IMAGE("https://assets.tcgdex.net/de/sv/sv04/059/low.jpg", 1)</f>
        <v/>
      </c>
      <c r="K48" s="22"/>
      <c r="L48" s="20"/>
      <c r="M48" s="21" t="str">
        <f>IMAGE("https://assets.tcgdex.net/de/sv/sv04/060/low.jpg", 1)</f>
        <v/>
      </c>
      <c r="N48" s="22"/>
      <c r="O48" s="20"/>
    </row>
    <row r="49" ht="22.5" customHeight="1">
      <c r="A49" s="23" t="b">
        <v>0</v>
      </c>
      <c r="B49" s="24" t="b">
        <v>0</v>
      </c>
      <c r="C49" s="25" t="str">
        <f>HYPERLINK("https://www.cardmarket.com/en/Pokemon/Products/Singles?idCategory=1&amp;idProduct=sv4-56", "CM")</f>
        <v>CM</v>
      </c>
      <c r="D49" s="23" t="b">
        <v>0</v>
      </c>
      <c r="E49" s="24" t="b">
        <v>0</v>
      </c>
      <c r="F49" s="25" t="str">
        <f>HYPERLINK("https://www.cardmarket.com/en/Pokemon/Products/Singles?idCategory=1&amp;idProduct=sv4-57", "CM")</f>
        <v>CM</v>
      </c>
      <c r="G49" s="23" t="b">
        <v>0</v>
      </c>
      <c r="H49" s="24" t="b">
        <v>0</v>
      </c>
      <c r="I49" s="25" t="str">
        <f>HYPERLINK("https://www.cardmarket.com/en/Pokemon/Products/Singles?idCategory=1&amp;idProduct=sv4-58", "CM")</f>
        <v>CM</v>
      </c>
      <c r="J49" s="23" t="b">
        <v>0</v>
      </c>
      <c r="K49" s="24" t="b">
        <v>0</v>
      </c>
      <c r="L49" s="25" t="str">
        <f>HYPERLINK("https://www.cardmarket.com/en/Pokemon/Products/Singles?idCategory=1&amp;idProduct=sv4-59", "CM")</f>
        <v>CM</v>
      </c>
      <c r="M49" s="23" t="b">
        <v>0</v>
      </c>
      <c r="N49" s="24" t="b">
        <v>0</v>
      </c>
      <c r="O49" s="25" t="str">
        <f>HYPERLINK("https://www.cardmarket.com/en/Pokemon/Products/Singles?idCategory=1&amp;idProduct=sv4-60", "CM")</f>
        <v>CM</v>
      </c>
    </row>
    <row r="50" ht="7.5" customHeight="1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</row>
    <row r="51" ht="18.75" customHeight="1">
      <c r="A51" s="18" t="s">
        <v>595</v>
      </c>
      <c r="B51" s="19" t="s">
        <v>1627</v>
      </c>
      <c r="C51" s="20"/>
      <c r="D51" s="18" t="s">
        <v>597</v>
      </c>
      <c r="E51" s="19" t="s">
        <v>1628</v>
      </c>
      <c r="F51" s="20"/>
      <c r="G51" s="18" t="s">
        <v>784</v>
      </c>
      <c r="H51" s="19" t="s">
        <v>1629</v>
      </c>
      <c r="I51" s="20"/>
      <c r="J51" s="18" t="s">
        <v>786</v>
      </c>
      <c r="K51" s="19" t="s">
        <v>1630</v>
      </c>
      <c r="L51" s="20"/>
      <c r="M51" s="18" t="s">
        <v>788</v>
      </c>
      <c r="N51" s="19" t="s">
        <v>1631</v>
      </c>
      <c r="O51" s="20"/>
    </row>
    <row r="52" ht="180.0" customHeight="1">
      <c r="A52" s="21" t="str">
        <f>IMAGE("https://assets.tcgdex.net/de/sv/sv04/061/low.jpg", 1)</f>
        <v/>
      </c>
      <c r="B52" s="22"/>
      <c r="C52" s="20"/>
      <c r="D52" s="21" t="str">
        <f>IMAGE("https://assets.tcgdex.net/de/sv/sv04/062/low.jpg", 1)</f>
        <v/>
      </c>
      <c r="E52" s="22"/>
      <c r="F52" s="20"/>
      <c r="G52" s="21" t="str">
        <f>IMAGE("https://assets.tcgdex.net/de/sv/sv04/063/low.jpg", 1)</f>
        <v/>
      </c>
      <c r="H52" s="22"/>
      <c r="I52" s="20"/>
      <c r="J52" s="21" t="str">
        <f>IMAGE("https://assets.tcgdex.net/de/sv/sv04/064/low.jpg", 1)</f>
        <v/>
      </c>
      <c r="K52" s="22"/>
      <c r="L52" s="20"/>
      <c r="M52" s="21" t="str">
        <f>IMAGE("https://assets.tcgdex.net/de/sv/sv04/065/low.jpg", 1)</f>
        <v/>
      </c>
      <c r="N52" s="22"/>
      <c r="O52" s="20"/>
    </row>
    <row r="53" ht="22.5" customHeight="1">
      <c r="A53" s="23" t="b">
        <v>0</v>
      </c>
      <c r="B53" s="24" t="b">
        <v>0</v>
      </c>
      <c r="C53" s="25" t="str">
        <f>HYPERLINK("https://www.cardmarket.com/en/Pokemon/Products/Singles?idCategory=1&amp;idProduct=sv4-61", "CM")</f>
        <v>CM</v>
      </c>
      <c r="D53" s="23" t="b">
        <v>0</v>
      </c>
      <c r="E53" s="24" t="b">
        <v>0</v>
      </c>
      <c r="F53" s="25" t="str">
        <f>HYPERLINK("https://www.cardmarket.com/en/Pokemon/Products/Singles?idCategory=1&amp;idProduct=sv4-62", "CM")</f>
        <v>CM</v>
      </c>
      <c r="G53" s="23" t="b">
        <v>0</v>
      </c>
      <c r="H53" s="24" t="b">
        <v>0</v>
      </c>
      <c r="I53" s="25" t="str">
        <f>HYPERLINK("https://www.cardmarket.com/en/Pokemon/Products/Singles?idCategory=1&amp;idProduct=sv4-63", "CM")</f>
        <v>CM</v>
      </c>
      <c r="J53" s="23" t="b">
        <v>0</v>
      </c>
      <c r="K53" s="24" t="b">
        <v>0</v>
      </c>
      <c r="L53" s="25" t="str">
        <f>HYPERLINK("https://www.cardmarket.com/en/Pokemon/Products/Singles?idCategory=1&amp;idProduct=sv4-64", "CM")</f>
        <v>CM</v>
      </c>
      <c r="M53" s="23" t="b">
        <v>0</v>
      </c>
      <c r="N53" s="24" t="b">
        <v>0</v>
      </c>
      <c r="O53" s="25" t="str">
        <f>HYPERLINK("https://www.cardmarket.com/en/Pokemon/Products/Singles?idCategory=1&amp;idProduct=sv4-65", "CM")</f>
        <v>CM</v>
      </c>
    </row>
    <row r="54" ht="7.5" customHeight="1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</row>
    <row r="55" ht="18.75" customHeight="1">
      <c r="A55" s="18" t="s">
        <v>790</v>
      </c>
      <c r="B55" s="19" t="s">
        <v>1632</v>
      </c>
      <c r="C55" s="20"/>
      <c r="D55" s="18" t="s">
        <v>791</v>
      </c>
      <c r="E55" s="19" t="s">
        <v>1633</v>
      </c>
      <c r="F55" s="20"/>
      <c r="G55" s="18" t="s">
        <v>793</v>
      </c>
      <c r="H55" s="19" t="s">
        <v>1634</v>
      </c>
      <c r="I55" s="20"/>
      <c r="J55" s="18" t="s">
        <v>795</v>
      </c>
      <c r="K55" s="19" t="s">
        <v>658</v>
      </c>
      <c r="L55" s="20"/>
      <c r="M55" s="18" t="s">
        <v>797</v>
      </c>
      <c r="N55" s="19" t="s">
        <v>1635</v>
      </c>
      <c r="O55" s="20"/>
    </row>
    <row r="56" ht="180.0" customHeight="1">
      <c r="A56" s="21" t="str">
        <f>IMAGE("https://assets.tcgdex.net/de/sv/sv04/066/low.jpg", 1)</f>
        <v/>
      </c>
      <c r="B56" s="22"/>
      <c r="C56" s="20"/>
      <c r="D56" s="21" t="str">
        <f>IMAGE("https://assets.tcgdex.net/de/sv/sv04/067/low.jpg", 1)</f>
        <v/>
      </c>
      <c r="E56" s="22"/>
      <c r="F56" s="20"/>
      <c r="G56" s="21" t="str">
        <f>IMAGE("https://assets.tcgdex.net/de/sv/sv04/068/low.jpg", 1)</f>
        <v/>
      </c>
      <c r="H56" s="22"/>
      <c r="I56" s="20"/>
      <c r="J56" s="21" t="str">
        <f>IMAGE("https://assets.tcgdex.net/de/sv/sv04/069/low.jpg", 1)</f>
        <v/>
      </c>
      <c r="K56" s="22"/>
      <c r="L56" s="20"/>
      <c r="M56" s="21" t="str">
        <f>IMAGE("https://assets.tcgdex.net/de/sv/sv04/070/low.jpg", 1)</f>
        <v/>
      </c>
      <c r="N56" s="22"/>
      <c r="O56" s="20"/>
    </row>
    <row r="57" ht="22.5" customHeight="1">
      <c r="A57" s="23" t="b">
        <v>0</v>
      </c>
      <c r="B57" s="24" t="b">
        <v>0</v>
      </c>
      <c r="C57" s="25" t="str">
        <f>HYPERLINK("https://www.cardmarket.com/en/Pokemon/Products/Singles?idCategory=1&amp;idProduct=sv4-66", "CM")</f>
        <v>CM</v>
      </c>
      <c r="D57" s="23" t="b">
        <v>0</v>
      </c>
      <c r="E57" s="24" t="b">
        <v>0</v>
      </c>
      <c r="F57" s="25" t="str">
        <f>HYPERLINK("https://www.cardmarket.com/en/Pokemon/Products/Singles?idCategory=1&amp;idProduct=sv4-67", "CM")</f>
        <v>CM</v>
      </c>
      <c r="G57" s="23" t="b">
        <v>0</v>
      </c>
      <c r="H57" s="24" t="b">
        <v>0</v>
      </c>
      <c r="I57" s="25" t="str">
        <f>HYPERLINK("https://www.cardmarket.com/en/Pokemon/Products/Singles?idCategory=1&amp;idProduct=sv4-68", "CM")</f>
        <v>CM</v>
      </c>
      <c r="J57" s="23" t="b">
        <v>0</v>
      </c>
      <c r="K57" s="24" t="b">
        <v>0</v>
      </c>
      <c r="L57" s="25" t="str">
        <f>HYPERLINK("https://www.cardmarket.com/en/Pokemon/Products/Singles?idCategory=1&amp;idProduct=sv4-69", "CM")</f>
        <v>CM</v>
      </c>
      <c r="M57" s="23" t="b">
        <v>0</v>
      </c>
      <c r="N57" s="24" t="b">
        <v>0</v>
      </c>
      <c r="O57" s="25" t="str">
        <f>HYPERLINK("https://www.cardmarket.com/en/Pokemon/Products/Singles?idCategory=1&amp;idProduct=sv4-70", "CM")</f>
        <v>CM</v>
      </c>
    </row>
    <row r="58" ht="7.5" customHeight="1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</row>
    <row r="59" ht="18.75" customHeight="1">
      <c r="A59" s="18" t="s">
        <v>799</v>
      </c>
      <c r="B59" s="19" t="s">
        <v>1636</v>
      </c>
      <c r="C59" s="20"/>
      <c r="D59" s="18" t="s">
        <v>801</v>
      </c>
      <c r="E59" s="19" t="s">
        <v>592</v>
      </c>
      <c r="F59" s="20"/>
      <c r="G59" s="18" t="s">
        <v>803</v>
      </c>
      <c r="H59" s="19" t="s">
        <v>1637</v>
      </c>
      <c r="I59" s="20"/>
      <c r="J59" s="18" t="s">
        <v>805</v>
      </c>
      <c r="K59" s="19" t="s">
        <v>1086</v>
      </c>
      <c r="L59" s="20"/>
      <c r="M59" s="18" t="s">
        <v>806</v>
      </c>
      <c r="N59" s="19" t="s">
        <v>1638</v>
      </c>
      <c r="O59" s="20"/>
    </row>
    <row r="60" ht="180.0" customHeight="1">
      <c r="A60" s="21" t="str">
        <f>IMAGE("https://assets.tcgdex.net/de/sv/sv04/071/low.jpg", 1)</f>
        <v/>
      </c>
      <c r="B60" s="22"/>
      <c r="C60" s="20"/>
      <c r="D60" s="21" t="str">
        <f>IMAGE("https://assets.tcgdex.net/de/sv/sv04/072/low.jpg", 1)</f>
        <v/>
      </c>
      <c r="E60" s="22"/>
      <c r="F60" s="20"/>
      <c r="G60" s="21" t="str">
        <f>IMAGE("https://assets.tcgdex.net/de/sv/sv04/073/low.jpg", 1)</f>
        <v/>
      </c>
      <c r="H60" s="22"/>
      <c r="I60" s="20"/>
      <c r="J60" s="21" t="str">
        <f>IMAGE("https://assets.tcgdex.net/de/sv/sv04/074/low.jpg", 1)</f>
        <v/>
      </c>
      <c r="K60" s="22"/>
      <c r="L60" s="20"/>
      <c r="M60" s="21" t="str">
        <f>IMAGE("https://assets.tcgdex.net/de/sv/sv04/075/low.jpg", 1)</f>
        <v/>
      </c>
      <c r="N60" s="22"/>
      <c r="O60" s="20"/>
    </row>
    <row r="61" ht="22.5" customHeight="1">
      <c r="A61" s="23" t="b">
        <v>0</v>
      </c>
      <c r="B61" s="24" t="b">
        <v>0</v>
      </c>
      <c r="C61" s="25" t="str">
        <f>HYPERLINK("https://www.cardmarket.com/en/Pokemon/Products/Singles?idCategory=1&amp;idProduct=sv4-71", "CM")</f>
        <v>CM</v>
      </c>
      <c r="D61" s="23" t="b">
        <v>0</v>
      </c>
      <c r="E61" s="24" t="b">
        <v>0</v>
      </c>
      <c r="F61" s="25" t="str">
        <f>HYPERLINK("https://www.cardmarket.com/en/Pokemon/Products/Singles?idCategory=1&amp;idProduct=sv4-72", "CM")</f>
        <v>CM</v>
      </c>
      <c r="G61" s="23" t="b">
        <v>0</v>
      </c>
      <c r="H61" s="24" t="b">
        <v>0</v>
      </c>
      <c r="I61" s="25" t="str">
        <f>HYPERLINK("https://www.cardmarket.com/en/Pokemon/Products/Singles?idCategory=1&amp;idProduct=sv4-73", "CM")</f>
        <v>CM</v>
      </c>
      <c r="J61" s="23" t="b">
        <v>0</v>
      </c>
      <c r="K61" s="24" t="b">
        <v>0</v>
      </c>
      <c r="L61" s="25" t="str">
        <f>HYPERLINK("https://www.cardmarket.com/en/Pokemon/Products/Singles?idCategory=1&amp;idProduct=sv4-74", "CM")</f>
        <v>CM</v>
      </c>
      <c r="M61" s="23" t="b">
        <v>0</v>
      </c>
      <c r="N61" s="24" t="b">
        <v>0</v>
      </c>
      <c r="O61" s="25" t="str">
        <f>HYPERLINK("https://www.cardmarket.com/en/Pokemon/Products/Singles?idCategory=1&amp;idProduct=sv4-75", "CM")</f>
        <v>CM</v>
      </c>
    </row>
    <row r="62" ht="7.5" customHeight="1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</row>
    <row r="63" ht="18.75" customHeight="1">
      <c r="A63" s="18" t="s">
        <v>808</v>
      </c>
      <c r="B63" s="19" t="s">
        <v>1639</v>
      </c>
      <c r="C63" s="20"/>
      <c r="D63" s="18" t="s">
        <v>809</v>
      </c>
      <c r="E63" s="19" t="s">
        <v>1640</v>
      </c>
      <c r="F63" s="20"/>
      <c r="G63" s="18" t="s">
        <v>811</v>
      </c>
      <c r="H63" s="19" t="s">
        <v>1641</v>
      </c>
      <c r="I63" s="20"/>
      <c r="J63" s="18" t="s">
        <v>599</v>
      </c>
      <c r="K63" s="19" t="s">
        <v>1220</v>
      </c>
      <c r="L63" s="20"/>
      <c r="M63" s="18" t="s">
        <v>601</v>
      </c>
      <c r="N63" s="19" t="s">
        <v>1220</v>
      </c>
      <c r="O63" s="20"/>
    </row>
    <row r="64" ht="180.0" customHeight="1">
      <c r="A64" s="21" t="str">
        <f>IMAGE("https://assets.tcgdex.net/de/sv/sv04/076/low.jpg", 1)</f>
        <v/>
      </c>
      <c r="B64" s="22"/>
      <c r="C64" s="20"/>
      <c r="D64" s="21" t="str">
        <f>IMAGE("https://assets.tcgdex.net/de/sv/sv04/077/low.jpg", 1)</f>
        <v/>
      </c>
      <c r="E64" s="22"/>
      <c r="F64" s="20"/>
      <c r="G64" s="21" t="str">
        <f>IMAGE("https://assets.tcgdex.net/de/sv/sv04/078/low.jpg", 1)</f>
        <v/>
      </c>
      <c r="H64" s="22"/>
      <c r="I64" s="20"/>
      <c r="J64" s="21" t="str">
        <f>IMAGE("https://assets.tcgdex.net/de/sv/sv04/079/low.jpg", 1)</f>
        <v/>
      </c>
      <c r="K64" s="22"/>
      <c r="L64" s="20"/>
      <c r="M64" s="21" t="str">
        <f>IMAGE("https://assets.tcgdex.net/de/sv/sv04/080/low.jpg", 1)</f>
        <v/>
      </c>
      <c r="N64" s="22"/>
      <c r="O64" s="20"/>
    </row>
    <row r="65" ht="22.5" customHeight="1">
      <c r="A65" s="23" t="b">
        <v>0</v>
      </c>
      <c r="B65" s="24" t="b">
        <v>0</v>
      </c>
      <c r="C65" s="25" t="str">
        <f>HYPERLINK("https://www.cardmarket.com/en/Pokemon/Products/Singles?idCategory=1&amp;idProduct=sv4-76", "CM")</f>
        <v>CM</v>
      </c>
      <c r="D65" s="23" t="b">
        <v>0</v>
      </c>
      <c r="E65" s="24" t="b">
        <v>0</v>
      </c>
      <c r="F65" s="25" t="str">
        <f>HYPERLINK("https://www.cardmarket.com/en/Pokemon/Products/Singles?idCategory=1&amp;idProduct=sv4-77", "CM")</f>
        <v>CM</v>
      </c>
      <c r="G65" s="23" t="b">
        <v>0</v>
      </c>
      <c r="H65" s="24" t="b">
        <v>0</v>
      </c>
      <c r="I65" s="25" t="str">
        <f>HYPERLINK("https://www.cardmarket.com/en/Pokemon/Products/Singles?idCategory=1&amp;idProduct=sv4-78", "CM")</f>
        <v>CM</v>
      </c>
      <c r="J65" s="23" t="b">
        <v>0</v>
      </c>
      <c r="K65" s="24" t="b">
        <v>0</v>
      </c>
      <c r="L65" s="25" t="str">
        <f>HYPERLINK("https://www.cardmarket.com/en/Pokemon/Products/Singles?idCategory=1&amp;idProduct=sv4-79", "CM")</f>
        <v>CM</v>
      </c>
      <c r="M65" s="23" t="b">
        <v>0</v>
      </c>
      <c r="N65" s="24" t="b">
        <v>0</v>
      </c>
      <c r="O65" s="25" t="str">
        <f>HYPERLINK("https://www.cardmarket.com/en/Pokemon/Products/Singles?idCategory=1&amp;idProduct=sv4-80", "CM")</f>
        <v>CM</v>
      </c>
    </row>
    <row r="66" ht="7.5" customHeight="1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</row>
    <row r="67" ht="18.75" customHeight="1">
      <c r="A67" s="18" t="s">
        <v>603</v>
      </c>
      <c r="B67" s="19" t="s">
        <v>749</v>
      </c>
      <c r="C67" s="20"/>
      <c r="D67" s="18" t="s">
        <v>604</v>
      </c>
      <c r="E67" s="19" t="s">
        <v>759</v>
      </c>
      <c r="F67" s="20"/>
      <c r="G67" s="18" t="s">
        <v>606</v>
      </c>
      <c r="H67" s="19" t="s">
        <v>759</v>
      </c>
      <c r="I67" s="20"/>
      <c r="J67" s="18" t="s">
        <v>608</v>
      </c>
      <c r="K67" s="19" t="s">
        <v>1642</v>
      </c>
      <c r="L67" s="20"/>
      <c r="M67" s="18" t="s">
        <v>609</v>
      </c>
      <c r="N67" s="19" t="s">
        <v>542</v>
      </c>
      <c r="O67" s="20"/>
    </row>
    <row r="68" ht="180.0" customHeight="1">
      <c r="A68" s="21" t="str">
        <f>IMAGE("https://assets.tcgdex.net/de/sv/sv04/081/low.jpg", 1)</f>
        <v/>
      </c>
      <c r="B68" s="22"/>
      <c r="C68" s="20"/>
      <c r="D68" s="21" t="str">
        <f>IMAGE("https://assets.tcgdex.net/de/sv/sv04/082/low.jpg", 1)</f>
        <v/>
      </c>
      <c r="E68" s="22"/>
      <c r="F68" s="20"/>
      <c r="G68" s="21" t="str">
        <f>IMAGE("https://assets.tcgdex.net/de/sv/sv04/083/low.jpg", 1)</f>
        <v/>
      </c>
      <c r="H68" s="22"/>
      <c r="I68" s="20"/>
      <c r="J68" s="21" t="str">
        <f>IMAGE("https://assets.tcgdex.net/de/sv/sv04/084/low.jpg", 1)</f>
        <v/>
      </c>
      <c r="K68" s="22"/>
      <c r="L68" s="20"/>
      <c r="M68" s="21" t="str">
        <f>IMAGE("https://assets.tcgdex.net/de/sv/sv04/085/low.jpg", 1)</f>
        <v/>
      </c>
      <c r="N68" s="22"/>
      <c r="O68" s="20"/>
    </row>
    <row r="69" ht="22.5" customHeight="1">
      <c r="A69" s="23" t="b">
        <v>0</v>
      </c>
      <c r="B69" s="24" t="b">
        <v>0</v>
      </c>
      <c r="C69" s="25" t="str">
        <f>HYPERLINK("https://www.cardmarket.com/en/Pokemon/Products/Singles?idCategory=1&amp;idProduct=sv4-81", "CM")</f>
        <v>CM</v>
      </c>
      <c r="D69" s="23" t="b">
        <v>0</v>
      </c>
      <c r="E69" s="24" t="b">
        <v>0</v>
      </c>
      <c r="F69" s="25" t="str">
        <f>HYPERLINK("https://www.cardmarket.com/en/Pokemon/Products/Singles?idCategory=1&amp;idProduct=sv4-82", "CM")</f>
        <v>CM</v>
      </c>
      <c r="G69" s="23" t="b">
        <v>0</v>
      </c>
      <c r="H69" s="24" t="b">
        <v>0</v>
      </c>
      <c r="I69" s="25" t="str">
        <f>HYPERLINK("https://www.cardmarket.com/en/Pokemon/Products/Singles?idCategory=1&amp;idProduct=sv4-83", "CM")</f>
        <v>CM</v>
      </c>
      <c r="J69" s="23" t="b">
        <v>0</v>
      </c>
      <c r="K69" s="24" t="b">
        <v>0</v>
      </c>
      <c r="L69" s="25" t="str">
        <f>HYPERLINK("https://www.cardmarket.com/en/Pokemon/Products/Singles?idCategory=1&amp;idProduct=sv4-84", "CM")</f>
        <v>CM</v>
      </c>
      <c r="M69" s="23" t="b">
        <v>0</v>
      </c>
      <c r="N69" s="24" t="b">
        <v>0</v>
      </c>
      <c r="O69" s="25" t="str">
        <f>HYPERLINK("https://www.cardmarket.com/en/Pokemon/Products/Singles?idCategory=1&amp;idProduct=sv4-85", "CM")</f>
        <v>CM</v>
      </c>
    </row>
    <row r="70" ht="7.5" customHeight="1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</row>
    <row r="71" ht="18.75" customHeight="1">
      <c r="A71" s="18" t="s">
        <v>611</v>
      </c>
      <c r="B71" s="19" t="s">
        <v>789</v>
      </c>
      <c r="C71" s="20"/>
      <c r="D71" s="18" t="s">
        <v>613</v>
      </c>
      <c r="E71" s="19" t="s">
        <v>1643</v>
      </c>
      <c r="F71" s="20"/>
      <c r="G71" s="18" t="s">
        <v>615</v>
      </c>
      <c r="H71" s="19" t="s">
        <v>1643</v>
      </c>
      <c r="I71" s="20"/>
      <c r="J71" s="18" t="s">
        <v>617</v>
      </c>
      <c r="K71" s="19" t="s">
        <v>794</v>
      </c>
      <c r="L71" s="20"/>
      <c r="M71" s="18" t="s">
        <v>619</v>
      </c>
      <c r="N71" s="19" t="s">
        <v>1542</v>
      </c>
      <c r="O71" s="20"/>
    </row>
    <row r="72" ht="180.0" customHeight="1">
      <c r="A72" s="21" t="str">
        <f>IMAGE("https://assets.tcgdex.net/de/sv/sv04/086/low.jpg", 1)</f>
        <v/>
      </c>
      <c r="B72" s="22"/>
      <c r="C72" s="20"/>
      <c r="D72" s="21" t="str">
        <f>IMAGE("https://assets.tcgdex.net/de/sv/sv04/087/low.jpg", 1)</f>
        <v/>
      </c>
      <c r="E72" s="22"/>
      <c r="F72" s="20"/>
      <c r="G72" s="21" t="str">
        <f>IMAGE("https://assets.tcgdex.net/de/sv/sv04/088/low.jpg", 1)</f>
        <v/>
      </c>
      <c r="H72" s="22"/>
      <c r="I72" s="20"/>
      <c r="J72" s="21" t="str">
        <f>IMAGE("https://assets.tcgdex.net/de/sv/sv04/089/low.jpg", 1)</f>
        <v/>
      </c>
      <c r="K72" s="22"/>
      <c r="L72" s="20"/>
      <c r="M72" s="21" t="str">
        <f>IMAGE("https://assets.tcgdex.net/de/sv/sv04/090/low.jpg", 1)</f>
        <v/>
      </c>
      <c r="N72" s="22"/>
      <c r="O72" s="20"/>
    </row>
    <row r="73" ht="22.5" customHeight="1">
      <c r="A73" s="23" t="b">
        <v>0</v>
      </c>
      <c r="B73" s="24" t="b">
        <v>0</v>
      </c>
      <c r="C73" s="25" t="str">
        <f>HYPERLINK("https://www.cardmarket.com/en/Pokemon/Products/Singles?idCategory=1&amp;idProduct=sv4-86", "CM")</f>
        <v>CM</v>
      </c>
      <c r="D73" s="23" t="b">
        <v>0</v>
      </c>
      <c r="E73" s="24" t="b">
        <v>0</v>
      </c>
      <c r="F73" s="25" t="str">
        <f>HYPERLINK("https://www.cardmarket.com/en/Pokemon/Products/Singles?idCategory=1&amp;idProduct=sv4-87", "CM")</f>
        <v>CM</v>
      </c>
      <c r="G73" s="23" t="b">
        <v>0</v>
      </c>
      <c r="H73" s="24" t="b">
        <v>0</v>
      </c>
      <c r="I73" s="25" t="str">
        <f>HYPERLINK("https://www.cardmarket.com/en/Pokemon/Products/Singles?idCategory=1&amp;idProduct=sv4-88", "CM")</f>
        <v>CM</v>
      </c>
      <c r="J73" s="23" t="b">
        <v>0</v>
      </c>
      <c r="K73" s="24" t="b">
        <v>0</v>
      </c>
      <c r="L73" s="25" t="str">
        <f>HYPERLINK("https://www.cardmarket.com/en/Pokemon/Products/Singles?idCategory=1&amp;idProduct=sv4-89", "CM")</f>
        <v>CM</v>
      </c>
      <c r="M73" s="23" t="b">
        <v>0</v>
      </c>
      <c r="N73" s="24" t="b">
        <v>0</v>
      </c>
      <c r="O73" s="25" t="str">
        <f>HYPERLINK("https://www.cardmarket.com/en/Pokemon/Products/Singles?idCategory=1&amp;idProduct=sv4-90", "CM")</f>
        <v>CM</v>
      </c>
    </row>
    <row r="74" ht="7.5" customHeight="1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</row>
    <row r="75" ht="18.75" customHeight="1">
      <c r="A75" s="18" t="s">
        <v>621</v>
      </c>
      <c r="B75" s="19" t="s">
        <v>1644</v>
      </c>
      <c r="C75" s="20"/>
      <c r="D75" s="18" t="s">
        <v>623</v>
      </c>
      <c r="E75" s="19" t="s">
        <v>1645</v>
      </c>
      <c r="F75" s="20"/>
      <c r="G75" s="18" t="s">
        <v>625</v>
      </c>
      <c r="H75" s="19" t="s">
        <v>1646</v>
      </c>
      <c r="I75" s="20"/>
      <c r="J75" s="18" t="s">
        <v>627</v>
      </c>
      <c r="K75" s="19" t="s">
        <v>1647</v>
      </c>
      <c r="L75" s="20"/>
      <c r="M75" s="18" t="s">
        <v>812</v>
      </c>
      <c r="N75" s="19" t="s">
        <v>1648</v>
      </c>
      <c r="O75" s="20"/>
    </row>
    <row r="76" ht="180.0" customHeight="1">
      <c r="A76" s="21" t="str">
        <f>IMAGE("https://assets.tcgdex.net/de/sv/sv04/091/low.jpg", 1)</f>
        <v/>
      </c>
      <c r="B76" s="22"/>
      <c r="C76" s="20"/>
      <c r="D76" s="21" t="str">
        <f>IMAGE("https://assets.tcgdex.net/de/sv/sv04/092/low.jpg", 1)</f>
        <v/>
      </c>
      <c r="E76" s="22"/>
      <c r="F76" s="20"/>
      <c r="G76" s="21" t="str">
        <f>IMAGE("https://assets.tcgdex.net/de/sv/sv04/093/low.jpg", 1)</f>
        <v/>
      </c>
      <c r="H76" s="22"/>
      <c r="I76" s="20"/>
      <c r="J76" s="21" t="str">
        <f>IMAGE("https://assets.tcgdex.net/de/sv/sv04/094/low.jpg", 1)</f>
        <v/>
      </c>
      <c r="K76" s="22"/>
      <c r="L76" s="20"/>
      <c r="M76" s="21" t="str">
        <f>IMAGE("https://assets.tcgdex.net/de/sv/sv04/095/low.jpg", 1)</f>
        <v/>
      </c>
      <c r="N76" s="22"/>
      <c r="O76" s="20"/>
    </row>
    <row r="77" ht="22.5" customHeight="1">
      <c r="A77" s="23" t="b">
        <v>0</v>
      </c>
      <c r="B77" s="24" t="b">
        <v>0</v>
      </c>
      <c r="C77" s="25" t="str">
        <f>HYPERLINK("https://www.cardmarket.com/en/Pokemon/Products/Singles?idCategory=1&amp;idProduct=sv4-91", "CM")</f>
        <v>CM</v>
      </c>
      <c r="D77" s="23" t="b">
        <v>0</v>
      </c>
      <c r="E77" s="24" t="b">
        <v>0</v>
      </c>
      <c r="F77" s="25" t="str">
        <f>HYPERLINK("https://www.cardmarket.com/en/Pokemon/Products/Singles?idCategory=1&amp;idProduct=sv4-92", "CM")</f>
        <v>CM</v>
      </c>
      <c r="G77" s="23" t="b">
        <v>0</v>
      </c>
      <c r="H77" s="24" t="b">
        <v>0</v>
      </c>
      <c r="I77" s="25" t="str">
        <f>HYPERLINK("https://www.cardmarket.com/en/Pokemon/Products/Singles?idCategory=1&amp;idProduct=sv4-93", "CM")</f>
        <v>CM</v>
      </c>
      <c r="J77" s="23" t="b">
        <v>0</v>
      </c>
      <c r="K77" s="24" t="b">
        <v>0</v>
      </c>
      <c r="L77" s="25" t="str">
        <f>HYPERLINK("https://www.cardmarket.com/en/Pokemon/Products/Singles?idCategory=1&amp;idProduct=sv4-94", "CM")</f>
        <v>CM</v>
      </c>
      <c r="M77" s="23" t="b">
        <v>0</v>
      </c>
      <c r="N77" s="24" t="b">
        <v>0</v>
      </c>
      <c r="O77" s="25" t="str">
        <f>HYPERLINK("https://www.cardmarket.com/en/Pokemon/Products/Singles?idCategory=1&amp;idProduct=sv4-95", "CM")</f>
        <v>CM</v>
      </c>
    </row>
    <row r="78" ht="7.5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</row>
    <row r="79" ht="18.75" customHeight="1">
      <c r="A79" s="18" t="s">
        <v>813</v>
      </c>
      <c r="B79" s="19" t="s">
        <v>1649</v>
      </c>
      <c r="C79" s="20"/>
      <c r="D79" s="18" t="s">
        <v>815</v>
      </c>
      <c r="E79" s="19" t="s">
        <v>1650</v>
      </c>
      <c r="F79" s="20"/>
      <c r="G79" s="18" t="s">
        <v>817</v>
      </c>
      <c r="H79" s="19" t="s">
        <v>1651</v>
      </c>
      <c r="I79" s="20"/>
      <c r="J79" s="18" t="s">
        <v>819</v>
      </c>
      <c r="K79" s="19" t="s">
        <v>1652</v>
      </c>
      <c r="L79" s="20"/>
      <c r="M79" s="18" t="s">
        <v>821</v>
      </c>
      <c r="N79" s="19" t="s">
        <v>1653</v>
      </c>
      <c r="O79" s="20"/>
    </row>
    <row r="80" ht="180.0" customHeight="1">
      <c r="A80" s="21" t="str">
        <f>IMAGE("https://assets.tcgdex.net/de/sv/sv04/096/low.jpg", 1)</f>
        <v/>
      </c>
      <c r="B80" s="22"/>
      <c r="C80" s="20"/>
      <c r="D80" s="21" t="str">
        <f>IMAGE("https://assets.tcgdex.net/de/sv/sv04/097/low.jpg", 1)</f>
        <v/>
      </c>
      <c r="E80" s="22"/>
      <c r="F80" s="20"/>
      <c r="G80" s="21" t="str">
        <f>IMAGE("https://assets.tcgdex.net/de/sv/sv04/098/low.jpg", 1)</f>
        <v/>
      </c>
      <c r="H80" s="22"/>
      <c r="I80" s="20"/>
      <c r="J80" s="21" t="str">
        <f>IMAGE("https://assets.tcgdex.net/de/sv/sv04/099/low.jpg", 1)</f>
        <v/>
      </c>
      <c r="K80" s="22"/>
      <c r="L80" s="20"/>
      <c r="M80" s="21" t="str">
        <f>IMAGE("https://assets.tcgdex.net/de/sv/sv04/100/low.jpg", 1)</f>
        <v/>
      </c>
      <c r="N80" s="22"/>
      <c r="O80" s="20"/>
    </row>
    <row r="81" ht="22.5" customHeight="1">
      <c r="A81" s="23" t="b">
        <v>0</v>
      </c>
      <c r="B81" s="24" t="b">
        <v>0</v>
      </c>
      <c r="C81" s="25" t="str">
        <f>HYPERLINK("https://www.cardmarket.com/en/Pokemon/Products/Singles?idCategory=1&amp;idProduct=sv4-96", "CM")</f>
        <v>CM</v>
      </c>
      <c r="D81" s="23" t="b">
        <v>0</v>
      </c>
      <c r="E81" s="24" t="b">
        <v>0</v>
      </c>
      <c r="F81" s="25" t="str">
        <f>HYPERLINK("https://www.cardmarket.com/en/Pokemon/Products/Singles?idCategory=1&amp;idProduct=sv4-97", "CM")</f>
        <v>CM</v>
      </c>
      <c r="G81" s="23" t="b">
        <v>0</v>
      </c>
      <c r="H81" s="24" t="b">
        <v>0</v>
      </c>
      <c r="I81" s="25" t="str">
        <f>HYPERLINK("https://www.cardmarket.com/en/Pokemon/Products/Singles?idCategory=1&amp;idProduct=sv4-98", "CM")</f>
        <v>CM</v>
      </c>
      <c r="J81" s="23" t="b">
        <v>0</v>
      </c>
      <c r="K81" s="24" t="b">
        <v>0</v>
      </c>
      <c r="L81" s="25" t="str">
        <f>HYPERLINK("https://www.cardmarket.com/en/Pokemon/Products/Singles?idCategory=1&amp;idProduct=sv4-99", "CM")</f>
        <v>CM</v>
      </c>
      <c r="M81" s="23" t="b">
        <v>0</v>
      </c>
      <c r="N81" s="24" t="b">
        <v>0</v>
      </c>
      <c r="O81" s="25" t="str">
        <f>HYPERLINK("https://www.cardmarket.com/en/Pokemon/Products/Singles?idCategory=1&amp;idProduct=sv4-100", "CM")</f>
        <v>CM</v>
      </c>
    </row>
    <row r="82" ht="7.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</row>
    <row r="83" ht="18.75" customHeight="1">
      <c r="A83" s="18" t="s">
        <v>629</v>
      </c>
      <c r="B83" s="19" t="s">
        <v>1654</v>
      </c>
      <c r="C83" s="20"/>
      <c r="D83" s="18" t="s">
        <v>630</v>
      </c>
      <c r="E83" s="19" t="s">
        <v>1654</v>
      </c>
      <c r="F83" s="20"/>
      <c r="G83" s="18" t="s">
        <v>632</v>
      </c>
      <c r="H83" s="19" t="s">
        <v>1655</v>
      </c>
      <c r="I83" s="20"/>
      <c r="J83" s="18" t="s">
        <v>634</v>
      </c>
      <c r="K83" s="19" t="s">
        <v>1656</v>
      </c>
      <c r="L83" s="20"/>
      <c r="M83" s="18" t="s">
        <v>636</v>
      </c>
      <c r="N83" s="19" t="s">
        <v>1224</v>
      </c>
      <c r="O83" s="20"/>
    </row>
    <row r="84" ht="180.0" customHeight="1">
      <c r="A84" s="21" t="str">
        <f>IMAGE("https://assets.tcgdex.net/de/sv/sv04/101/low.jpg", 1)</f>
        <v/>
      </c>
      <c r="B84" s="22"/>
      <c r="C84" s="20"/>
      <c r="D84" s="21" t="str">
        <f>IMAGE("https://assets.tcgdex.net/de/sv/sv04/102/low.jpg", 1)</f>
        <v/>
      </c>
      <c r="E84" s="22"/>
      <c r="F84" s="20"/>
      <c r="G84" s="21" t="str">
        <f>IMAGE("https://assets.tcgdex.net/de/sv/sv04/103/low.jpg", 1)</f>
        <v/>
      </c>
      <c r="H84" s="22"/>
      <c r="I84" s="20"/>
      <c r="J84" s="21" t="str">
        <f>IMAGE("https://assets.tcgdex.net/de/sv/sv04/104/low.jpg", 1)</f>
        <v/>
      </c>
      <c r="K84" s="22"/>
      <c r="L84" s="20"/>
      <c r="M84" s="21" t="str">
        <f>IMAGE("https://assets.tcgdex.net/de/sv/sv04/105/low.jpg", 1)</f>
        <v/>
      </c>
      <c r="N84" s="22"/>
      <c r="O84" s="20"/>
    </row>
    <row r="85" ht="22.5" customHeight="1">
      <c r="A85" s="23" t="b">
        <v>0</v>
      </c>
      <c r="B85" s="24" t="b">
        <v>0</v>
      </c>
      <c r="C85" s="25" t="str">
        <f>HYPERLINK("https://www.cardmarket.com/en/Pokemon/Products/Singles?idCategory=1&amp;idProduct=sv4-101", "CM")</f>
        <v>CM</v>
      </c>
      <c r="D85" s="23" t="b">
        <v>0</v>
      </c>
      <c r="E85" s="24" t="b">
        <v>0</v>
      </c>
      <c r="F85" s="25" t="str">
        <f>HYPERLINK("https://www.cardmarket.com/en/Pokemon/Products/Singles?idCategory=1&amp;idProduct=sv4-102", "CM")</f>
        <v>CM</v>
      </c>
      <c r="G85" s="23" t="b">
        <v>0</v>
      </c>
      <c r="H85" s="24" t="b">
        <v>0</v>
      </c>
      <c r="I85" s="25" t="str">
        <f>HYPERLINK("https://www.cardmarket.com/en/Pokemon/Products/Singles?idCategory=1&amp;idProduct=sv4-103", "CM")</f>
        <v>CM</v>
      </c>
      <c r="J85" s="23" t="b">
        <v>0</v>
      </c>
      <c r="K85" s="24" t="b">
        <v>0</v>
      </c>
      <c r="L85" s="25" t="str">
        <f>HYPERLINK("https://www.cardmarket.com/en/Pokemon/Products/Singles?idCategory=1&amp;idProduct=sv4-104", "CM")</f>
        <v>CM</v>
      </c>
      <c r="M85" s="23" t="b">
        <v>0</v>
      </c>
      <c r="N85" s="24" t="b">
        <v>0</v>
      </c>
      <c r="O85" s="25" t="str">
        <f>HYPERLINK("https://www.cardmarket.com/en/Pokemon/Products/Singles?idCategory=1&amp;idProduct=sv4-105", "CM")</f>
        <v>CM</v>
      </c>
    </row>
    <row r="86" ht="7.5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</row>
    <row r="87" ht="18.75" customHeight="1">
      <c r="A87" s="18" t="s">
        <v>638</v>
      </c>
      <c r="B87" s="19" t="s">
        <v>1233</v>
      </c>
      <c r="C87" s="20"/>
      <c r="D87" s="18" t="s">
        <v>640</v>
      </c>
      <c r="E87" s="19" t="s">
        <v>1657</v>
      </c>
      <c r="F87" s="20"/>
      <c r="G87" s="18" t="s">
        <v>642</v>
      </c>
      <c r="H87" s="19" t="s">
        <v>1658</v>
      </c>
      <c r="I87" s="20"/>
      <c r="J87" s="18" t="s">
        <v>643</v>
      </c>
      <c r="K87" s="19" t="s">
        <v>1659</v>
      </c>
      <c r="L87" s="20"/>
      <c r="M87" s="18" t="s">
        <v>645</v>
      </c>
      <c r="N87" s="19" t="s">
        <v>1506</v>
      </c>
      <c r="O87" s="20"/>
    </row>
    <row r="88" ht="180.0" customHeight="1">
      <c r="A88" s="21" t="str">
        <f>IMAGE("https://assets.tcgdex.net/de/sv/sv04/106/low.jpg", 1)</f>
        <v/>
      </c>
      <c r="B88" s="22"/>
      <c r="C88" s="20"/>
      <c r="D88" s="21" t="str">
        <f>IMAGE("https://assets.tcgdex.net/de/sv/sv04/107/low.jpg", 1)</f>
        <v/>
      </c>
      <c r="E88" s="22"/>
      <c r="F88" s="20"/>
      <c r="G88" s="21" t="str">
        <f>IMAGE("https://assets.tcgdex.net/de/sv/sv04/108/low.jpg", 1)</f>
        <v/>
      </c>
      <c r="H88" s="22"/>
      <c r="I88" s="20"/>
      <c r="J88" s="21" t="str">
        <f>IMAGE("https://assets.tcgdex.net/de/sv/sv04/109/low.jpg", 1)</f>
        <v/>
      </c>
      <c r="K88" s="22"/>
      <c r="L88" s="20"/>
      <c r="M88" s="21" t="str">
        <f>IMAGE("https://assets.tcgdex.net/de/sv/sv04/110/low.jpg", 1)</f>
        <v/>
      </c>
      <c r="N88" s="22"/>
      <c r="O88" s="20"/>
    </row>
    <row r="89" ht="22.5" customHeight="1">
      <c r="A89" s="23" t="b">
        <v>0</v>
      </c>
      <c r="B89" s="24" t="b">
        <v>0</v>
      </c>
      <c r="C89" s="25" t="str">
        <f>HYPERLINK("https://www.cardmarket.com/en/Pokemon/Products/Singles?idCategory=1&amp;idProduct=sv4-106", "CM")</f>
        <v>CM</v>
      </c>
      <c r="D89" s="23" t="b">
        <v>0</v>
      </c>
      <c r="E89" s="24" t="b">
        <v>0</v>
      </c>
      <c r="F89" s="25" t="str">
        <f>HYPERLINK("https://www.cardmarket.com/en/Pokemon/Products/Singles?idCategory=1&amp;idProduct=sv4-107", "CM")</f>
        <v>CM</v>
      </c>
      <c r="G89" s="23" t="b">
        <v>0</v>
      </c>
      <c r="H89" s="24" t="b">
        <v>0</v>
      </c>
      <c r="I89" s="25" t="str">
        <f>HYPERLINK("https://www.cardmarket.com/en/Pokemon/Products/Singles?idCategory=1&amp;idProduct=sv4-108", "CM")</f>
        <v>CM</v>
      </c>
      <c r="J89" s="23" t="b">
        <v>0</v>
      </c>
      <c r="K89" s="24" t="b">
        <v>0</v>
      </c>
      <c r="L89" s="25" t="str">
        <f>HYPERLINK("https://www.cardmarket.com/en/Pokemon/Products/Singles?idCategory=1&amp;idProduct=sv4-109", "CM")</f>
        <v>CM</v>
      </c>
      <c r="M89" s="23" t="b">
        <v>0</v>
      </c>
      <c r="N89" s="24" t="b">
        <v>0</v>
      </c>
      <c r="O89" s="25" t="str">
        <f>HYPERLINK("https://www.cardmarket.com/en/Pokemon/Products/Singles?idCategory=1&amp;idProduct=sv4-110", "CM")</f>
        <v>CM</v>
      </c>
    </row>
    <row r="90" ht="7.5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</row>
    <row r="91" ht="18.75" customHeight="1">
      <c r="A91" s="18" t="s">
        <v>647</v>
      </c>
      <c r="B91" s="19" t="s">
        <v>1507</v>
      </c>
      <c r="C91" s="20"/>
      <c r="D91" s="18" t="s">
        <v>649</v>
      </c>
      <c r="E91" s="19" t="s">
        <v>1660</v>
      </c>
      <c r="F91" s="20"/>
      <c r="G91" s="18" t="s">
        <v>651</v>
      </c>
      <c r="H91" s="19" t="s">
        <v>1003</v>
      </c>
      <c r="I91" s="20"/>
      <c r="J91" s="18" t="s">
        <v>823</v>
      </c>
      <c r="K91" s="19" t="s">
        <v>1004</v>
      </c>
      <c r="L91" s="20"/>
      <c r="M91" s="18" t="s">
        <v>653</v>
      </c>
      <c r="N91" s="19" t="s">
        <v>1005</v>
      </c>
      <c r="O91" s="20"/>
    </row>
    <row r="92" ht="180.0" customHeight="1">
      <c r="A92" s="21" t="str">
        <f>IMAGE("https://assets.tcgdex.net/de/sv/sv04/111/low.jpg", 1)</f>
        <v/>
      </c>
      <c r="B92" s="22"/>
      <c r="C92" s="20"/>
      <c r="D92" s="21" t="str">
        <f>IMAGE("https://assets.tcgdex.net/de/sv/sv04/112/low.jpg", 1)</f>
        <v/>
      </c>
      <c r="E92" s="22"/>
      <c r="F92" s="20"/>
      <c r="G92" s="21" t="str">
        <f>IMAGE("https://assets.tcgdex.net/de/sv/sv04/113/low.jpg", 1)</f>
        <v/>
      </c>
      <c r="H92" s="22"/>
      <c r="I92" s="20"/>
      <c r="J92" s="21" t="str">
        <f>IMAGE("https://assets.tcgdex.net/de/sv/sv04/114/low.jpg", 1)</f>
        <v/>
      </c>
      <c r="K92" s="22"/>
      <c r="L92" s="20"/>
      <c r="M92" s="21" t="str">
        <f>IMAGE("https://assets.tcgdex.net/de/sv/sv04/115/low.jpg", 1)</f>
        <v/>
      </c>
      <c r="N92" s="22"/>
      <c r="O92" s="20"/>
    </row>
    <row r="93" ht="22.5" customHeight="1">
      <c r="A93" s="23" t="b">
        <v>0</v>
      </c>
      <c r="B93" s="24" t="b">
        <v>0</v>
      </c>
      <c r="C93" s="25" t="str">
        <f>HYPERLINK("https://www.cardmarket.com/en/Pokemon/Products/Singles?idCategory=1&amp;idProduct=sv4-111", "CM")</f>
        <v>CM</v>
      </c>
      <c r="D93" s="23" t="b">
        <v>0</v>
      </c>
      <c r="E93" s="24" t="b">
        <v>0</v>
      </c>
      <c r="F93" s="25" t="str">
        <f>HYPERLINK("https://www.cardmarket.com/en/Pokemon/Products/Singles?idCategory=1&amp;idProduct=sv4-112", "CM")</f>
        <v>CM</v>
      </c>
      <c r="G93" s="23" t="b">
        <v>0</v>
      </c>
      <c r="H93" s="24" t="b">
        <v>0</v>
      </c>
      <c r="I93" s="25" t="str">
        <f>HYPERLINK("https://www.cardmarket.com/en/Pokemon/Products/Singles?idCategory=1&amp;idProduct=sv4-113", "CM")</f>
        <v>CM</v>
      </c>
      <c r="J93" s="23" t="b">
        <v>0</v>
      </c>
      <c r="K93" s="24" t="b">
        <v>0</v>
      </c>
      <c r="L93" s="25" t="str">
        <f>HYPERLINK("https://www.cardmarket.com/en/Pokemon/Products/Singles?idCategory=1&amp;idProduct=sv4-114", "CM")</f>
        <v>CM</v>
      </c>
      <c r="M93" s="23" t="b">
        <v>0</v>
      </c>
      <c r="N93" s="24" t="b">
        <v>0</v>
      </c>
      <c r="O93" s="25" t="str">
        <f>HYPERLINK("https://www.cardmarket.com/en/Pokemon/Products/Singles?idCategory=1&amp;idProduct=sv4-115", "CM")</f>
        <v>CM</v>
      </c>
    </row>
    <row r="94" ht="7.5" customHeigh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</row>
    <row r="95" ht="18.75" customHeight="1">
      <c r="A95" s="18" t="s">
        <v>825</v>
      </c>
      <c r="B95" s="19" t="s">
        <v>1661</v>
      </c>
      <c r="C95" s="20"/>
      <c r="D95" s="18" t="s">
        <v>655</v>
      </c>
      <c r="E95" s="19" t="s">
        <v>1662</v>
      </c>
      <c r="F95" s="20"/>
      <c r="G95" s="18" t="s">
        <v>827</v>
      </c>
      <c r="H95" s="19" t="s">
        <v>1663</v>
      </c>
      <c r="I95" s="20"/>
      <c r="J95" s="18" t="s">
        <v>657</v>
      </c>
      <c r="K95" s="19" t="s">
        <v>1664</v>
      </c>
      <c r="L95" s="20"/>
      <c r="M95" s="18" t="s">
        <v>659</v>
      </c>
      <c r="N95" s="19" t="s">
        <v>1665</v>
      </c>
      <c r="O95" s="20"/>
    </row>
    <row r="96" ht="180.0" customHeight="1">
      <c r="A96" s="21" t="str">
        <f>IMAGE("https://assets.tcgdex.net/de/sv/sv04/116/low.jpg", 1)</f>
        <v/>
      </c>
      <c r="B96" s="22"/>
      <c r="C96" s="20"/>
      <c r="D96" s="21" t="str">
        <f>IMAGE("https://assets.tcgdex.net/de/sv/sv04/117/low.jpg", 1)</f>
        <v/>
      </c>
      <c r="E96" s="22"/>
      <c r="F96" s="20"/>
      <c r="G96" s="21" t="str">
        <f>IMAGE("https://assets.tcgdex.net/de/sv/sv04/118/low.jpg", 1)</f>
        <v/>
      </c>
      <c r="H96" s="22"/>
      <c r="I96" s="20"/>
      <c r="J96" s="21" t="str">
        <f>IMAGE("https://assets.tcgdex.net/de/sv/sv04/119/low.jpg", 1)</f>
        <v/>
      </c>
      <c r="K96" s="22"/>
      <c r="L96" s="20"/>
      <c r="M96" s="21" t="str">
        <f>IMAGE("https://assets.tcgdex.net/de/sv/sv04/120/low.jpg", 1)</f>
        <v/>
      </c>
      <c r="N96" s="22"/>
      <c r="O96" s="20"/>
    </row>
    <row r="97" ht="22.5" customHeight="1">
      <c r="A97" s="23" t="b">
        <v>0</v>
      </c>
      <c r="B97" s="24" t="b">
        <v>0</v>
      </c>
      <c r="C97" s="25" t="str">
        <f>HYPERLINK("https://www.cardmarket.com/en/Pokemon/Products/Singles?idCategory=1&amp;idProduct=sv4-116", "CM")</f>
        <v>CM</v>
      </c>
      <c r="D97" s="23" t="b">
        <v>0</v>
      </c>
      <c r="E97" s="24" t="b">
        <v>0</v>
      </c>
      <c r="F97" s="25" t="str">
        <f>HYPERLINK("https://www.cardmarket.com/en/Pokemon/Products/Singles?idCategory=1&amp;idProduct=sv4-117", "CM")</f>
        <v>CM</v>
      </c>
      <c r="G97" s="23" t="b">
        <v>0</v>
      </c>
      <c r="H97" s="24" t="b">
        <v>0</v>
      </c>
      <c r="I97" s="25" t="str">
        <f>HYPERLINK("https://www.cardmarket.com/en/Pokemon/Products/Singles?idCategory=1&amp;idProduct=sv4-118", "CM")</f>
        <v>CM</v>
      </c>
      <c r="J97" s="23" t="b">
        <v>0</v>
      </c>
      <c r="K97" s="24" t="b">
        <v>0</v>
      </c>
      <c r="L97" s="25" t="str">
        <f>HYPERLINK("https://www.cardmarket.com/en/Pokemon/Products/Singles?idCategory=1&amp;idProduct=sv4-119", "CM")</f>
        <v>CM</v>
      </c>
      <c r="M97" s="23" t="b">
        <v>0</v>
      </c>
      <c r="N97" s="24" t="b">
        <v>0</v>
      </c>
      <c r="O97" s="25" t="str">
        <f>HYPERLINK("https://www.cardmarket.com/en/Pokemon/Products/Singles?idCategory=1&amp;idProduct=sv4-120", "CM")</f>
        <v>CM</v>
      </c>
    </row>
    <row r="98" ht="7.5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</row>
    <row r="99" ht="18.75" customHeight="1">
      <c r="A99" s="18" t="s">
        <v>829</v>
      </c>
      <c r="B99" s="19" t="s">
        <v>1666</v>
      </c>
      <c r="C99" s="20"/>
      <c r="D99" s="18" t="s">
        <v>830</v>
      </c>
      <c r="E99" s="19" t="s">
        <v>1667</v>
      </c>
      <c r="F99" s="20"/>
      <c r="G99" s="18" t="s">
        <v>831</v>
      </c>
      <c r="H99" s="19" t="s">
        <v>1668</v>
      </c>
      <c r="I99" s="20"/>
      <c r="J99" s="18" t="s">
        <v>833</v>
      </c>
      <c r="K99" s="19" t="s">
        <v>792</v>
      </c>
      <c r="L99" s="20"/>
      <c r="M99" s="18" t="s">
        <v>661</v>
      </c>
      <c r="N99" s="19" t="s">
        <v>1669</v>
      </c>
      <c r="O99" s="20"/>
    </row>
    <row r="100" ht="180.0" customHeight="1">
      <c r="A100" s="21" t="str">
        <f>IMAGE("https://assets.tcgdex.net/de/sv/sv04/121/low.jpg", 1)</f>
        <v/>
      </c>
      <c r="B100" s="22"/>
      <c r="C100" s="20"/>
      <c r="D100" s="21" t="str">
        <f>IMAGE("https://assets.tcgdex.net/de/sv/sv04/122/low.jpg", 1)</f>
        <v/>
      </c>
      <c r="E100" s="22"/>
      <c r="F100" s="20"/>
      <c r="G100" s="21" t="str">
        <f>IMAGE("https://assets.tcgdex.net/de/sv/sv04/123/low.jpg", 1)</f>
        <v/>
      </c>
      <c r="H100" s="22"/>
      <c r="I100" s="20"/>
      <c r="J100" s="21" t="str">
        <f>IMAGE("https://assets.tcgdex.net/de/sv/sv04/124/low.jpg", 1)</f>
        <v/>
      </c>
      <c r="K100" s="22"/>
      <c r="L100" s="20"/>
      <c r="M100" s="21" t="str">
        <f>IMAGE("https://assets.tcgdex.net/de/sv/sv04/125/low.jpg", 1)</f>
        <v/>
      </c>
      <c r="N100" s="22"/>
      <c r="O100" s="20"/>
    </row>
    <row r="101" ht="22.5" customHeight="1">
      <c r="A101" s="23" t="b">
        <v>0</v>
      </c>
      <c r="B101" s="24" t="b">
        <v>0</v>
      </c>
      <c r="C101" s="25" t="str">
        <f>HYPERLINK("https://www.cardmarket.com/en/Pokemon/Products/Singles?idCategory=1&amp;idProduct=sv4-121", "CM")</f>
        <v>CM</v>
      </c>
      <c r="D101" s="23" t="b">
        <v>0</v>
      </c>
      <c r="E101" s="24" t="b">
        <v>0</v>
      </c>
      <c r="F101" s="25" t="str">
        <f>HYPERLINK("https://www.cardmarket.com/en/Pokemon/Products/Singles?idCategory=1&amp;idProduct=sv4-122", "CM")</f>
        <v>CM</v>
      </c>
      <c r="G101" s="23" t="b">
        <v>0</v>
      </c>
      <c r="H101" s="24" t="b">
        <v>0</v>
      </c>
      <c r="I101" s="25" t="str">
        <f>HYPERLINK("https://www.cardmarket.com/en/Pokemon/Products/Singles?idCategory=1&amp;idProduct=sv4-123", "CM")</f>
        <v>CM</v>
      </c>
      <c r="J101" s="23" t="b">
        <v>0</v>
      </c>
      <c r="K101" s="24" t="b">
        <v>0</v>
      </c>
      <c r="L101" s="25" t="str">
        <f>HYPERLINK("https://www.cardmarket.com/en/Pokemon/Products/Singles?idCategory=1&amp;idProduct=sv4-124", "CM")</f>
        <v>CM</v>
      </c>
      <c r="M101" s="23" t="b">
        <v>0</v>
      </c>
      <c r="N101" s="24" t="b">
        <v>0</v>
      </c>
      <c r="O101" s="25" t="str">
        <f>HYPERLINK("https://www.cardmarket.com/en/Pokemon/Products/Singles?idCategory=1&amp;idProduct=sv4-125", "CM")</f>
        <v>CM</v>
      </c>
    </row>
    <row r="102" ht="7.5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</row>
    <row r="103" ht="18.75" customHeight="1">
      <c r="A103" s="18" t="s">
        <v>835</v>
      </c>
      <c r="B103" s="19" t="s">
        <v>1670</v>
      </c>
      <c r="C103" s="20"/>
      <c r="D103" s="18" t="s">
        <v>662</v>
      </c>
      <c r="E103" s="19" t="s">
        <v>1671</v>
      </c>
      <c r="F103" s="20"/>
      <c r="G103" s="18" t="s">
        <v>837</v>
      </c>
      <c r="H103" s="19" t="s">
        <v>1672</v>
      </c>
      <c r="I103" s="20"/>
      <c r="J103" s="18" t="s">
        <v>839</v>
      </c>
      <c r="K103" s="19" t="s">
        <v>1673</v>
      </c>
      <c r="L103" s="20"/>
      <c r="M103" s="18" t="s">
        <v>841</v>
      </c>
      <c r="N103" s="19" t="s">
        <v>1674</v>
      </c>
      <c r="O103" s="20"/>
    </row>
    <row r="104" ht="180.0" customHeight="1">
      <c r="A104" s="21" t="str">
        <f>IMAGE("https://assets.tcgdex.net/de/sv/sv04/126/low.jpg", 1)</f>
        <v/>
      </c>
      <c r="B104" s="22"/>
      <c r="C104" s="20"/>
      <c r="D104" s="21" t="str">
        <f>IMAGE("https://assets.tcgdex.net/de/sv/sv04/127/low.jpg", 1)</f>
        <v/>
      </c>
      <c r="E104" s="22"/>
      <c r="F104" s="20"/>
      <c r="G104" s="21" t="str">
        <f>IMAGE("https://assets.tcgdex.net/de/sv/sv04/128/low.jpg", 1)</f>
        <v/>
      </c>
      <c r="H104" s="22"/>
      <c r="I104" s="20"/>
      <c r="J104" s="21" t="str">
        <f>IMAGE("https://assets.tcgdex.net/de/sv/sv04/129/low.jpg", 1)</f>
        <v/>
      </c>
      <c r="K104" s="22"/>
      <c r="L104" s="20"/>
      <c r="M104" s="21" t="str">
        <f>IMAGE("https://assets.tcgdex.net/de/sv/sv04/130/low.jpg", 1)</f>
        <v/>
      </c>
      <c r="N104" s="22"/>
      <c r="O104" s="20"/>
    </row>
    <row r="105" ht="22.5" customHeight="1">
      <c r="A105" s="23" t="b">
        <v>0</v>
      </c>
      <c r="B105" s="24" t="b">
        <v>0</v>
      </c>
      <c r="C105" s="25" t="str">
        <f>HYPERLINK("https://www.cardmarket.com/en/Pokemon/Products/Singles?idCategory=1&amp;idProduct=sv4-126", "CM")</f>
        <v>CM</v>
      </c>
      <c r="D105" s="23" t="b">
        <v>0</v>
      </c>
      <c r="E105" s="24" t="b">
        <v>0</v>
      </c>
      <c r="F105" s="25" t="str">
        <f>HYPERLINK("https://www.cardmarket.com/en/Pokemon/Products/Singles?idCategory=1&amp;idProduct=sv4-127", "CM")</f>
        <v>CM</v>
      </c>
      <c r="G105" s="23" t="b">
        <v>0</v>
      </c>
      <c r="H105" s="24" t="b">
        <v>0</v>
      </c>
      <c r="I105" s="25" t="str">
        <f>HYPERLINK("https://www.cardmarket.com/en/Pokemon/Products/Singles?idCategory=1&amp;idProduct=sv4-128", "CM")</f>
        <v>CM</v>
      </c>
      <c r="J105" s="23" t="b">
        <v>0</v>
      </c>
      <c r="K105" s="24" t="b">
        <v>0</v>
      </c>
      <c r="L105" s="25" t="str">
        <f>HYPERLINK("https://www.cardmarket.com/en/Pokemon/Products/Singles?idCategory=1&amp;idProduct=sv4-129", "CM")</f>
        <v>CM</v>
      </c>
      <c r="M105" s="23" t="b">
        <v>0</v>
      </c>
      <c r="N105" s="24" t="b">
        <v>0</v>
      </c>
      <c r="O105" s="25" t="str">
        <f>HYPERLINK("https://www.cardmarket.com/en/Pokemon/Products/Singles?idCategory=1&amp;idProduct=sv4-130", "CM")</f>
        <v>CM</v>
      </c>
    </row>
    <row r="106" ht="7.5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</row>
    <row r="107" ht="18.75" customHeight="1">
      <c r="A107" s="18" t="s">
        <v>842</v>
      </c>
      <c r="B107" s="19" t="s">
        <v>1674</v>
      </c>
      <c r="C107" s="20"/>
      <c r="D107" s="18" t="s">
        <v>844</v>
      </c>
      <c r="E107" s="19" t="s">
        <v>1675</v>
      </c>
      <c r="F107" s="20"/>
      <c r="G107" s="18" t="s">
        <v>664</v>
      </c>
      <c r="H107" s="19" t="s">
        <v>1675</v>
      </c>
      <c r="I107" s="20"/>
      <c r="J107" s="18" t="s">
        <v>666</v>
      </c>
      <c r="K107" s="19" t="s">
        <v>594</v>
      </c>
      <c r="L107" s="20"/>
      <c r="M107" s="18" t="s">
        <v>845</v>
      </c>
      <c r="N107" s="19" t="s">
        <v>1676</v>
      </c>
      <c r="O107" s="20"/>
    </row>
    <row r="108" ht="180.0" customHeight="1">
      <c r="A108" s="21" t="str">
        <f>IMAGE("https://assets.tcgdex.net/de/sv/sv04/131/low.jpg", 1)</f>
        <v/>
      </c>
      <c r="B108" s="22"/>
      <c r="C108" s="20"/>
      <c r="D108" s="21" t="str">
        <f>IMAGE("https://assets.tcgdex.net/de/sv/sv04/132/low.jpg", 1)</f>
        <v/>
      </c>
      <c r="E108" s="22"/>
      <c r="F108" s="20"/>
      <c r="G108" s="21" t="str">
        <f>IMAGE("https://assets.tcgdex.net/de/sv/sv04/133/low.jpg", 1)</f>
        <v/>
      </c>
      <c r="H108" s="22"/>
      <c r="I108" s="20"/>
      <c r="J108" s="21" t="str">
        <f>IMAGE("https://assets.tcgdex.net/de/sv/sv04/134/low.jpg", 1)</f>
        <v/>
      </c>
      <c r="K108" s="22"/>
      <c r="L108" s="20"/>
      <c r="M108" s="21" t="str">
        <f>IMAGE("https://assets.tcgdex.net/de/sv/sv04/135/low.jpg", 1)</f>
        <v/>
      </c>
      <c r="N108" s="22"/>
      <c r="O108" s="20"/>
    </row>
    <row r="109" ht="22.5" customHeight="1">
      <c r="A109" s="23" t="b">
        <v>0</v>
      </c>
      <c r="B109" s="24" t="b">
        <v>0</v>
      </c>
      <c r="C109" s="25" t="str">
        <f>HYPERLINK("https://www.cardmarket.com/en/Pokemon/Products/Singles?idCategory=1&amp;idProduct=sv4-131", "CM")</f>
        <v>CM</v>
      </c>
      <c r="D109" s="23" t="b">
        <v>0</v>
      </c>
      <c r="E109" s="24" t="b">
        <v>0</v>
      </c>
      <c r="F109" s="25" t="str">
        <f>HYPERLINK("https://www.cardmarket.com/en/Pokemon/Products/Singles?idCategory=1&amp;idProduct=sv4-132", "CM")</f>
        <v>CM</v>
      </c>
      <c r="G109" s="23" t="b">
        <v>0</v>
      </c>
      <c r="H109" s="24" t="b">
        <v>0</v>
      </c>
      <c r="I109" s="25" t="str">
        <f>HYPERLINK("https://www.cardmarket.com/en/Pokemon/Products/Singles?idCategory=1&amp;idProduct=sv4-133", "CM")</f>
        <v>CM</v>
      </c>
      <c r="J109" s="23" t="b">
        <v>0</v>
      </c>
      <c r="K109" s="24" t="b">
        <v>0</v>
      </c>
      <c r="L109" s="25" t="str">
        <f>HYPERLINK("https://www.cardmarket.com/en/Pokemon/Products/Singles?idCategory=1&amp;idProduct=sv4-134", "CM")</f>
        <v>CM</v>
      </c>
      <c r="M109" s="23" t="b">
        <v>0</v>
      </c>
      <c r="N109" s="24" t="b">
        <v>0</v>
      </c>
      <c r="O109" s="25" t="str">
        <f>HYPERLINK("https://www.cardmarket.com/en/Pokemon/Products/Singles?idCategory=1&amp;idProduct=sv4-135", "CM")</f>
        <v>CM</v>
      </c>
    </row>
    <row r="110" ht="7.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</row>
    <row r="111" ht="18.75" customHeight="1">
      <c r="A111" s="18" t="s">
        <v>668</v>
      </c>
      <c r="B111" s="19" t="s">
        <v>939</v>
      </c>
      <c r="C111" s="20"/>
      <c r="D111" s="18" t="s">
        <v>670</v>
      </c>
      <c r="E111" s="19" t="s">
        <v>564</v>
      </c>
      <c r="F111" s="20"/>
      <c r="G111" s="18" t="s">
        <v>672</v>
      </c>
      <c r="H111" s="19" t="s">
        <v>1677</v>
      </c>
      <c r="I111" s="20"/>
      <c r="J111" s="18" t="s">
        <v>674</v>
      </c>
      <c r="K111" s="19" t="s">
        <v>1678</v>
      </c>
      <c r="L111" s="20"/>
      <c r="M111" s="18" t="s">
        <v>847</v>
      </c>
      <c r="N111" s="19" t="s">
        <v>1679</v>
      </c>
      <c r="O111" s="20"/>
    </row>
    <row r="112" ht="180.0" customHeight="1">
      <c r="A112" s="21" t="str">
        <f>IMAGE("https://assets.tcgdex.net/de/sv/sv04/136/low.jpg", 1)</f>
        <v/>
      </c>
      <c r="B112" s="22"/>
      <c r="C112" s="20"/>
      <c r="D112" s="21" t="str">
        <f>IMAGE("https://assets.tcgdex.net/de/sv/sv04/137/low.jpg", 1)</f>
        <v/>
      </c>
      <c r="E112" s="22"/>
      <c r="F112" s="20"/>
      <c r="G112" s="21" t="str">
        <f>IMAGE("https://assets.tcgdex.net/de/sv/sv04/138/low.jpg", 1)</f>
        <v/>
      </c>
      <c r="H112" s="22"/>
      <c r="I112" s="20"/>
      <c r="J112" s="21" t="str">
        <f>IMAGE("https://assets.tcgdex.net/de/sv/sv04/139/low.jpg", 1)</f>
        <v/>
      </c>
      <c r="K112" s="22"/>
      <c r="L112" s="20"/>
      <c r="M112" s="21" t="str">
        <f>IMAGE("https://assets.tcgdex.net/de/sv/sv04/140/low.jpg", 1)</f>
        <v/>
      </c>
      <c r="N112" s="22"/>
      <c r="O112" s="20"/>
    </row>
    <row r="113" ht="22.5" customHeight="1">
      <c r="A113" s="23" t="b">
        <v>0</v>
      </c>
      <c r="B113" s="24" t="b">
        <v>0</v>
      </c>
      <c r="C113" s="25" t="str">
        <f>HYPERLINK("https://www.cardmarket.com/en/Pokemon/Products/Singles?idCategory=1&amp;idProduct=sv4-136", "CM")</f>
        <v>CM</v>
      </c>
      <c r="D113" s="23" t="b">
        <v>0</v>
      </c>
      <c r="E113" s="24" t="b">
        <v>0</v>
      </c>
      <c r="F113" s="25" t="str">
        <f>HYPERLINK("https://www.cardmarket.com/en/Pokemon/Products/Singles?idCategory=1&amp;idProduct=sv4-137", "CM")</f>
        <v>CM</v>
      </c>
      <c r="G113" s="23" t="b">
        <v>0</v>
      </c>
      <c r="H113" s="24" t="b">
        <v>0</v>
      </c>
      <c r="I113" s="25" t="str">
        <f>HYPERLINK("https://www.cardmarket.com/en/Pokemon/Products/Singles?idCategory=1&amp;idProduct=sv4-138", "CM")</f>
        <v>CM</v>
      </c>
      <c r="J113" s="23" t="b">
        <v>0</v>
      </c>
      <c r="K113" s="24" t="b">
        <v>0</v>
      </c>
      <c r="L113" s="25" t="str">
        <f>HYPERLINK("https://www.cardmarket.com/en/Pokemon/Products/Singles?idCategory=1&amp;idProduct=sv4-139", "CM")</f>
        <v>CM</v>
      </c>
      <c r="M113" s="23" t="b">
        <v>0</v>
      </c>
      <c r="N113" s="24" t="b">
        <v>0</v>
      </c>
      <c r="O113" s="25" t="str">
        <f>HYPERLINK("https://www.cardmarket.com/en/Pokemon/Products/Singles?idCategory=1&amp;idProduct=sv4-140", "CM")</f>
        <v>CM</v>
      </c>
    </row>
    <row r="114" ht="7.5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</row>
    <row r="115" ht="18.75" customHeight="1">
      <c r="A115" s="18" t="s">
        <v>848</v>
      </c>
      <c r="B115" s="19" t="s">
        <v>828</v>
      </c>
      <c r="C115" s="20"/>
      <c r="D115" s="18" t="s">
        <v>676</v>
      </c>
      <c r="E115" s="19" t="s">
        <v>1566</v>
      </c>
      <c r="F115" s="20"/>
      <c r="G115" s="18" t="s">
        <v>678</v>
      </c>
      <c r="H115" s="19" t="s">
        <v>673</v>
      </c>
      <c r="I115" s="20"/>
      <c r="J115" s="18" t="s">
        <v>679</v>
      </c>
      <c r="K115" s="19" t="s">
        <v>1680</v>
      </c>
      <c r="L115" s="20"/>
      <c r="M115" s="18" t="s">
        <v>850</v>
      </c>
      <c r="N115" s="19" t="s">
        <v>1681</v>
      </c>
      <c r="O115" s="20"/>
    </row>
    <row r="116" ht="180.0" customHeight="1">
      <c r="A116" s="21" t="str">
        <f>IMAGE("https://assets.tcgdex.net/de/sv/sv04/141/low.jpg", 1)</f>
        <v/>
      </c>
      <c r="B116" s="22"/>
      <c r="C116" s="20"/>
      <c r="D116" s="21" t="str">
        <f>IMAGE("https://assets.tcgdex.net/de/sv/sv04/142/low.jpg", 1)</f>
        <v/>
      </c>
      <c r="E116" s="22"/>
      <c r="F116" s="20"/>
      <c r="G116" s="21" t="str">
        <f>IMAGE("https://assets.tcgdex.net/de/sv/sv04/143/low.jpg", 1)</f>
        <v/>
      </c>
      <c r="H116" s="22"/>
      <c r="I116" s="20"/>
      <c r="J116" s="21" t="str">
        <f>IMAGE("https://assets.tcgdex.net/de/sv/sv04/144/low.jpg", 1)</f>
        <v/>
      </c>
      <c r="K116" s="22"/>
      <c r="L116" s="20"/>
      <c r="M116" s="21" t="str">
        <f>IMAGE("https://assets.tcgdex.net/de/sv/sv04/145/low.jpg", 1)</f>
        <v/>
      </c>
      <c r="N116" s="22"/>
      <c r="O116" s="20"/>
    </row>
    <row r="117" ht="22.5" customHeight="1">
      <c r="A117" s="23" t="b">
        <v>0</v>
      </c>
      <c r="B117" s="24" t="b">
        <v>0</v>
      </c>
      <c r="C117" s="25" t="str">
        <f>HYPERLINK("https://www.cardmarket.com/en/Pokemon/Products/Singles?idCategory=1&amp;idProduct=sv4-141", "CM")</f>
        <v>CM</v>
      </c>
      <c r="D117" s="23" t="b">
        <v>0</v>
      </c>
      <c r="E117" s="24" t="b">
        <v>0</v>
      </c>
      <c r="F117" s="25" t="str">
        <f>HYPERLINK("https://www.cardmarket.com/en/Pokemon/Products/Singles?idCategory=1&amp;idProduct=sv4-142", "CM")</f>
        <v>CM</v>
      </c>
      <c r="G117" s="23" t="b">
        <v>0</v>
      </c>
      <c r="H117" s="24" t="b">
        <v>0</v>
      </c>
      <c r="I117" s="25" t="str">
        <f>HYPERLINK("https://www.cardmarket.com/en/Pokemon/Products/Singles?idCategory=1&amp;idProduct=sv4-143", "CM")</f>
        <v>CM</v>
      </c>
      <c r="J117" s="23" t="b">
        <v>0</v>
      </c>
      <c r="K117" s="24" t="b">
        <v>0</v>
      </c>
      <c r="L117" s="25" t="str">
        <f>HYPERLINK("https://www.cardmarket.com/en/Pokemon/Products/Singles?idCategory=1&amp;idProduct=sv4-144", "CM")</f>
        <v>CM</v>
      </c>
      <c r="M117" s="23" t="b">
        <v>0</v>
      </c>
      <c r="N117" s="24" t="b">
        <v>0</v>
      </c>
      <c r="O117" s="25" t="str">
        <f>HYPERLINK("https://www.cardmarket.com/en/Pokemon/Products/Singles?idCategory=1&amp;idProduct=sv4-145", "CM")</f>
        <v>CM</v>
      </c>
    </row>
    <row r="118" ht="7.5" customHeigh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</row>
    <row r="119" ht="18.75" customHeight="1">
      <c r="A119" s="18" t="s">
        <v>681</v>
      </c>
      <c r="B119" s="19" t="s">
        <v>1682</v>
      </c>
      <c r="C119" s="20"/>
      <c r="D119" s="18" t="s">
        <v>683</v>
      </c>
      <c r="E119" s="19" t="s">
        <v>1107</v>
      </c>
      <c r="F119" s="20"/>
      <c r="G119" s="18" t="s">
        <v>685</v>
      </c>
      <c r="H119" s="19" t="s">
        <v>1683</v>
      </c>
      <c r="I119" s="20"/>
      <c r="J119" s="18" t="s">
        <v>852</v>
      </c>
      <c r="K119" s="19" t="s">
        <v>1684</v>
      </c>
      <c r="L119" s="20"/>
      <c r="M119" s="18" t="s">
        <v>686</v>
      </c>
      <c r="N119" s="19" t="s">
        <v>1685</v>
      </c>
      <c r="O119" s="20"/>
    </row>
    <row r="120" ht="180.0" customHeight="1">
      <c r="A120" s="21" t="str">
        <f>IMAGE("https://assets.tcgdex.net/de/sv/sv04/146/low.jpg", 1)</f>
        <v/>
      </c>
      <c r="B120" s="22"/>
      <c r="C120" s="20"/>
      <c r="D120" s="21" t="str">
        <f>IMAGE("https://assets.tcgdex.net/de/sv/sv04/147/low.jpg", 1)</f>
        <v/>
      </c>
      <c r="E120" s="22"/>
      <c r="F120" s="20"/>
      <c r="G120" s="21" t="str">
        <f>IMAGE("https://assets.tcgdex.net/de/sv/sv04/148/low.jpg", 1)</f>
        <v/>
      </c>
      <c r="H120" s="22"/>
      <c r="I120" s="20"/>
      <c r="J120" s="21" t="str">
        <f>IMAGE("https://assets.tcgdex.net/de/sv/sv04/149/low.jpg", 1)</f>
        <v/>
      </c>
      <c r="K120" s="22"/>
      <c r="L120" s="20"/>
      <c r="M120" s="21" t="str">
        <f>IMAGE("https://assets.tcgdex.net/de/sv/sv04/150/low.jpg", 1)</f>
        <v/>
      </c>
      <c r="N120" s="22"/>
      <c r="O120" s="20"/>
    </row>
    <row r="121" ht="22.5" customHeight="1">
      <c r="A121" s="23" t="b">
        <v>0</v>
      </c>
      <c r="B121" s="24" t="b">
        <v>0</v>
      </c>
      <c r="C121" s="25" t="str">
        <f>HYPERLINK("https://www.cardmarket.com/en/Pokemon/Products/Singles?idCategory=1&amp;idProduct=sv4-146", "CM")</f>
        <v>CM</v>
      </c>
      <c r="D121" s="23" t="b">
        <v>0</v>
      </c>
      <c r="E121" s="24" t="b">
        <v>0</v>
      </c>
      <c r="F121" s="25" t="str">
        <f>HYPERLINK("https://www.cardmarket.com/en/Pokemon/Products/Singles?idCategory=1&amp;idProduct=sv4-147", "CM")</f>
        <v>CM</v>
      </c>
      <c r="G121" s="23" t="b">
        <v>0</v>
      </c>
      <c r="H121" s="24" t="b">
        <v>0</v>
      </c>
      <c r="I121" s="25" t="str">
        <f>HYPERLINK("https://www.cardmarket.com/en/Pokemon/Products/Singles?idCategory=1&amp;idProduct=sv4-148", "CM")</f>
        <v>CM</v>
      </c>
      <c r="J121" s="23" t="b">
        <v>0</v>
      </c>
      <c r="K121" s="24" t="b">
        <v>0</v>
      </c>
      <c r="L121" s="25" t="str">
        <f>HYPERLINK("https://www.cardmarket.com/en/Pokemon/Products/Singles?idCategory=1&amp;idProduct=sv4-149", "CM")</f>
        <v>CM</v>
      </c>
      <c r="M121" s="23" t="b">
        <v>0</v>
      </c>
      <c r="N121" s="24" t="b">
        <v>0</v>
      </c>
      <c r="O121" s="25" t="str">
        <f>HYPERLINK("https://www.cardmarket.com/en/Pokemon/Products/Singles?idCategory=1&amp;idProduct=sv4-150", "CM")</f>
        <v>CM</v>
      </c>
    </row>
    <row r="122" ht="7.5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</row>
    <row r="123" ht="18.75" customHeight="1">
      <c r="A123" s="18" t="s">
        <v>853</v>
      </c>
      <c r="B123" s="19" t="s">
        <v>1686</v>
      </c>
      <c r="C123" s="20"/>
      <c r="D123" s="18" t="s">
        <v>855</v>
      </c>
      <c r="E123" s="19" t="s">
        <v>1455</v>
      </c>
      <c r="F123" s="20"/>
      <c r="G123" s="18" t="s">
        <v>687</v>
      </c>
      <c r="H123" s="19" t="s">
        <v>1230</v>
      </c>
      <c r="I123" s="20"/>
      <c r="J123" s="18" t="s">
        <v>689</v>
      </c>
      <c r="K123" s="19" t="s">
        <v>1230</v>
      </c>
      <c r="L123" s="20"/>
      <c r="M123" s="18" t="s">
        <v>691</v>
      </c>
      <c r="N123" s="19" t="s">
        <v>1687</v>
      </c>
      <c r="O123" s="20"/>
    </row>
    <row r="124" ht="180.0" customHeight="1">
      <c r="A124" s="21" t="str">
        <f>IMAGE("https://assets.tcgdex.net/de/sv/sv04/151/low.jpg", 1)</f>
        <v/>
      </c>
      <c r="B124" s="22"/>
      <c r="C124" s="20"/>
      <c r="D124" s="21" t="str">
        <f>IMAGE("https://assets.tcgdex.net/de/sv/sv04/152/low.jpg", 1)</f>
        <v/>
      </c>
      <c r="E124" s="22"/>
      <c r="F124" s="20"/>
      <c r="G124" s="21" t="str">
        <f>IMAGE("https://assets.tcgdex.net/de/sv/sv04/153/low.jpg", 1)</f>
        <v/>
      </c>
      <c r="H124" s="22"/>
      <c r="I124" s="20"/>
      <c r="J124" s="21" t="str">
        <f>IMAGE("https://assets.tcgdex.net/de/sv/sv04/154/low.jpg", 1)</f>
        <v/>
      </c>
      <c r="K124" s="22"/>
      <c r="L124" s="20"/>
      <c r="M124" s="21" t="str">
        <f>IMAGE("https://assets.tcgdex.net/de/sv/sv04/155/low.jpg", 1)</f>
        <v/>
      </c>
      <c r="N124" s="22"/>
      <c r="O124" s="20"/>
    </row>
    <row r="125" ht="22.5" customHeight="1">
      <c r="A125" s="23" t="b">
        <v>0</v>
      </c>
      <c r="B125" s="24" t="b">
        <v>0</v>
      </c>
      <c r="C125" s="25" t="str">
        <f>HYPERLINK("https://www.cardmarket.com/en/Pokemon/Products/Singles?idCategory=1&amp;idProduct=sv4-151", "CM")</f>
        <v>CM</v>
      </c>
      <c r="D125" s="23" t="b">
        <v>0</v>
      </c>
      <c r="E125" s="24" t="b">
        <v>0</v>
      </c>
      <c r="F125" s="25" t="str">
        <f>HYPERLINK("https://www.cardmarket.com/en/Pokemon/Products/Singles?idCategory=1&amp;idProduct=sv4-152", "CM")</f>
        <v>CM</v>
      </c>
      <c r="G125" s="23" t="b">
        <v>0</v>
      </c>
      <c r="H125" s="24" t="b">
        <v>0</v>
      </c>
      <c r="I125" s="25" t="str">
        <f>HYPERLINK("https://www.cardmarket.com/en/Pokemon/Products/Singles?idCategory=1&amp;idProduct=sv4-153", "CM")</f>
        <v>CM</v>
      </c>
      <c r="J125" s="23" t="b">
        <v>0</v>
      </c>
      <c r="K125" s="24" t="b">
        <v>0</v>
      </c>
      <c r="L125" s="25" t="str">
        <f>HYPERLINK("https://www.cardmarket.com/en/Pokemon/Products/Singles?idCategory=1&amp;idProduct=sv4-154", "CM")</f>
        <v>CM</v>
      </c>
      <c r="M125" s="23" t="b">
        <v>0</v>
      </c>
      <c r="N125" s="24" t="b">
        <v>0</v>
      </c>
      <c r="O125" s="25" t="str">
        <f>HYPERLINK("https://www.cardmarket.com/en/Pokemon/Products/Singles?idCategory=1&amp;idProduct=sv4-155", "CM")</f>
        <v>CM</v>
      </c>
    </row>
    <row r="126" ht="7.5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</row>
    <row r="127" ht="18.75" customHeight="1">
      <c r="A127" s="18" t="s">
        <v>857</v>
      </c>
      <c r="B127" s="19" t="s">
        <v>1688</v>
      </c>
      <c r="C127" s="20"/>
      <c r="D127" s="18" t="s">
        <v>859</v>
      </c>
      <c r="E127" s="19" t="s">
        <v>814</v>
      </c>
      <c r="F127" s="20"/>
      <c r="G127" s="18" t="s">
        <v>693</v>
      </c>
      <c r="H127" s="19" t="s">
        <v>1689</v>
      </c>
      <c r="I127" s="20"/>
      <c r="J127" s="18" t="s">
        <v>861</v>
      </c>
      <c r="K127" s="19" t="s">
        <v>1690</v>
      </c>
      <c r="L127" s="20"/>
      <c r="M127" s="18" t="s">
        <v>695</v>
      </c>
      <c r="N127" s="19" t="s">
        <v>1691</v>
      </c>
      <c r="O127" s="20"/>
    </row>
    <row r="128" ht="180.0" customHeight="1">
      <c r="A128" s="21" t="str">
        <f>IMAGE("https://assets.tcgdex.net/de/sv/sv04/156/low.jpg", 1)</f>
        <v/>
      </c>
      <c r="B128" s="22"/>
      <c r="C128" s="20"/>
      <c r="D128" s="21" t="str">
        <f>IMAGE("https://assets.tcgdex.net/de/sv/sv04/157/low.jpg", 1)</f>
        <v/>
      </c>
      <c r="E128" s="22"/>
      <c r="F128" s="20"/>
      <c r="G128" s="21" t="str">
        <f>IMAGE("https://assets.tcgdex.net/de/sv/sv04/158/low.jpg", 1)</f>
        <v/>
      </c>
      <c r="H128" s="22"/>
      <c r="I128" s="20"/>
      <c r="J128" s="21" t="str">
        <f>IMAGE("https://assets.tcgdex.net/de/sv/sv04/159/low.jpg", 1)</f>
        <v/>
      </c>
      <c r="K128" s="22"/>
      <c r="L128" s="20"/>
      <c r="M128" s="21" t="str">
        <f>IMAGE("https://assets.tcgdex.net/de/sv/sv04/160/low.jpg", 1)</f>
        <v/>
      </c>
      <c r="N128" s="22"/>
      <c r="O128" s="20"/>
    </row>
    <row r="129" ht="22.5" customHeight="1">
      <c r="A129" s="23" t="b">
        <v>0</v>
      </c>
      <c r="B129" s="24" t="b">
        <v>0</v>
      </c>
      <c r="C129" s="25" t="str">
        <f>HYPERLINK("https://www.cardmarket.com/en/Pokemon/Products/Singles?idCategory=1&amp;idProduct=sv4-156", "CM")</f>
        <v>CM</v>
      </c>
      <c r="D129" s="23" t="b">
        <v>0</v>
      </c>
      <c r="E129" s="24" t="b">
        <v>0</v>
      </c>
      <c r="F129" s="25" t="str">
        <f>HYPERLINK("https://www.cardmarket.com/en/Pokemon/Products/Singles?idCategory=1&amp;idProduct=sv4-157", "CM")</f>
        <v>CM</v>
      </c>
      <c r="G129" s="23" t="b">
        <v>0</v>
      </c>
      <c r="H129" s="24" t="b">
        <v>0</v>
      </c>
      <c r="I129" s="25" t="str">
        <f>HYPERLINK("https://www.cardmarket.com/en/Pokemon/Products/Singles?idCategory=1&amp;idProduct=sv4-158", "CM")</f>
        <v>CM</v>
      </c>
      <c r="J129" s="23" t="b">
        <v>0</v>
      </c>
      <c r="K129" s="24" t="b">
        <v>0</v>
      </c>
      <c r="L129" s="25" t="str">
        <f>HYPERLINK("https://www.cardmarket.com/en/Pokemon/Products/Singles?idCategory=1&amp;idProduct=sv4-159", "CM")</f>
        <v>CM</v>
      </c>
      <c r="M129" s="23" t="b">
        <v>0</v>
      </c>
      <c r="N129" s="24" t="b">
        <v>0</v>
      </c>
      <c r="O129" s="25" t="str">
        <f>HYPERLINK("https://www.cardmarket.com/en/Pokemon/Products/Singles?idCategory=1&amp;idProduct=sv4-160", "CM")</f>
        <v>CM</v>
      </c>
    </row>
    <row r="130" ht="7.5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</row>
    <row r="131" ht="18.75" customHeight="1">
      <c r="A131" s="18" t="s">
        <v>862</v>
      </c>
      <c r="B131" s="19" t="s">
        <v>1692</v>
      </c>
      <c r="C131" s="20"/>
      <c r="D131" s="18" t="s">
        <v>697</v>
      </c>
      <c r="E131" s="19" t="s">
        <v>1693</v>
      </c>
      <c r="F131" s="20"/>
      <c r="G131" s="18" t="s">
        <v>863</v>
      </c>
      <c r="H131" s="19" t="s">
        <v>1694</v>
      </c>
      <c r="I131" s="20"/>
      <c r="J131" s="18" t="s">
        <v>865</v>
      </c>
      <c r="K131" s="19" t="s">
        <v>1695</v>
      </c>
      <c r="L131" s="20"/>
      <c r="M131" s="18" t="s">
        <v>867</v>
      </c>
      <c r="N131" s="19" t="s">
        <v>1696</v>
      </c>
      <c r="O131" s="20"/>
    </row>
    <row r="132" ht="180.0" customHeight="1">
      <c r="A132" s="21" t="str">
        <f>IMAGE("https://assets.tcgdex.net/de/sv/sv04/161/low.jpg", 1)</f>
        <v/>
      </c>
      <c r="B132" s="22"/>
      <c r="C132" s="20"/>
      <c r="D132" s="21" t="str">
        <f>IMAGE("https://assets.tcgdex.net/de/sv/sv04/162/low.jpg", 1)</f>
        <v/>
      </c>
      <c r="E132" s="22"/>
      <c r="F132" s="20"/>
      <c r="G132" s="21" t="str">
        <f>IMAGE("https://assets.tcgdex.net/de/sv/sv04/163/low.jpg", 1)</f>
        <v/>
      </c>
      <c r="H132" s="22"/>
      <c r="I132" s="20"/>
      <c r="J132" s="21" t="str">
        <f>IMAGE("https://assets.tcgdex.net/de/sv/sv04/164/low.jpg", 1)</f>
        <v/>
      </c>
      <c r="K132" s="22"/>
      <c r="L132" s="20"/>
      <c r="M132" s="21" t="str">
        <f>IMAGE("https://assets.tcgdex.net/de/sv/sv04/165/low.jpg", 1)</f>
        <v/>
      </c>
      <c r="N132" s="22"/>
      <c r="O132" s="20"/>
    </row>
    <row r="133" ht="22.5" customHeight="1">
      <c r="A133" s="23" t="b">
        <v>0</v>
      </c>
      <c r="B133" s="24" t="b">
        <v>0</v>
      </c>
      <c r="C133" s="25" t="str">
        <f>HYPERLINK("https://www.cardmarket.com/en/Pokemon/Products/Singles?idCategory=1&amp;idProduct=sv4-161", "CM")</f>
        <v>CM</v>
      </c>
      <c r="D133" s="23" t="b">
        <v>0</v>
      </c>
      <c r="E133" s="24" t="b">
        <v>0</v>
      </c>
      <c r="F133" s="25" t="str">
        <f>HYPERLINK("https://www.cardmarket.com/en/Pokemon/Products/Singles?idCategory=1&amp;idProduct=sv4-162", "CM")</f>
        <v>CM</v>
      </c>
      <c r="G133" s="23" t="b">
        <v>0</v>
      </c>
      <c r="H133" s="24" t="b">
        <v>0</v>
      </c>
      <c r="I133" s="25" t="str">
        <f>HYPERLINK("https://www.cardmarket.com/en/Pokemon/Products/Singles?idCategory=1&amp;idProduct=sv4-163", "CM")</f>
        <v>CM</v>
      </c>
      <c r="J133" s="23" t="b">
        <v>0</v>
      </c>
      <c r="K133" s="24" t="b">
        <v>0</v>
      </c>
      <c r="L133" s="25" t="str">
        <f>HYPERLINK("https://www.cardmarket.com/en/Pokemon/Products/Singles?idCategory=1&amp;idProduct=sv4-164", "CM")</f>
        <v>CM</v>
      </c>
      <c r="M133" s="23" t="b">
        <v>0</v>
      </c>
      <c r="N133" s="24" t="b">
        <v>0</v>
      </c>
      <c r="O133" s="25" t="str">
        <f>HYPERLINK("https://www.cardmarket.com/en/Pokemon/Products/Singles?idCategory=1&amp;idProduct=sv4-165", "CM")</f>
        <v>CM</v>
      </c>
    </row>
    <row r="134" ht="7.5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</row>
    <row r="135" ht="18.75" customHeight="1">
      <c r="A135" s="18" t="s">
        <v>869</v>
      </c>
      <c r="B135" s="19" t="s">
        <v>1697</v>
      </c>
      <c r="C135" s="20"/>
      <c r="D135" s="18" t="s">
        <v>871</v>
      </c>
      <c r="E135" s="19" t="s">
        <v>1698</v>
      </c>
      <c r="F135" s="20"/>
      <c r="G135" s="18" t="s">
        <v>873</v>
      </c>
      <c r="H135" s="19" t="s">
        <v>1699</v>
      </c>
      <c r="I135" s="20"/>
      <c r="J135" s="18" t="s">
        <v>875</v>
      </c>
      <c r="K135" s="19" t="s">
        <v>1700</v>
      </c>
      <c r="L135" s="20"/>
      <c r="M135" s="18" t="s">
        <v>877</v>
      </c>
      <c r="N135" s="19" t="s">
        <v>1701</v>
      </c>
      <c r="O135" s="20"/>
    </row>
    <row r="136" ht="180.0" customHeight="1">
      <c r="A136" s="21" t="str">
        <f>IMAGE("https://assets.tcgdex.net/de/sv/sv04/166/low.jpg", 1)</f>
        <v/>
      </c>
      <c r="B136" s="22"/>
      <c r="C136" s="20"/>
      <c r="D136" s="21" t="str">
        <f>IMAGE("https://assets.tcgdex.net/de/sv/sv04/167/low.jpg", 1)</f>
        <v/>
      </c>
      <c r="E136" s="22"/>
      <c r="F136" s="20"/>
      <c r="G136" s="21" t="str">
        <f>IMAGE("https://assets.tcgdex.net/de/sv/sv04/168/low.jpg", 1)</f>
        <v/>
      </c>
      <c r="H136" s="22"/>
      <c r="I136" s="20"/>
      <c r="J136" s="21" t="str">
        <f>IMAGE("https://assets.tcgdex.net/de/sv/sv04/169/low.jpg", 1)</f>
        <v/>
      </c>
      <c r="K136" s="22"/>
      <c r="L136" s="20"/>
      <c r="M136" s="21" t="str">
        <f>IMAGE("https://assets.tcgdex.net/de/sv/sv04/170/low.jpg", 1)</f>
        <v/>
      </c>
      <c r="N136" s="22"/>
      <c r="O136" s="20"/>
    </row>
    <row r="137" ht="22.5" customHeight="1">
      <c r="A137" s="23" t="b">
        <v>0</v>
      </c>
      <c r="B137" s="24" t="b">
        <v>0</v>
      </c>
      <c r="C137" s="25" t="str">
        <f>HYPERLINK("https://www.cardmarket.com/en/Pokemon/Products/Singles?idCategory=1&amp;idProduct=sv4-166", "CM")</f>
        <v>CM</v>
      </c>
      <c r="D137" s="23" t="b">
        <v>0</v>
      </c>
      <c r="E137" s="24" t="b">
        <v>0</v>
      </c>
      <c r="F137" s="25" t="str">
        <f>HYPERLINK("https://www.cardmarket.com/en/Pokemon/Products/Singles?idCategory=1&amp;idProduct=sv4-167", "CM")</f>
        <v>CM</v>
      </c>
      <c r="G137" s="23" t="b">
        <v>0</v>
      </c>
      <c r="H137" s="24" t="b">
        <v>0</v>
      </c>
      <c r="I137" s="25" t="str">
        <f>HYPERLINK("https://www.cardmarket.com/en/Pokemon/Products/Singles?idCategory=1&amp;idProduct=sv4-168", "CM")</f>
        <v>CM</v>
      </c>
      <c r="J137" s="23" t="b">
        <v>0</v>
      </c>
      <c r="K137" s="24" t="b">
        <v>0</v>
      </c>
      <c r="L137" s="25" t="str">
        <f>HYPERLINK("https://www.cardmarket.com/en/Pokemon/Products/Singles?idCategory=1&amp;idProduct=sv4-169", "CM")</f>
        <v>CM</v>
      </c>
      <c r="M137" s="23" t="b">
        <v>0</v>
      </c>
      <c r="N137" s="24" t="b">
        <v>0</v>
      </c>
      <c r="O137" s="25" t="str">
        <f>HYPERLINK("https://www.cardmarket.com/en/Pokemon/Products/Singles?idCategory=1&amp;idProduct=sv4-170", "CM")</f>
        <v>CM</v>
      </c>
    </row>
    <row r="138" ht="7.5" customHeight="1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</row>
    <row r="139" ht="18.75" customHeight="1">
      <c r="A139" s="18" t="s">
        <v>879</v>
      </c>
      <c r="B139" s="19" t="s">
        <v>1702</v>
      </c>
      <c r="C139" s="20"/>
      <c r="D139" s="18" t="s">
        <v>881</v>
      </c>
      <c r="E139" s="19" t="s">
        <v>1703</v>
      </c>
      <c r="F139" s="20"/>
      <c r="G139" s="18" t="s">
        <v>883</v>
      </c>
      <c r="H139" s="19" t="s">
        <v>1704</v>
      </c>
      <c r="I139" s="20"/>
      <c r="J139" s="18" t="s">
        <v>699</v>
      </c>
      <c r="K139" s="19" t="s">
        <v>1705</v>
      </c>
      <c r="L139" s="20"/>
      <c r="M139" s="18" t="s">
        <v>1304</v>
      </c>
      <c r="N139" s="19" t="s">
        <v>1706</v>
      </c>
      <c r="O139" s="20"/>
    </row>
    <row r="140" ht="180.0" customHeight="1">
      <c r="A140" s="21" t="str">
        <f>IMAGE("https://assets.tcgdex.net/de/sv/sv04/171/low.jpg", 1)</f>
        <v/>
      </c>
      <c r="B140" s="22"/>
      <c r="C140" s="20"/>
      <c r="D140" s="21" t="str">
        <f>IMAGE("https://assets.tcgdex.net/de/sv/sv04/172/low.jpg", 1)</f>
        <v/>
      </c>
      <c r="E140" s="22"/>
      <c r="F140" s="20"/>
      <c r="G140" s="21" t="str">
        <f>IMAGE("https://assets.tcgdex.net/de/sv/sv04/173/low.jpg", 1)</f>
        <v/>
      </c>
      <c r="H140" s="22"/>
      <c r="I140" s="20"/>
      <c r="J140" s="21" t="str">
        <f>IMAGE("https://assets.tcgdex.net/de/sv/sv04/174/low.jpg", 1)</f>
        <v/>
      </c>
      <c r="K140" s="22"/>
      <c r="L140" s="20"/>
      <c r="M140" s="21" t="str">
        <f>IMAGE("https://assets.tcgdex.net/de/sv/sv04/175/low.jpg", 1)</f>
        <v/>
      </c>
      <c r="N140" s="22"/>
      <c r="O140" s="20"/>
    </row>
    <row r="141" ht="22.5" customHeight="1">
      <c r="A141" s="23" t="b">
        <v>0</v>
      </c>
      <c r="B141" s="24" t="b">
        <v>0</v>
      </c>
      <c r="C141" s="25" t="str">
        <f>HYPERLINK("https://www.cardmarket.com/en/Pokemon/Products/Singles?idCategory=1&amp;idProduct=sv4-171", "CM")</f>
        <v>CM</v>
      </c>
      <c r="D141" s="23" t="b">
        <v>0</v>
      </c>
      <c r="E141" s="24" t="b">
        <v>0</v>
      </c>
      <c r="F141" s="25" t="str">
        <f>HYPERLINK("https://www.cardmarket.com/en/Pokemon/Products/Singles?idCategory=1&amp;idProduct=sv4-172", "CM")</f>
        <v>CM</v>
      </c>
      <c r="G141" s="23" t="b">
        <v>0</v>
      </c>
      <c r="H141" s="24" t="b">
        <v>0</v>
      </c>
      <c r="I141" s="25" t="str">
        <f>HYPERLINK("https://www.cardmarket.com/en/Pokemon/Products/Singles?idCategory=1&amp;idProduct=sv4-173", "CM")</f>
        <v>CM</v>
      </c>
      <c r="J141" s="23" t="b">
        <v>0</v>
      </c>
      <c r="K141" s="24" t="b">
        <v>0</v>
      </c>
      <c r="L141" s="25" t="str">
        <f>HYPERLINK("https://www.cardmarket.com/en/Pokemon/Products/Singles?idCategory=1&amp;idProduct=sv4-174", "CM")</f>
        <v>CM</v>
      </c>
      <c r="M141" s="23" t="b">
        <v>0</v>
      </c>
      <c r="N141" s="24" t="b">
        <v>0</v>
      </c>
      <c r="O141" s="25" t="str">
        <f>HYPERLINK("https://www.cardmarket.com/en/Pokemon/Products/Singles?idCategory=1&amp;idProduct=sv4-175", "CM")</f>
        <v>CM</v>
      </c>
    </row>
    <row r="142" ht="7.5" customHeight="1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</row>
    <row r="143" ht="18.75" customHeight="1">
      <c r="A143" s="18" t="s">
        <v>1306</v>
      </c>
      <c r="B143" s="19" t="s">
        <v>1707</v>
      </c>
      <c r="C143" s="20"/>
      <c r="D143" s="18" t="s">
        <v>884</v>
      </c>
      <c r="E143" s="19" t="s">
        <v>1708</v>
      </c>
      <c r="F143" s="20"/>
      <c r="G143" s="18" t="s">
        <v>701</v>
      </c>
      <c r="H143" s="19" t="s">
        <v>1709</v>
      </c>
      <c r="I143" s="20"/>
      <c r="J143" s="18" t="s">
        <v>703</v>
      </c>
      <c r="K143" s="19" t="s">
        <v>1710</v>
      </c>
      <c r="L143" s="20"/>
      <c r="M143" s="18" t="s">
        <v>886</v>
      </c>
      <c r="N143" s="19" t="s">
        <v>1711</v>
      </c>
      <c r="O143" s="20"/>
    </row>
    <row r="144" ht="180.0" customHeight="1">
      <c r="A144" s="21" t="str">
        <f>IMAGE("https://assets.tcgdex.net/de/sv/sv04/176/low.jpg", 1)</f>
        <v/>
      </c>
      <c r="B144" s="22"/>
      <c r="C144" s="20"/>
      <c r="D144" s="21" t="str">
        <f>IMAGE("https://assets.tcgdex.net/de/sv/sv04/177/low.jpg", 1)</f>
        <v/>
      </c>
      <c r="E144" s="22"/>
      <c r="F144" s="20"/>
      <c r="G144" s="21" t="str">
        <f>IMAGE("https://assets.tcgdex.net/de/sv/sv04/178/low.jpg", 1)</f>
        <v/>
      </c>
      <c r="H144" s="22"/>
      <c r="I144" s="20"/>
      <c r="J144" s="21" t="str">
        <f>IMAGE("https://assets.tcgdex.net/de/sv/sv04/179/low.jpg", 1)</f>
        <v/>
      </c>
      <c r="K144" s="22"/>
      <c r="L144" s="20"/>
      <c r="M144" s="21" t="str">
        <f>IMAGE("https://assets.tcgdex.net/de/sv/sv04/180/low.jpg", 1)</f>
        <v/>
      </c>
      <c r="N144" s="22"/>
      <c r="O144" s="20"/>
    </row>
    <row r="145" ht="22.5" customHeight="1">
      <c r="A145" s="23" t="b">
        <v>0</v>
      </c>
      <c r="B145" s="24" t="b">
        <v>0</v>
      </c>
      <c r="C145" s="25" t="str">
        <f>HYPERLINK("https://www.cardmarket.com/en/Pokemon/Products/Singles?idCategory=1&amp;idProduct=sv4-176", "CM")</f>
        <v>CM</v>
      </c>
      <c r="D145" s="23" t="b">
        <v>0</v>
      </c>
      <c r="E145" s="24" t="b">
        <v>0</v>
      </c>
      <c r="F145" s="25" t="str">
        <f>HYPERLINK("https://www.cardmarket.com/en/Pokemon/Products/Singles?idCategory=1&amp;idProduct=sv4-177", "CM")</f>
        <v>CM</v>
      </c>
      <c r="G145" s="23" t="b">
        <v>0</v>
      </c>
      <c r="H145" s="24" t="b">
        <v>0</v>
      </c>
      <c r="I145" s="25" t="str">
        <f>HYPERLINK("https://www.cardmarket.com/en/Pokemon/Products/Singles?idCategory=1&amp;idProduct=sv4-178", "CM")</f>
        <v>CM</v>
      </c>
      <c r="J145" s="23" t="b">
        <v>0</v>
      </c>
      <c r="K145" s="24" t="b">
        <v>0</v>
      </c>
      <c r="L145" s="25" t="str">
        <f>HYPERLINK("https://www.cardmarket.com/en/Pokemon/Products/Singles?idCategory=1&amp;idProduct=sv4-179", "CM")</f>
        <v>CM</v>
      </c>
      <c r="M145" s="23" t="b">
        <v>0</v>
      </c>
      <c r="N145" s="24" t="b">
        <v>0</v>
      </c>
      <c r="O145" s="25" t="str">
        <f>HYPERLINK("https://www.cardmarket.com/en/Pokemon/Products/Singles?idCategory=1&amp;idProduct=sv4-180", "CM")</f>
        <v>CM</v>
      </c>
    </row>
    <row r="146" ht="7.5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</row>
    <row r="147" ht="18.75" customHeight="1">
      <c r="A147" s="18" t="s">
        <v>888</v>
      </c>
      <c r="B147" s="19" t="s">
        <v>1712</v>
      </c>
      <c r="C147" s="20"/>
      <c r="D147" s="18" t="s">
        <v>705</v>
      </c>
      <c r="E147" s="19" t="s">
        <v>1713</v>
      </c>
      <c r="F147" s="20"/>
      <c r="G147" s="18" t="s">
        <v>890</v>
      </c>
      <c r="H147" s="19" t="s">
        <v>1596</v>
      </c>
      <c r="I147" s="20"/>
      <c r="J147" s="18" t="s">
        <v>707</v>
      </c>
      <c r="K147" s="19" t="s">
        <v>1598</v>
      </c>
      <c r="L147" s="20"/>
      <c r="M147" s="18" t="s">
        <v>709</v>
      </c>
      <c r="N147" s="19" t="s">
        <v>1210</v>
      </c>
      <c r="O147" s="20"/>
    </row>
    <row r="148" ht="180.0" customHeight="1">
      <c r="A148" s="21" t="str">
        <f>IMAGE("https://assets.tcgdex.net/de/sv/sv04/181/low.jpg", 1)</f>
        <v/>
      </c>
      <c r="B148" s="22"/>
      <c r="C148" s="20"/>
      <c r="D148" s="21" t="str">
        <f>IMAGE("https://assets.tcgdex.net/de/sv/sv04/182/low.jpg", 1)</f>
        <v/>
      </c>
      <c r="E148" s="22"/>
      <c r="F148" s="20"/>
      <c r="G148" s="21" t="str">
        <f>IMAGE("https://assets.tcgdex.net/de/sv/sv04/183/low.jpg", 1)</f>
        <v/>
      </c>
      <c r="H148" s="22"/>
      <c r="I148" s="20"/>
      <c r="J148" s="21" t="str">
        <f>IMAGE("https://assets.tcgdex.net/de/sv/sv04/184/low.jpg", 1)</f>
        <v/>
      </c>
      <c r="K148" s="22"/>
      <c r="L148" s="20"/>
      <c r="M148" s="21" t="str">
        <f>IMAGE("https://assets.tcgdex.net/de/sv/sv04/185/low.jpg", 1)</f>
        <v/>
      </c>
      <c r="N148" s="22"/>
      <c r="O148" s="20"/>
    </row>
    <row r="149" ht="22.5" customHeight="1">
      <c r="A149" s="23" t="b">
        <v>0</v>
      </c>
      <c r="B149" s="24" t="b">
        <v>0</v>
      </c>
      <c r="C149" s="25" t="str">
        <f>HYPERLINK("https://www.cardmarket.com/en/Pokemon/Products/Singles?idCategory=1&amp;idProduct=sv4-181", "CM")</f>
        <v>CM</v>
      </c>
      <c r="D149" s="23" t="b">
        <v>0</v>
      </c>
      <c r="E149" s="24" t="b">
        <v>0</v>
      </c>
      <c r="F149" s="25" t="str">
        <f>HYPERLINK("https://www.cardmarket.com/en/Pokemon/Products/Singles?idCategory=1&amp;idProduct=sv4-182", "CM")</f>
        <v>CM</v>
      </c>
      <c r="G149" s="23" t="b">
        <v>0</v>
      </c>
      <c r="H149" s="24" t="b">
        <v>0</v>
      </c>
      <c r="I149" s="25" t="str">
        <f>HYPERLINK("https://www.cardmarket.com/en/Pokemon/Products/Singles?idCategory=1&amp;idProduct=sv4-183", "CM")</f>
        <v>CM</v>
      </c>
      <c r="J149" s="23" t="b">
        <v>0</v>
      </c>
      <c r="K149" s="24" t="b">
        <v>0</v>
      </c>
      <c r="L149" s="25" t="str">
        <f>HYPERLINK("https://www.cardmarket.com/en/Pokemon/Products/Singles?idCategory=1&amp;idProduct=sv4-184", "CM")</f>
        <v>CM</v>
      </c>
      <c r="M149" s="23" t="b">
        <v>0</v>
      </c>
      <c r="N149" s="24" t="b">
        <v>0</v>
      </c>
      <c r="O149" s="25" t="str">
        <f>HYPERLINK("https://www.cardmarket.com/en/Pokemon/Products/Singles?idCategory=1&amp;idProduct=sv4-185", "CM")</f>
        <v>CM</v>
      </c>
    </row>
    <row r="150" ht="7.5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</row>
    <row r="151" ht="18.75" customHeight="1">
      <c r="A151" s="18" t="s">
        <v>711</v>
      </c>
      <c r="B151" s="19" t="s">
        <v>1602</v>
      </c>
      <c r="C151" s="20"/>
      <c r="D151" s="18" t="s">
        <v>892</v>
      </c>
      <c r="E151" s="19" t="s">
        <v>1605</v>
      </c>
      <c r="F151" s="20"/>
      <c r="G151" s="18" t="s">
        <v>894</v>
      </c>
      <c r="H151" s="19" t="s">
        <v>977</v>
      </c>
      <c r="I151" s="20"/>
      <c r="J151" s="18" t="s">
        <v>896</v>
      </c>
      <c r="K151" s="19" t="s">
        <v>1612</v>
      </c>
      <c r="L151" s="20"/>
      <c r="M151" s="18" t="s">
        <v>1312</v>
      </c>
      <c r="N151" s="19" t="s">
        <v>1617</v>
      </c>
      <c r="O151" s="20"/>
    </row>
    <row r="152" ht="180.0" customHeight="1">
      <c r="A152" s="21" t="str">
        <f>IMAGE("https://assets.tcgdex.net/de/sv/sv04/186/low.jpg", 1)</f>
        <v/>
      </c>
      <c r="B152" s="22"/>
      <c r="C152" s="20"/>
      <c r="D152" s="21" t="str">
        <f>IMAGE("https://assets.tcgdex.net/de/sv/sv04/187/low.jpg", 1)</f>
        <v/>
      </c>
      <c r="E152" s="22"/>
      <c r="F152" s="20"/>
      <c r="G152" s="21" t="str">
        <f>IMAGE("https://assets.tcgdex.net/de/sv/sv04/188/low.jpg", 1)</f>
        <v/>
      </c>
      <c r="H152" s="22"/>
      <c r="I152" s="20"/>
      <c r="J152" s="21" t="str">
        <f>IMAGE("https://assets.tcgdex.net/de/sv/sv04/189/low.jpg", 1)</f>
        <v/>
      </c>
      <c r="K152" s="22"/>
      <c r="L152" s="20"/>
      <c r="M152" s="21" t="str">
        <f>IMAGE("https://assets.tcgdex.net/de/sv/sv04/190/low.jpg", 1)</f>
        <v/>
      </c>
      <c r="N152" s="22"/>
      <c r="O152" s="20"/>
    </row>
    <row r="153" ht="22.5" customHeight="1">
      <c r="A153" s="23" t="b">
        <v>0</v>
      </c>
      <c r="B153" s="24" t="b">
        <v>0</v>
      </c>
      <c r="C153" s="25" t="str">
        <f>HYPERLINK("https://www.cardmarket.com/en/Pokemon/Products/Singles?idCategory=1&amp;idProduct=sv4-186", "CM")</f>
        <v>CM</v>
      </c>
      <c r="D153" s="23" t="b">
        <v>0</v>
      </c>
      <c r="E153" s="24" t="b">
        <v>0</v>
      </c>
      <c r="F153" s="25" t="str">
        <f>HYPERLINK("https://www.cardmarket.com/en/Pokemon/Products/Singles?idCategory=1&amp;idProduct=sv4-187", "CM")</f>
        <v>CM</v>
      </c>
      <c r="G153" s="23" t="b">
        <v>0</v>
      </c>
      <c r="H153" s="24" t="b">
        <v>0</v>
      </c>
      <c r="I153" s="25" t="str">
        <f>HYPERLINK("https://www.cardmarket.com/en/Pokemon/Products/Singles?idCategory=1&amp;idProduct=sv4-188", "CM")</f>
        <v>CM</v>
      </c>
      <c r="J153" s="23" t="b">
        <v>0</v>
      </c>
      <c r="K153" s="24" t="b">
        <v>0</v>
      </c>
      <c r="L153" s="25" t="str">
        <f>HYPERLINK("https://www.cardmarket.com/en/Pokemon/Products/Singles?idCategory=1&amp;idProduct=sv4-189", "CM")</f>
        <v>CM</v>
      </c>
      <c r="M153" s="23" t="b">
        <v>0</v>
      </c>
      <c r="N153" s="24" t="b">
        <v>0</v>
      </c>
      <c r="O153" s="25" t="str">
        <f>HYPERLINK("https://www.cardmarket.com/en/Pokemon/Products/Singles?idCategory=1&amp;idProduct=sv4-190", "CM")</f>
        <v>CM</v>
      </c>
    </row>
    <row r="154" ht="7.5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</row>
    <row r="155" ht="18.75" customHeight="1">
      <c r="A155" s="18" t="s">
        <v>1240</v>
      </c>
      <c r="B155" s="19" t="s">
        <v>1620</v>
      </c>
      <c r="C155" s="20"/>
      <c r="D155" s="18" t="s">
        <v>1313</v>
      </c>
      <c r="E155" s="19" t="s">
        <v>1623</v>
      </c>
      <c r="F155" s="20"/>
      <c r="G155" s="18" t="s">
        <v>898</v>
      </c>
      <c r="H155" s="19" t="s">
        <v>1626</v>
      </c>
      <c r="I155" s="20"/>
      <c r="J155" s="18" t="s">
        <v>713</v>
      </c>
      <c r="K155" s="19" t="s">
        <v>1627</v>
      </c>
      <c r="L155" s="20"/>
      <c r="M155" s="18" t="s">
        <v>715</v>
      </c>
      <c r="N155" s="19" t="s">
        <v>1628</v>
      </c>
      <c r="O155" s="20"/>
    </row>
    <row r="156" ht="180.0" customHeight="1">
      <c r="A156" s="21" t="str">
        <f>IMAGE("https://assets.tcgdex.net/de/sv/sv04/191/low.jpg", 1)</f>
        <v/>
      </c>
      <c r="B156" s="22"/>
      <c r="C156" s="20"/>
      <c r="D156" s="21" t="str">
        <f>IMAGE("https://assets.tcgdex.net/de/sv/sv04/192/low.jpg", 1)</f>
        <v/>
      </c>
      <c r="E156" s="22"/>
      <c r="F156" s="20"/>
      <c r="G156" s="21" t="str">
        <f>IMAGE("https://assets.tcgdex.net/de/sv/sv04/193/low.jpg", 1)</f>
        <v/>
      </c>
      <c r="H156" s="22"/>
      <c r="I156" s="20"/>
      <c r="J156" s="21" t="str">
        <f>IMAGE("https://assets.tcgdex.net/de/sv/sv04/194/low.jpg", 1)</f>
        <v/>
      </c>
      <c r="K156" s="22"/>
      <c r="L156" s="20"/>
      <c r="M156" s="21" t="str">
        <f>IMAGE("https://assets.tcgdex.net/de/sv/sv04/195/low.jpg", 1)</f>
        <v/>
      </c>
      <c r="N156" s="22"/>
      <c r="O156" s="20"/>
    </row>
    <row r="157" ht="22.5" customHeight="1">
      <c r="A157" s="23" t="b">
        <v>0</v>
      </c>
      <c r="B157" s="24" t="b">
        <v>0</v>
      </c>
      <c r="C157" s="25" t="str">
        <f>HYPERLINK("https://www.cardmarket.com/en/Pokemon/Products/Singles?idCategory=1&amp;idProduct=sv4-191", "CM")</f>
        <v>CM</v>
      </c>
      <c r="D157" s="23" t="b">
        <v>0</v>
      </c>
      <c r="E157" s="24" t="b">
        <v>0</v>
      </c>
      <c r="F157" s="25" t="str">
        <f>HYPERLINK("https://www.cardmarket.com/en/Pokemon/Products/Singles?idCategory=1&amp;idProduct=sv4-192", "CM")</f>
        <v>CM</v>
      </c>
      <c r="G157" s="23" t="b">
        <v>0</v>
      </c>
      <c r="H157" s="24" t="b">
        <v>0</v>
      </c>
      <c r="I157" s="25" t="str">
        <f>HYPERLINK("https://www.cardmarket.com/en/Pokemon/Products/Singles?idCategory=1&amp;idProduct=sv4-193", "CM")</f>
        <v>CM</v>
      </c>
      <c r="J157" s="23" t="b">
        <v>0</v>
      </c>
      <c r="K157" s="24" t="b">
        <v>0</v>
      </c>
      <c r="L157" s="25" t="str">
        <f>HYPERLINK("https://www.cardmarket.com/en/Pokemon/Products/Singles?idCategory=1&amp;idProduct=sv4-194", "CM")</f>
        <v>CM</v>
      </c>
      <c r="M157" s="23" t="b">
        <v>0</v>
      </c>
      <c r="N157" s="24" t="b">
        <v>0</v>
      </c>
      <c r="O157" s="25" t="str">
        <f>HYPERLINK("https://www.cardmarket.com/en/Pokemon/Products/Singles?idCategory=1&amp;idProduct=sv4-195", "CM")</f>
        <v>CM</v>
      </c>
    </row>
    <row r="158" ht="7.5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</row>
    <row r="159" ht="18.75" customHeight="1">
      <c r="A159" s="18" t="s">
        <v>717</v>
      </c>
      <c r="B159" s="19" t="s">
        <v>1630</v>
      </c>
      <c r="C159" s="20"/>
      <c r="D159" s="18" t="s">
        <v>719</v>
      </c>
      <c r="E159" s="19" t="s">
        <v>749</v>
      </c>
      <c r="F159" s="20"/>
      <c r="G159" s="18" t="s">
        <v>720</v>
      </c>
      <c r="H159" s="19" t="s">
        <v>1643</v>
      </c>
      <c r="I159" s="20"/>
      <c r="J159" s="18" t="s">
        <v>722</v>
      </c>
      <c r="K159" s="19" t="s">
        <v>1646</v>
      </c>
      <c r="L159" s="20"/>
      <c r="M159" s="18" t="s">
        <v>724</v>
      </c>
      <c r="N159" s="19" t="s">
        <v>1650</v>
      </c>
      <c r="O159" s="20"/>
    </row>
    <row r="160" ht="180.0" customHeight="1">
      <c r="A160" s="21" t="str">
        <f>IMAGE("https://assets.tcgdex.net/de/sv/sv04/196/low.jpg", 1)</f>
        <v/>
      </c>
      <c r="B160" s="22"/>
      <c r="C160" s="20"/>
      <c r="D160" s="21" t="str">
        <f>IMAGE("https://assets.tcgdex.net/de/sv/sv04/197/low.jpg", 1)</f>
        <v/>
      </c>
      <c r="E160" s="22"/>
      <c r="F160" s="20"/>
      <c r="G160" s="21" t="str">
        <f>IMAGE("https://assets.tcgdex.net/de/sv/sv04/198/low.jpg", 1)</f>
        <v/>
      </c>
      <c r="H160" s="22"/>
      <c r="I160" s="20"/>
      <c r="J160" s="21" t="str">
        <f>IMAGE("https://assets.tcgdex.net/de/sv/sv04/199/low.jpg", 1)</f>
        <v/>
      </c>
      <c r="K160" s="22"/>
      <c r="L160" s="20"/>
      <c r="M160" s="21" t="str">
        <f>IMAGE("https://assets.tcgdex.net/de/sv/sv04/200/low.jpg", 1)</f>
        <v/>
      </c>
      <c r="N160" s="22"/>
      <c r="O160" s="20"/>
    </row>
    <row r="161" ht="22.5" customHeight="1">
      <c r="A161" s="23" t="b">
        <v>0</v>
      </c>
      <c r="B161" s="24" t="b">
        <v>0</v>
      </c>
      <c r="C161" s="25" t="str">
        <f>HYPERLINK("https://www.cardmarket.com/en/Pokemon/Products/Singles?idCategory=1&amp;idProduct=sv4-196", "CM")</f>
        <v>CM</v>
      </c>
      <c r="D161" s="23" t="b">
        <v>0</v>
      </c>
      <c r="E161" s="24" t="b">
        <v>0</v>
      </c>
      <c r="F161" s="25" t="str">
        <f>HYPERLINK("https://www.cardmarket.com/en/Pokemon/Products/Singles?idCategory=1&amp;idProduct=sv4-197", "CM")</f>
        <v>CM</v>
      </c>
      <c r="G161" s="23" t="b">
        <v>0</v>
      </c>
      <c r="H161" s="24" t="b">
        <v>0</v>
      </c>
      <c r="I161" s="25" t="str">
        <f>HYPERLINK("https://www.cardmarket.com/en/Pokemon/Products/Singles?idCategory=1&amp;idProduct=sv4-198", "CM")</f>
        <v>CM</v>
      </c>
      <c r="J161" s="23" t="b">
        <v>0</v>
      </c>
      <c r="K161" s="24" t="b">
        <v>0</v>
      </c>
      <c r="L161" s="25" t="str">
        <f>HYPERLINK("https://www.cardmarket.com/en/Pokemon/Products/Singles?idCategory=1&amp;idProduct=sv4-199", "CM")</f>
        <v>CM</v>
      </c>
      <c r="M161" s="23" t="b">
        <v>0</v>
      </c>
      <c r="N161" s="24" t="b">
        <v>0</v>
      </c>
      <c r="O161" s="25" t="str">
        <f>HYPERLINK("https://www.cardmarket.com/en/Pokemon/Products/Singles?idCategory=1&amp;idProduct=sv4-200", "CM")</f>
        <v>CM</v>
      </c>
    </row>
    <row r="162" ht="7.5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</row>
    <row r="163" ht="18.75" customHeight="1">
      <c r="A163" s="18" t="s">
        <v>726</v>
      </c>
      <c r="B163" s="19" t="s">
        <v>1652</v>
      </c>
      <c r="C163" s="20"/>
      <c r="D163" s="18" t="s">
        <v>728</v>
      </c>
      <c r="E163" s="19" t="s">
        <v>1656</v>
      </c>
      <c r="F163" s="20"/>
      <c r="G163" s="18" t="s">
        <v>730</v>
      </c>
      <c r="H163" s="19" t="s">
        <v>1657</v>
      </c>
      <c r="I163" s="20"/>
      <c r="J163" s="18" t="s">
        <v>1241</v>
      </c>
      <c r="K163" s="19" t="s">
        <v>1662</v>
      </c>
      <c r="L163" s="20"/>
      <c r="M163" s="18" t="s">
        <v>1319</v>
      </c>
      <c r="N163" s="19" t="s">
        <v>1663</v>
      </c>
      <c r="O163" s="20"/>
    </row>
    <row r="164" ht="180.0" customHeight="1">
      <c r="A164" s="21" t="str">
        <f>IMAGE("https://assets.tcgdex.net/de/sv/sv04/201/low.jpg", 1)</f>
        <v/>
      </c>
      <c r="B164" s="22"/>
      <c r="C164" s="20"/>
      <c r="D164" s="21" t="str">
        <f>IMAGE("https://assets.tcgdex.net/de/sv/sv04/202/low.jpg", 1)</f>
        <v/>
      </c>
      <c r="E164" s="22"/>
      <c r="F164" s="20"/>
      <c r="G164" s="21" t="str">
        <f>IMAGE("https://assets.tcgdex.net/de/sv/sv04/203/low.jpg", 1)</f>
        <v/>
      </c>
      <c r="H164" s="22"/>
      <c r="I164" s="20"/>
      <c r="J164" s="21" t="str">
        <f>IMAGE("https://assets.tcgdex.net/de/sv/sv04/204/low.jpg", 1)</f>
        <v/>
      </c>
      <c r="K164" s="22"/>
      <c r="L164" s="20"/>
      <c r="M164" s="21" t="str">
        <f>IMAGE("https://assets.tcgdex.net/de/sv/sv04/205/low.jpg", 1)</f>
        <v/>
      </c>
      <c r="N164" s="22"/>
      <c r="O164" s="20"/>
    </row>
    <row r="165" ht="22.5" customHeight="1">
      <c r="A165" s="23" t="b">
        <v>0</v>
      </c>
      <c r="B165" s="24" t="b">
        <v>0</v>
      </c>
      <c r="C165" s="25" t="str">
        <f>HYPERLINK("https://www.cardmarket.com/en/Pokemon/Products/Singles?idCategory=1&amp;idProduct=sv4-201", "CM")</f>
        <v>CM</v>
      </c>
      <c r="D165" s="23" t="b">
        <v>0</v>
      </c>
      <c r="E165" s="24" t="b">
        <v>0</v>
      </c>
      <c r="F165" s="25" t="str">
        <f>HYPERLINK("https://www.cardmarket.com/en/Pokemon/Products/Singles?idCategory=1&amp;idProduct=sv4-202", "CM")</f>
        <v>CM</v>
      </c>
      <c r="G165" s="23" t="b">
        <v>0</v>
      </c>
      <c r="H165" s="24" t="b">
        <v>0</v>
      </c>
      <c r="I165" s="25" t="str">
        <f>HYPERLINK("https://www.cardmarket.com/en/Pokemon/Products/Singles?idCategory=1&amp;idProduct=sv4-203", "CM")</f>
        <v>CM</v>
      </c>
      <c r="J165" s="23" t="b">
        <v>0</v>
      </c>
      <c r="K165" s="24" t="b">
        <v>0</v>
      </c>
      <c r="L165" s="25" t="str">
        <f>HYPERLINK("https://www.cardmarket.com/en/Pokemon/Products/Singles?idCategory=1&amp;idProduct=sv4-204", "CM")</f>
        <v>CM</v>
      </c>
      <c r="M165" s="23" t="b">
        <v>0</v>
      </c>
      <c r="N165" s="24" t="b">
        <v>0</v>
      </c>
      <c r="O165" s="25" t="str">
        <f>HYPERLINK("https://www.cardmarket.com/en/Pokemon/Products/Singles?idCategory=1&amp;idProduct=sv4-205", "CM")</f>
        <v>CM</v>
      </c>
    </row>
    <row r="166" ht="7.5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</row>
    <row r="167" ht="18.75" customHeight="1">
      <c r="A167" s="18" t="s">
        <v>732</v>
      </c>
      <c r="B167" s="19" t="s">
        <v>1666</v>
      </c>
      <c r="C167" s="20"/>
      <c r="D167" s="18" t="s">
        <v>734</v>
      </c>
      <c r="E167" s="19" t="s">
        <v>1668</v>
      </c>
      <c r="F167" s="20"/>
      <c r="G167" s="18" t="s">
        <v>1183</v>
      </c>
      <c r="H167" s="19" t="s">
        <v>1669</v>
      </c>
      <c r="I167" s="20"/>
      <c r="J167" s="18" t="s">
        <v>1320</v>
      </c>
      <c r="K167" s="19" t="s">
        <v>1672</v>
      </c>
      <c r="L167" s="20"/>
      <c r="M167" s="18" t="s">
        <v>1184</v>
      </c>
      <c r="N167" s="19" t="s">
        <v>594</v>
      </c>
      <c r="O167" s="20"/>
    </row>
    <row r="168" ht="180.0" customHeight="1">
      <c r="A168" s="21" t="str">
        <f>IMAGE("https://assets.tcgdex.net/de/sv/sv04/206/low.jpg", 1)</f>
        <v/>
      </c>
      <c r="B168" s="22"/>
      <c r="C168" s="20"/>
      <c r="D168" s="21" t="str">
        <f>IMAGE("https://assets.tcgdex.net/de/sv/sv04/207/low.jpg", 1)</f>
        <v/>
      </c>
      <c r="E168" s="22"/>
      <c r="F168" s="20"/>
      <c r="G168" s="21" t="str">
        <f>IMAGE("https://assets.tcgdex.net/de/sv/sv04/208/low.jpg", 1)</f>
        <v/>
      </c>
      <c r="H168" s="22"/>
      <c r="I168" s="20"/>
      <c r="J168" s="21" t="str">
        <f>IMAGE("https://assets.tcgdex.net/de/sv/sv04/209/low.jpg", 1)</f>
        <v/>
      </c>
      <c r="K168" s="22"/>
      <c r="L168" s="20"/>
      <c r="M168" s="21" t="str">
        <f>IMAGE("https://assets.tcgdex.net/de/sv/sv04/210/low.jpg", 1)</f>
        <v/>
      </c>
      <c r="N168" s="22"/>
      <c r="O168" s="20"/>
    </row>
    <row r="169" ht="22.5" customHeight="1">
      <c r="A169" s="23" t="b">
        <v>0</v>
      </c>
      <c r="B169" s="24" t="b">
        <v>0</v>
      </c>
      <c r="C169" s="25" t="str">
        <f>HYPERLINK("https://www.cardmarket.com/en/Pokemon/Products/Singles?idCategory=1&amp;idProduct=sv4-206", "CM")</f>
        <v>CM</v>
      </c>
      <c r="D169" s="23" t="b">
        <v>0</v>
      </c>
      <c r="E169" s="24" t="b">
        <v>0</v>
      </c>
      <c r="F169" s="25" t="str">
        <f>HYPERLINK("https://www.cardmarket.com/en/Pokemon/Products/Singles?idCategory=1&amp;idProduct=sv4-207", "CM")</f>
        <v>CM</v>
      </c>
      <c r="G169" s="23" t="b">
        <v>0</v>
      </c>
      <c r="H169" s="24" t="b">
        <v>0</v>
      </c>
      <c r="I169" s="25" t="str">
        <f>HYPERLINK("https://www.cardmarket.com/en/Pokemon/Products/Singles?idCategory=1&amp;idProduct=sv4-208", "CM")</f>
        <v>CM</v>
      </c>
      <c r="J169" s="23" t="b">
        <v>0</v>
      </c>
      <c r="K169" s="24" t="b">
        <v>0</v>
      </c>
      <c r="L169" s="25" t="str">
        <f>HYPERLINK("https://www.cardmarket.com/en/Pokemon/Products/Singles?idCategory=1&amp;idProduct=sv4-209", "CM")</f>
        <v>CM</v>
      </c>
      <c r="M169" s="23" t="b">
        <v>0</v>
      </c>
      <c r="N169" s="24" t="b">
        <v>0</v>
      </c>
      <c r="O169" s="25" t="str">
        <f>HYPERLINK("https://www.cardmarket.com/en/Pokemon/Products/Singles?idCategory=1&amp;idProduct=sv4-210", "CM")</f>
        <v>CM</v>
      </c>
    </row>
    <row r="170" ht="7.5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</row>
    <row r="171" ht="18.75" customHeight="1">
      <c r="A171" s="18" t="s">
        <v>1321</v>
      </c>
      <c r="B171" s="19" t="s">
        <v>1681</v>
      </c>
      <c r="C171" s="20"/>
      <c r="D171" s="18" t="s">
        <v>1322</v>
      </c>
      <c r="E171" s="19" t="s">
        <v>1684</v>
      </c>
      <c r="F171" s="20"/>
      <c r="G171" s="18" t="s">
        <v>1323</v>
      </c>
      <c r="H171" s="19" t="s">
        <v>1455</v>
      </c>
      <c r="I171" s="20"/>
      <c r="J171" s="18" t="s">
        <v>1186</v>
      </c>
      <c r="K171" s="19" t="s">
        <v>1680</v>
      </c>
      <c r="L171" s="20"/>
      <c r="M171" s="18" t="s">
        <v>1324</v>
      </c>
      <c r="N171" s="19" t="s">
        <v>814</v>
      </c>
      <c r="O171" s="20"/>
    </row>
    <row r="172" ht="180.0" customHeight="1">
      <c r="A172" s="21" t="str">
        <f>IMAGE("https://assets.tcgdex.net/de/sv/sv04/211/low.jpg", 1)</f>
        <v/>
      </c>
      <c r="B172" s="22"/>
      <c r="C172" s="20"/>
      <c r="D172" s="21" t="str">
        <f>IMAGE("https://assets.tcgdex.net/de/sv/sv04/212/low.jpg", 1)</f>
        <v/>
      </c>
      <c r="E172" s="22"/>
      <c r="F172" s="20"/>
      <c r="G172" s="21" t="str">
        <f>IMAGE("https://assets.tcgdex.net/de/sv/sv04/213/low.jpg", 1)</f>
        <v/>
      </c>
      <c r="H172" s="22"/>
      <c r="I172" s="20"/>
      <c r="J172" s="21" t="str">
        <f>IMAGE("https://assets.tcgdex.net/de/sv/sv04/214/low.jpg", 1)</f>
        <v/>
      </c>
      <c r="K172" s="22"/>
      <c r="L172" s="20"/>
      <c r="M172" s="21" t="str">
        <f>IMAGE("https://assets.tcgdex.net/de/sv/sv04/215/low.jpg", 1)</f>
        <v/>
      </c>
      <c r="N172" s="22"/>
      <c r="O172" s="20"/>
    </row>
    <row r="173" ht="22.5" customHeight="1">
      <c r="A173" s="23" t="b">
        <v>0</v>
      </c>
      <c r="B173" s="24" t="b">
        <v>0</v>
      </c>
      <c r="C173" s="25" t="str">
        <f>HYPERLINK("https://www.cardmarket.com/en/Pokemon/Products/Singles?idCategory=1&amp;idProduct=sv4-211", "CM")</f>
        <v>CM</v>
      </c>
      <c r="D173" s="23" t="b">
        <v>0</v>
      </c>
      <c r="E173" s="24" t="b">
        <v>0</v>
      </c>
      <c r="F173" s="25" t="str">
        <f>HYPERLINK("https://www.cardmarket.com/en/Pokemon/Products/Singles?idCategory=1&amp;idProduct=sv4-212", "CM")</f>
        <v>CM</v>
      </c>
      <c r="G173" s="23" t="b">
        <v>0</v>
      </c>
      <c r="H173" s="24" t="b">
        <v>0</v>
      </c>
      <c r="I173" s="25" t="str">
        <f>HYPERLINK("https://www.cardmarket.com/en/Pokemon/Products/Singles?idCategory=1&amp;idProduct=sv4-213", "CM")</f>
        <v>CM</v>
      </c>
      <c r="J173" s="23" t="b">
        <v>0</v>
      </c>
      <c r="K173" s="24" t="b">
        <v>0</v>
      </c>
      <c r="L173" s="25" t="str">
        <f>HYPERLINK("https://www.cardmarket.com/en/Pokemon/Products/Singles?idCategory=1&amp;idProduct=sv4-214", "CM")</f>
        <v>CM</v>
      </c>
      <c r="M173" s="23" t="b">
        <v>0</v>
      </c>
      <c r="N173" s="24" t="b">
        <v>0</v>
      </c>
      <c r="O173" s="25" t="str">
        <f>HYPERLINK("https://www.cardmarket.com/en/Pokemon/Products/Singles?idCategory=1&amp;idProduct=sv4-215", "CM")</f>
        <v>CM</v>
      </c>
    </row>
    <row r="174" ht="7.5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</row>
    <row r="175" ht="18.75" customHeight="1">
      <c r="A175" s="18" t="s">
        <v>1325</v>
      </c>
      <c r="B175" s="19" t="s">
        <v>1689</v>
      </c>
      <c r="C175" s="20"/>
      <c r="D175" s="18" t="s">
        <v>1326</v>
      </c>
      <c r="E175" s="19" t="s">
        <v>1592</v>
      </c>
      <c r="F175" s="20"/>
      <c r="G175" s="18" t="s">
        <v>1327</v>
      </c>
      <c r="H175" s="19" t="s">
        <v>637</v>
      </c>
      <c r="I175" s="20"/>
      <c r="J175" s="18" t="s">
        <v>1328</v>
      </c>
      <c r="K175" s="19" t="s">
        <v>1611</v>
      </c>
      <c r="L175" s="20"/>
      <c r="M175" s="18" t="s">
        <v>1329</v>
      </c>
      <c r="N175" s="19" t="s">
        <v>1619</v>
      </c>
      <c r="O175" s="20"/>
    </row>
    <row r="176" ht="180.0" customHeight="1">
      <c r="A176" s="21" t="str">
        <f>IMAGE("https://assets.tcgdex.net/de/sv/sv04/216/low.jpg", 1)</f>
        <v/>
      </c>
      <c r="B176" s="22"/>
      <c r="C176" s="20"/>
      <c r="D176" s="21" t="str">
        <f>IMAGE("https://assets.tcgdex.net/de/sv/sv04/217/low.jpg", 1)</f>
        <v/>
      </c>
      <c r="E176" s="22"/>
      <c r="F176" s="20"/>
      <c r="G176" s="21" t="str">
        <f>IMAGE("https://assets.tcgdex.net/de/sv/sv04/218/low.jpg", 1)</f>
        <v/>
      </c>
      <c r="H176" s="22"/>
      <c r="I176" s="20"/>
      <c r="J176" s="21" t="str">
        <f>IMAGE("https://assets.tcgdex.net/de/sv/sv04/219/low.jpg", 1)</f>
        <v/>
      </c>
      <c r="K176" s="22"/>
      <c r="L176" s="20"/>
      <c r="M176" s="21" t="str">
        <f>IMAGE("https://assets.tcgdex.net/de/sv/sv04/220/low.jpg", 1)</f>
        <v/>
      </c>
      <c r="N176" s="22"/>
      <c r="O176" s="20"/>
    </row>
    <row r="177" ht="22.5" customHeight="1">
      <c r="A177" s="23" t="b">
        <v>0</v>
      </c>
      <c r="B177" s="24" t="b">
        <v>0</v>
      </c>
      <c r="C177" s="25" t="str">
        <f>HYPERLINK("https://www.cardmarket.com/en/Pokemon/Products/Singles?idCategory=1&amp;idProduct=sv4-216", "CM")</f>
        <v>CM</v>
      </c>
      <c r="D177" s="23" t="b">
        <v>0</v>
      </c>
      <c r="E177" s="24" t="b">
        <v>0</v>
      </c>
      <c r="F177" s="25" t="str">
        <f>HYPERLINK("https://www.cardmarket.com/en/Pokemon/Products/Singles?idCategory=1&amp;idProduct=sv4-217", "CM")</f>
        <v>CM</v>
      </c>
      <c r="G177" s="23" t="b">
        <v>0</v>
      </c>
      <c r="H177" s="24" t="b">
        <v>0</v>
      </c>
      <c r="I177" s="25" t="str">
        <f>HYPERLINK("https://www.cardmarket.com/en/Pokemon/Products/Singles?idCategory=1&amp;idProduct=sv4-218", "CM")</f>
        <v>CM</v>
      </c>
      <c r="J177" s="23" t="b">
        <v>0</v>
      </c>
      <c r="K177" s="24" t="b">
        <v>0</v>
      </c>
      <c r="L177" s="25" t="str">
        <f>HYPERLINK("https://www.cardmarket.com/en/Pokemon/Products/Singles?idCategory=1&amp;idProduct=sv4-219", "CM")</f>
        <v>CM</v>
      </c>
      <c r="M177" s="23" t="b">
        <v>0</v>
      </c>
      <c r="N177" s="24" t="b">
        <v>0</v>
      </c>
      <c r="O177" s="25" t="str">
        <f>HYPERLINK("https://www.cardmarket.com/en/Pokemon/Products/Singles?idCategory=1&amp;idProduct=sv4-220", "CM")</f>
        <v>CM</v>
      </c>
    </row>
    <row r="178" ht="7.5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</row>
    <row r="179" ht="18.75" customHeight="1">
      <c r="A179" s="18" t="s">
        <v>1330</v>
      </c>
      <c r="B179" s="19" t="s">
        <v>1622</v>
      </c>
      <c r="C179" s="20"/>
      <c r="D179" s="18" t="s">
        <v>1187</v>
      </c>
      <c r="E179" s="19" t="s">
        <v>1634</v>
      </c>
      <c r="F179" s="20"/>
      <c r="G179" s="18" t="s">
        <v>1331</v>
      </c>
      <c r="H179" s="19" t="s">
        <v>1635</v>
      </c>
      <c r="I179" s="20"/>
      <c r="J179" s="18" t="s">
        <v>1332</v>
      </c>
      <c r="K179" s="19" t="s">
        <v>1639</v>
      </c>
      <c r="L179" s="20"/>
      <c r="M179" s="18" t="s">
        <v>1333</v>
      </c>
      <c r="N179" s="19" t="s">
        <v>794</v>
      </c>
      <c r="O179" s="20"/>
    </row>
    <row r="180" ht="180.0" customHeight="1">
      <c r="A180" s="21" t="str">
        <f>IMAGE("https://assets.tcgdex.net/de/sv/sv04/221/low.jpg", 1)</f>
        <v/>
      </c>
      <c r="B180" s="22"/>
      <c r="C180" s="20"/>
      <c r="D180" s="21" t="str">
        <f>IMAGE("https://assets.tcgdex.net/de/sv/sv04/222/low.jpg", 1)</f>
        <v/>
      </c>
      <c r="E180" s="22"/>
      <c r="F180" s="20"/>
      <c r="G180" s="21" t="str">
        <f>IMAGE("https://assets.tcgdex.net/de/sv/sv04/223/low.jpg", 1)</f>
        <v/>
      </c>
      <c r="H180" s="22"/>
      <c r="I180" s="20"/>
      <c r="J180" s="21" t="str">
        <f>IMAGE("https://assets.tcgdex.net/de/sv/sv04/224/low.jpg", 1)</f>
        <v/>
      </c>
      <c r="K180" s="22"/>
      <c r="L180" s="20"/>
      <c r="M180" s="21" t="str">
        <f>IMAGE("https://assets.tcgdex.net/de/sv/sv04/225/low.jpg", 1)</f>
        <v/>
      </c>
      <c r="N180" s="22"/>
      <c r="O180" s="20"/>
    </row>
    <row r="181" ht="22.5" customHeight="1">
      <c r="A181" s="23" t="b">
        <v>0</v>
      </c>
      <c r="B181" s="24" t="b">
        <v>0</v>
      </c>
      <c r="C181" s="25" t="str">
        <f>HYPERLINK("https://www.cardmarket.com/en/Pokemon/Products/Singles?idCategory=1&amp;idProduct=sv4-221", "CM")</f>
        <v>CM</v>
      </c>
      <c r="D181" s="23" t="b">
        <v>0</v>
      </c>
      <c r="E181" s="24" t="b">
        <v>0</v>
      </c>
      <c r="F181" s="25" t="str">
        <f>HYPERLINK("https://www.cardmarket.com/en/Pokemon/Products/Singles?idCategory=1&amp;idProduct=sv4-222", "CM")</f>
        <v>CM</v>
      </c>
      <c r="G181" s="23" t="b">
        <v>0</v>
      </c>
      <c r="H181" s="24" t="b">
        <v>0</v>
      </c>
      <c r="I181" s="25" t="str">
        <f>HYPERLINK("https://www.cardmarket.com/en/Pokemon/Products/Singles?idCategory=1&amp;idProduct=sv4-223", "CM")</f>
        <v>CM</v>
      </c>
      <c r="J181" s="23" t="b">
        <v>0</v>
      </c>
      <c r="K181" s="24" t="b">
        <v>0</v>
      </c>
      <c r="L181" s="25" t="str">
        <f>HYPERLINK("https://www.cardmarket.com/en/Pokemon/Products/Singles?idCategory=1&amp;idProduct=sv4-224", "CM")</f>
        <v>CM</v>
      </c>
      <c r="M181" s="23" t="b">
        <v>0</v>
      </c>
      <c r="N181" s="24" t="b">
        <v>0</v>
      </c>
      <c r="O181" s="25" t="str">
        <f>HYPERLINK("https://www.cardmarket.com/en/Pokemon/Products/Singles?idCategory=1&amp;idProduct=sv4-225", "CM")</f>
        <v>CM</v>
      </c>
    </row>
    <row r="182" ht="7.5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</row>
    <row r="183" ht="18.75" customHeight="1">
      <c r="A183" s="18" t="s">
        <v>1189</v>
      </c>
      <c r="B183" s="19" t="s">
        <v>1651</v>
      </c>
      <c r="C183" s="20"/>
      <c r="D183" s="18" t="s">
        <v>1334</v>
      </c>
      <c r="E183" s="19" t="s">
        <v>1653</v>
      </c>
      <c r="F183" s="20"/>
      <c r="G183" s="18" t="s">
        <v>1335</v>
      </c>
      <c r="H183" s="19" t="s">
        <v>1658</v>
      </c>
      <c r="I183" s="20"/>
      <c r="J183" s="18" t="s">
        <v>1191</v>
      </c>
      <c r="K183" s="19" t="s">
        <v>792</v>
      </c>
      <c r="L183" s="20"/>
      <c r="M183" s="18" t="s">
        <v>1336</v>
      </c>
      <c r="N183" s="19" t="s">
        <v>1676</v>
      </c>
      <c r="O183" s="20"/>
    </row>
    <row r="184" ht="180.0" customHeight="1">
      <c r="A184" s="21" t="str">
        <f>IMAGE("https://assets.tcgdex.net/de/sv/sv04/226/low.jpg", 1)</f>
        <v/>
      </c>
      <c r="B184" s="22"/>
      <c r="C184" s="20"/>
      <c r="D184" s="21" t="str">
        <f>IMAGE("https://assets.tcgdex.net/de/sv/sv04/227/low.jpg", 1)</f>
        <v/>
      </c>
      <c r="E184" s="22"/>
      <c r="F184" s="20"/>
      <c r="G184" s="21" t="str">
        <f>IMAGE("https://assets.tcgdex.net/de/sv/sv04/228/low.jpg", 1)</f>
        <v/>
      </c>
      <c r="H184" s="22"/>
      <c r="I184" s="20"/>
      <c r="J184" s="21" t="str">
        <f>IMAGE("https://assets.tcgdex.net/de/sv/sv04/229/low.jpg", 1)</f>
        <v/>
      </c>
      <c r="K184" s="22"/>
      <c r="L184" s="20"/>
      <c r="M184" s="21" t="str">
        <f>IMAGE("https://assets.tcgdex.net/de/sv/sv04/230/low.jpg", 1)</f>
        <v/>
      </c>
      <c r="N184" s="22"/>
      <c r="O184" s="20"/>
    </row>
    <row r="185" ht="22.5" customHeight="1">
      <c r="A185" s="23" t="b">
        <v>0</v>
      </c>
      <c r="B185" s="24" t="b">
        <v>0</v>
      </c>
      <c r="C185" s="25" t="str">
        <f>HYPERLINK("https://www.cardmarket.com/en/Pokemon/Products/Singles?idCategory=1&amp;idProduct=sv4-226", "CM")</f>
        <v>CM</v>
      </c>
      <c r="D185" s="23" t="b">
        <v>0</v>
      </c>
      <c r="E185" s="24" t="b">
        <v>0</v>
      </c>
      <c r="F185" s="25" t="str">
        <f>HYPERLINK("https://www.cardmarket.com/en/Pokemon/Products/Singles?idCategory=1&amp;idProduct=sv4-227", "CM")</f>
        <v>CM</v>
      </c>
      <c r="G185" s="23" t="b">
        <v>0</v>
      </c>
      <c r="H185" s="24" t="b">
        <v>0</v>
      </c>
      <c r="I185" s="25" t="str">
        <f>HYPERLINK("https://www.cardmarket.com/en/Pokemon/Products/Singles?idCategory=1&amp;idProduct=sv4-228", "CM")</f>
        <v>CM</v>
      </c>
      <c r="J185" s="23" t="b">
        <v>0</v>
      </c>
      <c r="K185" s="24" t="b">
        <v>0</v>
      </c>
      <c r="L185" s="25" t="str">
        <f>HYPERLINK("https://www.cardmarket.com/en/Pokemon/Products/Singles?idCategory=1&amp;idProduct=sv4-229", "CM")</f>
        <v>CM</v>
      </c>
      <c r="M185" s="23" t="b">
        <v>0</v>
      </c>
      <c r="N185" s="24" t="b">
        <v>0</v>
      </c>
      <c r="O185" s="25" t="str">
        <f>HYPERLINK("https://www.cardmarket.com/en/Pokemon/Products/Singles?idCategory=1&amp;idProduct=sv4-230", "CM")</f>
        <v>CM</v>
      </c>
    </row>
    <row r="186" ht="7.5" customHeigh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</row>
    <row r="187" ht="18.75" customHeight="1">
      <c r="A187" s="18" t="s">
        <v>1337</v>
      </c>
      <c r="B187" s="19" t="s">
        <v>1678</v>
      </c>
      <c r="C187" s="20"/>
      <c r="D187" s="18" t="s">
        <v>1338</v>
      </c>
      <c r="E187" s="19" t="s">
        <v>1679</v>
      </c>
      <c r="F187" s="20"/>
      <c r="G187" s="18" t="s">
        <v>1339</v>
      </c>
      <c r="H187" s="19" t="s">
        <v>1687</v>
      </c>
      <c r="I187" s="20"/>
      <c r="J187" s="18" t="s">
        <v>1340</v>
      </c>
      <c r="K187" s="19" t="s">
        <v>1688</v>
      </c>
      <c r="L187" s="20"/>
      <c r="M187" s="18" t="s">
        <v>1193</v>
      </c>
      <c r="N187" s="19" t="s">
        <v>1696</v>
      </c>
      <c r="O187" s="20"/>
    </row>
    <row r="188" ht="180.0" customHeight="1">
      <c r="A188" s="21" t="str">
        <f>IMAGE("https://assets.tcgdex.net/de/sv/sv04/231/low.jpg", 1)</f>
        <v/>
      </c>
      <c r="B188" s="22"/>
      <c r="C188" s="20"/>
      <c r="D188" s="21" t="str">
        <f>IMAGE("https://assets.tcgdex.net/de/sv/sv04/232/low.jpg", 1)</f>
        <v/>
      </c>
      <c r="E188" s="22"/>
      <c r="F188" s="20"/>
      <c r="G188" s="21" t="str">
        <f>IMAGE("https://assets.tcgdex.net/de/sv/sv04/233/low.jpg", 1)</f>
        <v/>
      </c>
      <c r="H188" s="22"/>
      <c r="I188" s="20"/>
      <c r="J188" s="21" t="str">
        <f>IMAGE("https://assets.tcgdex.net/de/sv/sv04/234/low.jpg", 1)</f>
        <v/>
      </c>
      <c r="K188" s="22"/>
      <c r="L188" s="20"/>
      <c r="M188" s="21" t="str">
        <f>IMAGE("https://assets.tcgdex.net/de/sv/sv04/235/low.jpg", 1)</f>
        <v/>
      </c>
      <c r="N188" s="22"/>
      <c r="O188" s="20"/>
    </row>
    <row r="189" ht="22.5" customHeight="1">
      <c r="A189" s="23" t="b">
        <v>0</v>
      </c>
      <c r="B189" s="24" t="b">
        <v>0</v>
      </c>
      <c r="C189" s="25" t="str">
        <f>HYPERLINK("https://www.cardmarket.com/en/Pokemon/Products/Singles?idCategory=1&amp;idProduct=sv4-231", "CM")</f>
        <v>CM</v>
      </c>
      <c r="D189" s="23" t="b">
        <v>0</v>
      </c>
      <c r="E189" s="24" t="b">
        <v>0</v>
      </c>
      <c r="F189" s="25" t="str">
        <f>HYPERLINK("https://www.cardmarket.com/en/Pokemon/Products/Singles?idCategory=1&amp;idProduct=sv4-232", "CM")</f>
        <v>CM</v>
      </c>
      <c r="G189" s="23" t="b">
        <v>0</v>
      </c>
      <c r="H189" s="24" t="b">
        <v>0</v>
      </c>
      <c r="I189" s="25" t="str">
        <f>HYPERLINK("https://www.cardmarket.com/en/Pokemon/Products/Singles?idCategory=1&amp;idProduct=sv4-233", "CM")</f>
        <v>CM</v>
      </c>
      <c r="J189" s="23" t="b">
        <v>0</v>
      </c>
      <c r="K189" s="24" t="b">
        <v>0</v>
      </c>
      <c r="L189" s="25" t="str">
        <f>HYPERLINK("https://www.cardmarket.com/en/Pokemon/Products/Singles?idCategory=1&amp;idProduct=sv4-234", "CM")</f>
        <v>CM</v>
      </c>
      <c r="M189" s="23" t="b">
        <v>0</v>
      </c>
      <c r="N189" s="24" t="b">
        <v>0</v>
      </c>
      <c r="O189" s="25" t="str">
        <f>HYPERLINK("https://www.cardmarket.com/en/Pokemon/Products/Singles?idCategory=1&amp;idProduct=sv4-235", "CM")</f>
        <v>CM</v>
      </c>
    </row>
    <row r="190" ht="7.5" customHeight="1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</row>
    <row r="191" ht="18.75" customHeight="1">
      <c r="A191" s="18" t="s">
        <v>1341</v>
      </c>
      <c r="B191" s="19" t="s">
        <v>1698</v>
      </c>
      <c r="C191" s="20"/>
      <c r="D191" s="18" t="s">
        <v>1342</v>
      </c>
      <c r="E191" s="19" t="s">
        <v>1699</v>
      </c>
      <c r="F191" s="20"/>
      <c r="G191" s="18" t="s">
        <v>1343</v>
      </c>
      <c r="H191" s="19" t="s">
        <v>1700</v>
      </c>
      <c r="I191" s="20"/>
      <c r="J191" s="18" t="s">
        <v>1195</v>
      </c>
      <c r="K191" s="19" t="s">
        <v>1701</v>
      </c>
      <c r="L191" s="20"/>
      <c r="M191" s="18" t="s">
        <v>1344</v>
      </c>
      <c r="N191" s="19" t="s">
        <v>1702</v>
      </c>
      <c r="O191" s="20"/>
    </row>
    <row r="192" ht="180.0" customHeight="1">
      <c r="A192" s="21" t="str">
        <f>IMAGE("https://assets.tcgdex.net/de/sv/sv04/236/low.jpg", 1)</f>
        <v/>
      </c>
      <c r="B192" s="22"/>
      <c r="C192" s="20"/>
      <c r="D192" s="21" t="str">
        <f>IMAGE("https://assets.tcgdex.net/de/sv/sv04/237/low.jpg", 1)</f>
        <v/>
      </c>
      <c r="E192" s="22"/>
      <c r="F192" s="20"/>
      <c r="G192" s="21" t="str">
        <f>IMAGE("https://assets.tcgdex.net/de/sv/sv04/238/low.jpg", 1)</f>
        <v/>
      </c>
      <c r="H192" s="22"/>
      <c r="I192" s="20"/>
      <c r="J192" s="21" t="str">
        <f>IMAGE("https://assets.tcgdex.net/de/sv/sv04/239/low.jpg", 1)</f>
        <v/>
      </c>
      <c r="K192" s="22"/>
      <c r="L192" s="20"/>
      <c r="M192" s="21" t="str">
        <f>IMAGE("https://assets.tcgdex.net/de/sv/sv04/240/low.jpg", 1)</f>
        <v/>
      </c>
      <c r="N192" s="22"/>
      <c r="O192" s="20"/>
    </row>
    <row r="193" ht="22.5" customHeight="1">
      <c r="A193" s="23" t="b">
        <v>0</v>
      </c>
      <c r="B193" s="24" t="b">
        <v>0</v>
      </c>
      <c r="C193" s="25" t="str">
        <f>HYPERLINK("https://www.cardmarket.com/en/Pokemon/Products/Singles?idCategory=1&amp;idProduct=sv4-236", "CM")</f>
        <v>CM</v>
      </c>
      <c r="D193" s="23" t="b">
        <v>0</v>
      </c>
      <c r="E193" s="24" t="b">
        <v>0</v>
      </c>
      <c r="F193" s="25" t="str">
        <f>HYPERLINK("https://www.cardmarket.com/en/Pokemon/Products/Singles?idCategory=1&amp;idProduct=sv4-237", "CM")</f>
        <v>CM</v>
      </c>
      <c r="G193" s="23" t="b">
        <v>0</v>
      </c>
      <c r="H193" s="24" t="b">
        <v>0</v>
      </c>
      <c r="I193" s="25" t="str">
        <f>HYPERLINK("https://www.cardmarket.com/en/Pokemon/Products/Singles?idCategory=1&amp;idProduct=sv4-238", "CM")</f>
        <v>CM</v>
      </c>
      <c r="J193" s="23" t="b">
        <v>0</v>
      </c>
      <c r="K193" s="24" t="b">
        <v>0</v>
      </c>
      <c r="L193" s="25" t="str">
        <f>HYPERLINK("https://www.cardmarket.com/en/Pokemon/Products/Singles?idCategory=1&amp;idProduct=sv4-239", "CM")</f>
        <v>CM</v>
      </c>
      <c r="M193" s="23" t="b">
        <v>0</v>
      </c>
      <c r="N193" s="24" t="b">
        <v>0</v>
      </c>
      <c r="O193" s="25" t="str">
        <f>HYPERLINK("https://www.cardmarket.com/en/Pokemon/Products/Singles?idCategory=1&amp;idProduct=sv4-240", "CM")</f>
        <v>CM</v>
      </c>
    </row>
    <row r="194" ht="7.5" customHeight="1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</row>
    <row r="195" ht="18.75" customHeight="1">
      <c r="A195" s="18" t="s">
        <v>1345</v>
      </c>
      <c r="B195" s="19" t="s">
        <v>1703</v>
      </c>
      <c r="C195" s="20"/>
      <c r="D195" s="18" t="s">
        <v>1346</v>
      </c>
      <c r="E195" s="19" t="s">
        <v>1704</v>
      </c>
      <c r="F195" s="20"/>
      <c r="G195" s="18" t="s">
        <v>1347</v>
      </c>
      <c r="H195" s="19" t="s">
        <v>1705</v>
      </c>
      <c r="I195" s="20"/>
      <c r="J195" s="18" t="s">
        <v>1197</v>
      </c>
      <c r="K195" s="19" t="s">
        <v>1712</v>
      </c>
      <c r="L195" s="20"/>
      <c r="M195" s="18" t="s">
        <v>1348</v>
      </c>
      <c r="N195" s="19" t="s">
        <v>1611</v>
      </c>
      <c r="O195" s="20"/>
    </row>
    <row r="196" ht="180.0" customHeight="1">
      <c r="A196" s="21" t="str">
        <f>IMAGE("https://assets.tcgdex.net/de/sv/sv04/241/low.jpg", 1)</f>
        <v/>
      </c>
      <c r="B196" s="22"/>
      <c r="C196" s="20"/>
      <c r="D196" s="21" t="str">
        <f>IMAGE("https://assets.tcgdex.net/de/sv/sv04/242/low.jpg", 1)</f>
        <v/>
      </c>
      <c r="E196" s="22"/>
      <c r="F196" s="20"/>
      <c r="G196" s="21" t="str">
        <f>IMAGE("https://assets.tcgdex.net/de/sv/sv04/243/low.jpg", 1)</f>
        <v/>
      </c>
      <c r="H196" s="22"/>
      <c r="I196" s="20"/>
      <c r="J196" s="21" t="str">
        <f>IMAGE("https://assets.tcgdex.net/de/sv/sv04/244/low.jpg", 1)</f>
        <v/>
      </c>
      <c r="K196" s="22"/>
      <c r="L196" s="20"/>
      <c r="M196" s="21" t="str">
        <f>IMAGE("https://assets.tcgdex.net/de/sv/sv04/245/low.jpg", 1)</f>
        <v/>
      </c>
      <c r="N196" s="22"/>
      <c r="O196" s="20"/>
    </row>
    <row r="197" ht="22.5" customHeight="1">
      <c r="A197" s="23" t="b">
        <v>0</v>
      </c>
      <c r="B197" s="24" t="b">
        <v>0</v>
      </c>
      <c r="C197" s="25" t="str">
        <f>HYPERLINK("https://www.cardmarket.com/en/Pokemon/Products/Singles?idCategory=1&amp;idProduct=sv4-241", "CM")</f>
        <v>CM</v>
      </c>
      <c r="D197" s="23" t="b">
        <v>0</v>
      </c>
      <c r="E197" s="24" t="b">
        <v>0</v>
      </c>
      <c r="F197" s="25" t="str">
        <f>HYPERLINK("https://www.cardmarket.com/en/Pokemon/Products/Singles?idCategory=1&amp;idProduct=sv4-242", "CM")</f>
        <v>CM</v>
      </c>
      <c r="G197" s="23" t="b">
        <v>0</v>
      </c>
      <c r="H197" s="24" t="b">
        <v>0</v>
      </c>
      <c r="I197" s="25" t="str">
        <f>HYPERLINK("https://www.cardmarket.com/en/Pokemon/Products/Singles?idCategory=1&amp;idProduct=sv4-243", "CM")</f>
        <v>CM</v>
      </c>
      <c r="J197" s="23" t="b">
        <v>0</v>
      </c>
      <c r="K197" s="24" t="b">
        <v>0</v>
      </c>
      <c r="L197" s="25" t="str">
        <f>HYPERLINK("https://www.cardmarket.com/en/Pokemon/Products/Singles?idCategory=1&amp;idProduct=sv4-244", "CM")</f>
        <v>CM</v>
      </c>
      <c r="M197" s="23" t="b">
        <v>0</v>
      </c>
      <c r="N197" s="24" t="b">
        <v>0</v>
      </c>
      <c r="O197" s="25" t="str">
        <f>HYPERLINK("https://www.cardmarket.com/en/Pokemon/Products/Singles?idCategory=1&amp;idProduct=sv4-245", "CM")</f>
        <v>CM</v>
      </c>
    </row>
    <row r="198" ht="7.5" customHeight="1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</row>
    <row r="199" ht="18.75" customHeight="1">
      <c r="A199" s="18" t="s">
        <v>1198</v>
      </c>
      <c r="B199" s="19" t="s">
        <v>1622</v>
      </c>
      <c r="C199" s="20"/>
      <c r="D199" s="18" t="s">
        <v>1349</v>
      </c>
      <c r="E199" s="19" t="s">
        <v>1634</v>
      </c>
      <c r="F199" s="20"/>
      <c r="G199" s="18" t="s">
        <v>1199</v>
      </c>
      <c r="H199" s="19" t="s">
        <v>1635</v>
      </c>
      <c r="I199" s="20"/>
      <c r="J199" s="18" t="s">
        <v>1350</v>
      </c>
      <c r="K199" s="19" t="s">
        <v>794</v>
      </c>
      <c r="L199" s="20"/>
      <c r="M199" s="18" t="s">
        <v>1351</v>
      </c>
      <c r="N199" s="19" t="s">
        <v>1658</v>
      </c>
      <c r="O199" s="20"/>
    </row>
    <row r="200" ht="180.0" customHeight="1">
      <c r="A200" s="21" t="str">
        <f>IMAGE("https://assets.tcgdex.net/de/sv/sv04/246/low.jpg", 1)</f>
        <v/>
      </c>
      <c r="B200" s="22"/>
      <c r="C200" s="20"/>
      <c r="D200" s="21" t="str">
        <f>IMAGE("https://assets.tcgdex.net/de/sv/sv04/247/low.jpg", 1)</f>
        <v/>
      </c>
      <c r="E200" s="22"/>
      <c r="F200" s="20"/>
      <c r="G200" s="21" t="str">
        <f>IMAGE("https://assets.tcgdex.net/de/sv/sv04/248/low.jpg", 1)</f>
        <v/>
      </c>
      <c r="H200" s="22"/>
      <c r="I200" s="20"/>
      <c r="J200" s="21" t="str">
        <f>IMAGE("https://assets.tcgdex.net/de/sv/sv04/249/low.jpg", 1)</f>
        <v/>
      </c>
      <c r="K200" s="22"/>
      <c r="L200" s="20"/>
      <c r="M200" s="21" t="str">
        <f>IMAGE("https://assets.tcgdex.net/de/sv/sv04/250/low.jpg", 1)</f>
        <v/>
      </c>
      <c r="N200" s="22"/>
      <c r="O200" s="20"/>
    </row>
    <row r="201" ht="22.5" customHeight="1">
      <c r="A201" s="23" t="b">
        <v>0</v>
      </c>
      <c r="B201" s="24" t="b">
        <v>0</v>
      </c>
      <c r="C201" s="25" t="str">
        <f>HYPERLINK("https://www.cardmarket.com/en/Pokemon/Products/Singles?idCategory=1&amp;idProduct=sv4-246", "CM")</f>
        <v>CM</v>
      </c>
      <c r="D201" s="23" t="b">
        <v>0</v>
      </c>
      <c r="E201" s="24" t="b">
        <v>0</v>
      </c>
      <c r="F201" s="25" t="str">
        <f>HYPERLINK("https://www.cardmarket.com/en/Pokemon/Products/Singles?idCategory=1&amp;idProduct=sv4-247", "CM")</f>
        <v>CM</v>
      </c>
      <c r="G201" s="23" t="b">
        <v>0</v>
      </c>
      <c r="H201" s="24" t="b">
        <v>0</v>
      </c>
      <c r="I201" s="25" t="str">
        <f>HYPERLINK("https://www.cardmarket.com/en/Pokemon/Products/Singles?idCategory=1&amp;idProduct=sv4-248", "CM")</f>
        <v>CM</v>
      </c>
      <c r="J201" s="23" t="b">
        <v>0</v>
      </c>
      <c r="K201" s="24" t="b">
        <v>0</v>
      </c>
      <c r="L201" s="25" t="str">
        <f>HYPERLINK("https://www.cardmarket.com/en/Pokemon/Products/Singles?idCategory=1&amp;idProduct=sv4-249", "CM")</f>
        <v>CM</v>
      </c>
      <c r="M201" s="23" t="b">
        <v>0</v>
      </c>
      <c r="N201" s="24" t="b">
        <v>0</v>
      </c>
      <c r="O201" s="25" t="str">
        <f>HYPERLINK("https://www.cardmarket.com/en/Pokemon/Products/Singles?idCategory=1&amp;idProduct=sv4-250", "CM")</f>
        <v>CM</v>
      </c>
    </row>
    <row r="202" ht="7.5" customHeight="1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</row>
    <row r="203" ht="18.75" customHeight="1">
      <c r="A203" s="18" t="s">
        <v>1352</v>
      </c>
      <c r="B203" s="19" t="s">
        <v>792</v>
      </c>
      <c r="C203" s="20"/>
      <c r="D203" s="18" t="s">
        <v>1200</v>
      </c>
      <c r="E203" s="19" t="s">
        <v>1678</v>
      </c>
      <c r="F203" s="20"/>
      <c r="G203" s="18" t="s">
        <v>1353</v>
      </c>
      <c r="H203" s="19" t="s">
        <v>1679</v>
      </c>
      <c r="I203" s="20"/>
      <c r="J203" s="18" t="s">
        <v>1201</v>
      </c>
      <c r="K203" s="19" t="s">
        <v>1698</v>
      </c>
      <c r="L203" s="20"/>
      <c r="M203" s="18" t="s">
        <v>1354</v>
      </c>
      <c r="N203" s="19" t="s">
        <v>1700</v>
      </c>
      <c r="O203" s="20"/>
    </row>
    <row r="204" ht="180.0" customHeight="1">
      <c r="A204" s="21" t="str">
        <f>IMAGE("https://assets.tcgdex.net/de/sv/sv04/251/low.jpg", 1)</f>
        <v/>
      </c>
      <c r="B204" s="22"/>
      <c r="C204" s="20"/>
      <c r="D204" s="21" t="str">
        <f>IMAGE("https://assets.tcgdex.net/de/sv/sv04/252/low.jpg", 1)</f>
        <v/>
      </c>
      <c r="E204" s="22"/>
      <c r="F204" s="20"/>
      <c r="G204" s="21" t="str">
        <f>IMAGE("https://assets.tcgdex.net/de/sv/sv04/253/low.jpg", 1)</f>
        <v/>
      </c>
      <c r="H204" s="22"/>
      <c r="I204" s="20"/>
      <c r="J204" s="21" t="str">
        <f>IMAGE("https://assets.tcgdex.net/de/sv/sv04/254/low.jpg", 1)</f>
        <v/>
      </c>
      <c r="K204" s="22"/>
      <c r="L204" s="20"/>
      <c r="M204" s="21" t="str">
        <f>IMAGE("https://assets.tcgdex.net/de/sv/sv04/255/low.jpg", 1)</f>
        <v/>
      </c>
      <c r="N204" s="22"/>
      <c r="O204" s="20"/>
    </row>
    <row r="205" ht="22.5" customHeight="1">
      <c r="A205" s="23" t="b">
        <v>0</v>
      </c>
      <c r="B205" s="24" t="b">
        <v>0</v>
      </c>
      <c r="C205" s="25" t="str">
        <f>HYPERLINK("https://www.cardmarket.com/en/Pokemon/Products/Singles?idCategory=1&amp;idProduct=sv4-251", "CM")</f>
        <v>CM</v>
      </c>
      <c r="D205" s="23" t="b">
        <v>0</v>
      </c>
      <c r="E205" s="24" t="b">
        <v>0</v>
      </c>
      <c r="F205" s="25" t="str">
        <f>HYPERLINK("https://www.cardmarket.com/en/Pokemon/Products/Singles?idCategory=1&amp;idProduct=sv4-252", "CM")</f>
        <v>CM</v>
      </c>
      <c r="G205" s="23" t="b">
        <v>0</v>
      </c>
      <c r="H205" s="24" t="b">
        <v>0</v>
      </c>
      <c r="I205" s="25" t="str">
        <f>HYPERLINK("https://www.cardmarket.com/en/Pokemon/Products/Singles?idCategory=1&amp;idProduct=sv4-253", "CM")</f>
        <v>CM</v>
      </c>
      <c r="J205" s="23" t="b">
        <v>0</v>
      </c>
      <c r="K205" s="24" t="b">
        <v>0</v>
      </c>
      <c r="L205" s="25" t="str">
        <f>HYPERLINK("https://www.cardmarket.com/en/Pokemon/Products/Singles?idCategory=1&amp;idProduct=sv4-254", "CM")</f>
        <v>CM</v>
      </c>
      <c r="M205" s="23" t="b">
        <v>0</v>
      </c>
      <c r="N205" s="24" t="b">
        <v>0</v>
      </c>
      <c r="O205" s="25" t="str">
        <f>HYPERLINK("https://www.cardmarket.com/en/Pokemon/Products/Singles?idCategory=1&amp;idProduct=sv4-255", "CM")</f>
        <v>CM</v>
      </c>
    </row>
    <row r="206" ht="7.5" customHeight="1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</row>
    <row r="207" ht="18.75" customHeight="1">
      <c r="A207" s="18" t="s">
        <v>1355</v>
      </c>
      <c r="B207" s="19" t="s">
        <v>1701</v>
      </c>
      <c r="C207" s="20"/>
      <c r="D207" s="18" t="s">
        <v>1356</v>
      </c>
      <c r="E207" s="19" t="s">
        <v>1702</v>
      </c>
      <c r="F207" s="20"/>
      <c r="G207" s="18" t="s">
        <v>1202</v>
      </c>
      <c r="H207" s="19" t="s">
        <v>1703</v>
      </c>
      <c r="I207" s="20"/>
      <c r="J207" s="18" t="s">
        <v>1714</v>
      </c>
      <c r="K207" s="19" t="s">
        <v>1712</v>
      </c>
      <c r="L207" s="20"/>
      <c r="M207" s="18" t="s">
        <v>1715</v>
      </c>
      <c r="N207" s="19" t="s">
        <v>1611</v>
      </c>
      <c r="O207" s="20"/>
    </row>
    <row r="208" ht="180.0" customHeight="1">
      <c r="A208" s="21" t="str">
        <f>IMAGE("https://assets.tcgdex.net/de/sv/sv04/256/low.jpg", 1)</f>
        <v/>
      </c>
      <c r="B208" s="22"/>
      <c r="C208" s="20"/>
      <c r="D208" s="21" t="str">
        <f>IMAGE("https://assets.tcgdex.net/de/sv/sv04/257/low.jpg", 1)</f>
        <v/>
      </c>
      <c r="E208" s="22"/>
      <c r="F208" s="20"/>
      <c r="G208" s="21" t="str">
        <f>IMAGE("https://assets.tcgdex.net/de/sv/sv04/258/low.jpg", 1)</f>
        <v/>
      </c>
      <c r="H208" s="22"/>
      <c r="I208" s="20"/>
      <c r="J208" s="21" t="str">
        <f>IMAGE("https://assets.tcgdex.net/de/sv/sv04/259/low.jpg", 1)</f>
        <v/>
      </c>
      <c r="K208" s="22"/>
      <c r="L208" s="20"/>
      <c r="M208" s="21" t="str">
        <f>IMAGE("https://assets.tcgdex.net/de/sv/sv04/260/low.jpg", 1)</f>
        <v/>
      </c>
      <c r="N208" s="22"/>
      <c r="O208" s="20"/>
    </row>
    <row r="209" ht="22.5" customHeight="1">
      <c r="A209" s="23" t="b">
        <v>0</v>
      </c>
      <c r="B209" s="24" t="b">
        <v>0</v>
      </c>
      <c r="C209" s="25" t="str">
        <f>HYPERLINK("https://www.cardmarket.com/en/Pokemon/Products/Singles?idCategory=1&amp;idProduct=sv4-256", "CM")</f>
        <v>CM</v>
      </c>
      <c r="D209" s="23" t="b">
        <v>0</v>
      </c>
      <c r="E209" s="24" t="b">
        <v>0</v>
      </c>
      <c r="F209" s="25" t="str">
        <f>HYPERLINK("https://www.cardmarket.com/en/Pokemon/Products/Singles?idCategory=1&amp;idProduct=sv4-257", "CM")</f>
        <v>CM</v>
      </c>
      <c r="G209" s="23" t="b">
        <v>0</v>
      </c>
      <c r="H209" s="24" t="b">
        <v>0</v>
      </c>
      <c r="I209" s="25" t="str">
        <f>HYPERLINK("https://www.cardmarket.com/en/Pokemon/Products/Singles?idCategory=1&amp;idProduct=sv4-258", "CM")</f>
        <v>CM</v>
      </c>
      <c r="J209" s="23" t="b">
        <v>0</v>
      </c>
      <c r="K209" s="24" t="b">
        <v>0</v>
      </c>
      <c r="L209" s="25" t="str">
        <f>HYPERLINK("https://www.cardmarket.com/en/Pokemon/Products/Singles?idCategory=1&amp;idProduct=sv4-259", "CM")</f>
        <v>CM</v>
      </c>
      <c r="M209" s="23" t="b">
        <v>0</v>
      </c>
      <c r="N209" s="24" t="b">
        <v>0</v>
      </c>
      <c r="O209" s="25" t="str">
        <f>HYPERLINK("https://www.cardmarket.com/en/Pokemon/Products/Singles?idCategory=1&amp;idProduct=sv4-260", "CM")</f>
        <v>CM</v>
      </c>
    </row>
    <row r="210" ht="7.5" customHeight="1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</row>
    <row r="211" ht="18.75" customHeight="1">
      <c r="A211" s="18" t="s">
        <v>1716</v>
      </c>
      <c r="B211" s="19" t="s">
        <v>794</v>
      </c>
      <c r="C211" s="20"/>
      <c r="D211" s="18" t="s">
        <v>1717</v>
      </c>
      <c r="E211" s="19" t="s">
        <v>792</v>
      </c>
      <c r="F211" s="20"/>
      <c r="G211" s="18" t="s">
        <v>1718</v>
      </c>
      <c r="H211" s="19" t="s">
        <v>1302</v>
      </c>
      <c r="I211" s="20"/>
      <c r="J211" s="18" t="s">
        <v>1719</v>
      </c>
      <c r="K211" s="19" t="s">
        <v>1691</v>
      </c>
      <c r="L211" s="20"/>
      <c r="M211" s="18" t="s">
        <v>1720</v>
      </c>
      <c r="N211" s="19" t="s">
        <v>1697</v>
      </c>
      <c r="O211" s="20"/>
    </row>
    <row r="212" ht="180.0" customHeight="1">
      <c r="A212" s="21" t="str">
        <f>IMAGE("https://assets.tcgdex.net/de/sv/sv04/261/low.jpg", 1)</f>
        <v/>
      </c>
      <c r="B212" s="22"/>
      <c r="C212" s="20"/>
      <c r="D212" s="21" t="str">
        <f>IMAGE("https://assets.tcgdex.net/de/sv/sv04/262/low.jpg", 1)</f>
        <v/>
      </c>
      <c r="E212" s="22"/>
      <c r="F212" s="20"/>
      <c r="G212" s="21" t="str">
        <f>IMAGE("https://assets.tcgdex.net/de/sv/sv04/263/low.jpg", 1)</f>
        <v/>
      </c>
      <c r="H212" s="22"/>
      <c r="I212" s="20"/>
      <c r="J212" s="21" t="str">
        <f>IMAGE("https://assets.tcgdex.net/de/sv/sv04/264/low.jpg", 1)</f>
        <v/>
      </c>
      <c r="K212" s="22"/>
      <c r="L212" s="20"/>
      <c r="M212" s="21" t="str">
        <f>IMAGE("https://assets.tcgdex.net/de/sv/sv04/265/low.jpg", 1)</f>
        <v/>
      </c>
      <c r="N212" s="22"/>
      <c r="O212" s="20"/>
    </row>
    <row r="213" ht="22.5" customHeight="1">
      <c r="A213" s="23" t="b">
        <v>0</v>
      </c>
      <c r="B213" s="24" t="b">
        <v>0</v>
      </c>
      <c r="C213" s="25" t="str">
        <f>HYPERLINK("https://www.cardmarket.com/en/Pokemon/Products/Singles?idCategory=1&amp;idProduct=sv4-261", "CM")</f>
        <v>CM</v>
      </c>
      <c r="D213" s="23" t="b">
        <v>0</v>
      </c>
      <c r="E213" s="24" t="b">
        <v>0</v>
      </c>
      <c r="F213" s="25" t="str">
        <f>HYPERLINK("https://www.cardmarket.com/en/Pokemon/Products/Singles?idCategory=1&amp;idProduct=sv4-262", "CM")</f>
        <v>CM</v>
      </c>
      <c r="G213" s="23" t="b">
        <v>0</v>
      </c>
      <c r="H213" s="24" t="b">
        <v>0</v>
      </c>
      <c r="I213" s="25" t="str">
        <f>HYPERLINK("https://www.cardmarket.com/en/Pokemon/Products/Singles?idCategory=1&amp;idProduct=sv4-263", "CM")</f>
        <v>CM</v>
      </c>
      <c r="J213" s="23" t="b">
        <v>0</v>
      </c>
      <c r="K213" s="24" t="b">
        <v>0</v>
      </c>
      <c r="L213" s="25" t="str">
        <f>HYPERLINK("https://www.cardmarket.com/en/Pokemon/Products/Singles?idCategory=1&amp;idProduct=sv4-264", "CM")</f>
        <v>CM</v>
      </c>
      <c r="M213" s="23" t="b">
        <v>0</v>
      </c>
      <c r="N213" s="24" t="b">
        <v>0</v>
      </c>
      <c r="O213" s="25" t="str">
        <f>HYPERLINK("https://www.cardmarket.com/en/Pokemon/Products/Singles?idCategory=1&amp;idProduct=sv4-265", "CM")</f>
        <v>CM</v>
      </c>
    </row>
    <row r="214" ht="7.5" customHeight="1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</row>
    <row r="215" ht="18.75" customHeight="1">
      <c r="A215" s="18" t="s">
        <v>1721</v>
      </c>
      <c r="B215" s="19" t="s">
        <v>1722</v>
      </c>
      <c r="C215" s="20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</row>
    <row r="216" ht="180.0" customHeight="1">
      <c r="A216" s="21" t="str">
        <f>IMAGE("https://assets.tcgdex.net/de/sv/sv04/266/low.jpg", 1)</f>
        <v/>
      </c>
      <c r="B216" s="22"/>
      <c r="C216" s="20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</row>
    <row r="217" ht="22.5" customHeight="1">
      <c r="A217" s="23" t="b">
        <v>0</v>
      </c>
      <c r="B217" s="24" t="b">
        <v>0</v>
      </c>
      <c r="C217" s="25" t="str">
        <f>HYPERLINK("https://www.cardmarket.com/en/Pokemon/Products/Singles?idCategory=1&amp;idProduct=sv4-266", "CM")</f>
        <v>CM</v>
      </c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</row>
    <row r="218" ht="7.5" customHeight="1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</row>
  </sheetData>
  <mergeCells count="534">
    <mergeCell ref="H3:I3"/>
    <mergeCell ref="K3:L3"/>
    <mergeCell ref="J4:L4"/>
    <mergeCell ref="N3:O3"/>
    <mergeCell ref="M4:O4"/>
    <mergeCell ref="A1:N1"/>
    <mergeCell ref="A2:O2"/>
    <mergeCell ref="B3:C3"/>
    <mergeCell ref="A4:C4"/>
    <mergeCell ref="E3:F3"/>
    <mergeCell ref="D4:F4"/>
    <mergeCell ref="G4:I4"/>
    <mergeCell ref="K7:L7"/>
    <mergeCell ref="N7:O7"/>
    <mergeCell ref="M8:O8"/>
    <mergeCell ref="B7:C7"/>
    <mergeCell ref="A8:C8"/>
    <mergeCell ref="E7:F7"/>
    <mergeCell ref="D8:F8"/>
    <mergeCell ref="H7:I7"/>
    <mergeCell ref="G8:I8"/>
    <mergeCell ref="J8:L8"/>
    <mergeCell ref="K11:L11"/>
    <mergeCell ref="N11:O11"/>
    <mergeCell ref="M12:O12"/>
    <mergeCell ref="B11:C11"/>
    <mergeCell ref="A12:C12"/>
    <mergeCell ref="E11:F11"/>
    <mergeCell ref="D12:F12"/>
    <mergeCell ref="H11:I11"/>
    <mergeCell ref="G12:I12"/>
    <mergeCell ref="J12:L12"/>
    <mergeCell ref="K27:L27"/>
    <mergeCell ref="N27:O27"/>
    <mergeCell ref="M28:O28"/>
    <mergeCell ref="B27:C27"/>
    <mergeCell ref="A28:C28"/>
    <mergeCell ref="E27:F27"/>
    <mergeCell ref="D28:F28"/>
    <mergeCell ref="H27:I27"/>
    <mergeCell ref="G28:I28"/>
    <mergeCell ref="J28:L28"/>
    <mergeCell ref="K31:L31"/>
    <mergeCell ref="N31:O31"/>
    <mergeCell ref="M32:O32"/>
    <mergeCell ref="B31:C31"/>
    <mergeCell ref="A32:C32"/>
    <mergeCell ref="E31:F31"/>
    <mergeCell ref="D32:F32"/>
    <mergeCell ref="H31:I31"/>
    <mergeCell ref="G32:I32"/>
    <mergeCell ref="J32:L32"/>
    <mergeCell ref="K35:L35"/>
    <mergeCell ref="N35:O35"/>
    <mergeCell ref="M36:O36"/>
    <mergeCell ref="B35:C35"/>
    <mergeCell ref="A36:C36"/>
    <mergeCell ref="E35:F35"/>
    <mergeCell ref="D36:F36"/>
    <mergeCell ref="H35:I35"/>
    <mergeCell ref="G36:I36"/>
    <mergeCell ref="J36:L36"/>
    <mergeCell ref="K39:L39"/>
    <mergeCell ref="N39:O39"/>
    <mergeCell ref="M40:O40"/>
    <mergeCell ref="B39:C39"/>
    <mergeCell ref="A40:C40"/>
    <mergeCell ref="E39:F39"/>
    <mergeCell ref="D40:F40"/>
    <mergeCell ref="H39:I39"/>
    <mergeCell ref="G40:I40"/>
    <mergeCell ref="J40:L40"/>
    <mergeCell ref="K43:L43"/>
    <mergeCell ref="N43:O43"/>
    <mergeCell ref="M44:O44"/>
    <mergeCell ref="B43:C43"/>
    <mergeCell ref="A44:C44"/>
    <mergeCell ref="E43:F43"/>
    <mergeCell ref="D44:F44"/>
    <mergeCell ref="H43:I43"/>
    <mergeCell ref="G44:I44"/>
    <mergeCell ref="J44:L44"/>
    <mergeCell ref="K47:L47"/>
    <mergeCell ref="N47:O47"/>
    <mergeCell ref="M48:O48"/>
    <mergeCell ref="B47:C47"/>
    <mergeCell ref="A48:C48"/>
    <mergeCell ref="E47:F47"/>
    <mergeCell ref="D48:F48"/>
    <mergeCell ref="H47:I47"/>
    <mergeCell ref="G48:I48"/>
    <mergeCell ref="J48:L48"/>
    <mergeCell ref="K51:L51"/>
    <mergeCell ref="N51:O51"/>
    <mergeCell ref="M52:O52"/>
    <mergeCell ref="B51:C51"/>
    <mergeCell ref="A52:C52"/>
    <mergeCell ref="E51:F51"/>
    <mergeCell ref="D52:F52"/>
    <mergeCell ref="H51:I51"/>
    <mergeCell ref="G52:I52"/>
    <mergeCell ref="J52:L52"/>
    <mergeCell ref="K55:L55"/>
    <mergeCell ref="N55:O55"/>
    <mergeCell ref="M56:O56"/>
    <mergeCell ref="B55:C55"/>
    <mergeCell ref="A56:C56"/>
    <mergeCell ref="E55:F55"/>
    <mergeCell ref="D56:F56"/>
    <mergeCell ref="H55:I55"/>
    <mergeCell ref="G56:I56"/>
    <mergeCell ref="J56:L56"/>
    <mergeCell ref="K59:L59"/>
    <mergeCell ref="N59:O59"/>
    <mergeCell ref="M60:O60"/>
    <mergeCell ref="B59:C59"/>
    <mergeCell ref="A60:C60"/>
    <mergeCell ref="E59:F59"/>
    <mergeCell ref="D60:F60"/>
    <mergeCell ref="H59:I59"/>
    <mergeCell ref="G60:I60"/>
    <mergeCell ref="J60:L60"/>
    <mergeCell ref="K63:L63"/>
    <mergeCell ref="N63:O63"/>
    <mergeCell ref="M64:O64"/>
    <mergeCell ref="B63:C63"/>
    <mergeCell ref="A64:C64"/>
    <mergeCell ref="E63:F63"/>
    <mergeCell ref="D64:F64"/>
    <mergeCell ref="H63:I63"/>
    <mergeCell ref="G64:I64"/>
    <mergeCell ref="J64:L64"/>
    <mergeCell ref="K67:L67"/>
    <mergeCell ref="N67:O67"/>
    <mergeCell ref="M68:O68"/>
    <mergeCell ref="B67:C67"/>
    <mergeCell ref="A68:C68"/>
    <mergeCell ref="E67:F67"/>
    <mergeCell ref="D68:F68"/>
    <mergeCell ref="H67:I67"/>
    <mergeCell ref="G68:I68"/>
    <mergeCell ref="J68:L68"/>
    <mergeCell ref="K71:L71"/>
    <mergeCell ref="N71:O71"/>
    <mergeCell ref="M72:O72"/>
    <mergeCell ref="B71:C71"/>
    <mergeCell ref="A72:C72"/>
    <mergeCell ref="E71:F71"/>
    <mergeCell ref="D72:F72"/>
    <mergeCell ref="H71:I71"/>
    <mergeCell ref="G72:I72"/>
    <mergeCell ref="J72:L72"/>
    <mergeCell ref="K75:L75"/>
    <mergeCell ref="N75:O75"/>
    <mergeCell ref="M76:O76"/>
    <mergeCell ref="B75:C75"/>
    <mergeCell ref="A76:C76"/>
    <mergeCell ref="E75:F75"/>
    <mergeCell ref="D76:F76"/>
    <mergeCell ref="H75:I75"/>
    <mergeCell ref="G76:I76"/>
    <mergeCell ref="J76:L76"/>
    <mergeCell ref="K79:L79"/>
    <mergeCell ref="N79:O79"/>
    <mergeCell ref="M80:O80"/>
    <mergeCell ref="B79:C79"/>
    <mergeCell ref="A80:C80"/>
    <mergeCell ref="E79:F79"/>
    <mergeCell ref="D80:F80"/>
    <mergeCell ref="H79:I79"/>
    <mergeCell ref="G80:I80"/>
    <mergeCell ref="J80:L80"/>
    <mergeCell ref="K83:L83"/>
    <mergeCell ref="N83:O83"/>
    <mergeCell ref="M84:O84"/>
    <mergeCell ref="B83:C83"/>
    <mergeCell ref="A84:C84"/>
    <mergeCell ref="E83:F83"/>
    <mergeCell ref="D84:F84"/>
    <mergeCell ref="H83:I83"/>
    <mergeCell ref="G84:I84"/>
    <mergeCell ref="J84:L84"/>
    <mergeCell ref="K87:L87"/>
    <mergeCell ref="N87:O87"/>
    <mergeCell ref="M88:O88"/>
    <mergeCell ref="B87:C87"/>
    <mergeCell ref="A88:C88"/>
    <mergeCell ref="E87:F87"/>
    <mergeCell ref="D88:F88"/>
    <mergeCell ref="H87:I87"/>
    <mergeCell ref="G88:I88"/>
    <mergeCell ref="J88:L88"/>
    <mergeCell ref="K91:L91"/>
    <mergeCell ref="N91:O91"/>
    <mergeCell ref="M92:O92"/>
    <mergeCell ref="B91:C91"/>
    <mergeCell ref="A92:C92"/>
    <mergeCell ref="E91:F91"/>
    <mergeCell ref="D92:F92"/>
    <mergeCell ref="H91:I91"/>
    <mergeCell ref="G92:I92"/>
    <mergeCell ref="J92:L92"/>
    <mergeCell ref="K95:L95"/>
    <mergeCell ref="N95:O95"/>
    <mergeCell ref="M96:O96"/>
    <mergeCell ref="B95:C95"/>
    <mergeCell ref="A96:C96"/>
    <mergeCell ref="E95:F95"/>
    <mergeCell ref="D96:F96"/>
    <mergeCell ref="H95:I95"/>
    <mergeCell ref="G96:I96"/>
    <mergeCell ref="J96:L96"/>
    <mergeCell ref="K99:L99"/>
    <mergeCell ref="N99:O99"/>
    <mergeCell ref="M100:O100"/>
    <mergeCell ref="B99:C99"/>
    <mergeCell ref="A100:C100"/>
    <mergeCell ref="E99:F99"/>
    <mergeCell ref="D100:F100"/>
    <mergeCell ref="H99:I99"/>
    <mergeCell ref="G100:I100"/>
    <mergeCell ref="J100:L100"/>
    <mergeCell ref="K103:L103"/>
    <mergeCell ref="N103:O103"/>
    <mergeCell ref="M104:O104"/>
    <mergeCell ref="B103:C103"/>
    <mergeCell ref="A104:C104"/>
    <mergeCell ref="E103:F103"/>
    <mergeCell ref="D104:F104"/>
    <mergeCell ref="H103:I103"/>
    <mergeCell ref="G104:I104"/>
    <mergeCell ref="J104:L104"/>
    <mergeCell ref="K107:L107"/>
    <mergeCell ref="N107:O107"/>
    <mergeCell ref="M108:O108"/>
    <mergeCell ref="B107:C107"/>
    <mergeCell ref="A108:C108"/>
    <mergeCell ref="E107:F107"/>
    <mergeCell ref="D108:F108"/>
    <mergeCell ref="H107:I107"/>
    <mergeCell ref="G108:I108"/>
    <mergeCell ref="J108:L108"/>
    <mergeCell ref="K111:L111"/>
    <mergeCell ref="N111:O111"/>
    <mergeCell ref="M112:O112"/>
    <mergeCell ref="B111:C111"/>
    <mergeCell ref="A112:C112"/>
    <mergeCell ref="E111:F111"/>
    <mergeCell ref="D112:F112"/>
    <mergeCell ref="H111:I111"/>
    <mergeCell ref="G112:I112"/>
    <mergeCell ref="J112:L112"/>
    <mergeCell ref="K115:L115"/>
    <mergeCell ref="N115:O115"/>
    <mergeCell ref="M116:O116"/>
    <mergeCell ref="B115:C115"/>
    <mergeCell ref="A116:C116"/>
    <mergeCell ref="E115:F115"/>
    <mergeCell ref="D116:F116"/>
    <mergeCell ref="H115:I115"/>
    <mergeCell ref="G116:I116"/>
    <mergeCell ref="J116:L116"/>
    <mergeCell ref="K119:L119"/>
    <mergeCell ref="N119:O119"/>
    <mergeCell ref="M120:O120"/>
    <mergeCell ref="B119:C119"/>
    <mergeCell ref="A120:C120"/>
    <mergeCell ref="E119:F119"/>
    <mergeCell ref="D120:F120"/>
    <mergeCell ref="H119:I119"/>
    <mergeCell ref="G120:I120"/>
    <mergeCell ref="J120:L120"/>
    <mergeCell ref="K123:L123"/>
    <mergeCell ref="N123:O123"/>
    <mergeCell ref="M124:O124"/>
    <mergeCell ref="B123:C123"/>
    <mergeCell ref="A124:C124"/>
    <mergeCell ref="E123:F123"/>
    <mergeCell ref="D124:F124"/>
    <mergeCell ref="H123:I123"/>
    <mergeCell ref="G124:I124"/>
    <mergeCell ref="J124:L124"/>
    <mergeCell ref="K127:L127"/>
    <mergeCell ref="N127:O127"/>
    <mergeCell ref="M128:O128"/>
    <mergeCell ref="B127:C127"/>
    <mergeCell ref="A128:C128"/>
    <mergeCell ref="E127:F127"/>
    <mergeCell ref="D128:F128"/>
    <mergeCell ref="H127:I127"/>
    <mergeCell ref="G128:I128"/>
    <mergeCell ref="J128:L128"/>
    <mergeCell ref="K131:L131"/>
    <mergeCell ref="N131:O131"/>
    <mergeCell ref="M132:O132"/>
    <mergeCell ref="B131:C131"/>
    <mergeCell ref="A132:C132"/>
    <mergeCell ref="E131:F131"/>
    <mergeCell ref="D132:F132"/>
    <mergeCell ref="H131:I131"/>
    <mergeCell ref="G132:I132"/>
    <mergeCell ref="J132:L132"/>
    <mergeCell ref="K135:L135"/>
    <mergeCell ref="N135:O135"/>
    <mergeCell ref="M136:O136"/>
    <mergeCell ref="B135:C135"/>
    <mergeCell ref="A136:C136"/>
    <mergeCell ref="E135:F135"/>
    <mergeCell ref="D136:F136"/>
    <mergeCell ref="H135:I135"/>
    <mergeCell ref="G136:I136"/>
    <mergeCell ref="J136:L136"/>
    <mergeCell ref="K139:L139"/>
    <mergeCell ref="N139:O139"/>
    <mergeCell ref="M140:O140"/>
    <mergeCell ref="B139:C139"/>
    <mergeCell ref="A140:C140"/>
    <mergeCell ref="E139:F139"/>
    <mergeCell ref="D140:F140"/>
    <mergeCell ref="H139:I139"/>
    <mergeCell ref="G140:I140"/>
    <mergeCell ref="J140:L140"/>
    <mergeCell ref="K143:L143"/>
    <mergeCell ref="N143:O143"/>
    <mergeCell ref="M144:O144"/>
    <mergeCell ref="B143:C143"/>
    <mergeCell ref="A144:C144"/>
    <mergeCell ref="E143:F143"/>
    <mergeCell ref="D144:F144"/>
    <mergeCell ref="H143:I143"/>
    <mergeCell ref="G144:I144"/>
    <mergeCell ref="J144:L144"/>
    <mergeCell ref="K147:L147"/>
    <mergeCell ref="N147:O147"/>
    <mergeCell ref="M148:O148"/>
    <mergeCell ref="B147:C147"/>
    <mergeCell ref="A148:C148"/>
    <mergeCell ref="E147:F147"/>
    <mergeCell ref="D148:F148"/>
    <mergeCell ref="H147:I147"/>
    <mergeCell ref="G148:I148"/>
    <mergeCell ref="J148:L148"/>
    <mergeCell ref="K151:L151"/>
    <mergeCell ref="N151:O151"/>
    <mergeCell ref="M152:O152"/>
    <mergeCell ref="B151:C151"/>
    <mergeCell ref="A152:C152"/>
    <mergeCell ref="E151:F151"/>
    <mergeCell ref="D152:F152"/>
    <mergeCell ref="H151:I151"/>
    <mergeCell ref="G152:I152"/>
    <mergeCell ref="J152:L152"/>
    <mergeCell ref="K155:L155"/>
    <mergeCell ref="N155:O155"/>
    <mergeCell ref="M156:O156"/>
    <mergeCell ref="B155:C155"/>
    <mergeCell ref="A156:C156"/>
    <mergeCell ref="E155:F155"/>
    <mergeCell ref="D156:F156"/>
    <mergeCell ref="H155:I155"/>
    <mergeCell ref="G156:I156"/>
    <mergeCell ref="J156:L156"/>
    <mergeCell ref="K159:L159"/>
    <mergeCell ref="N159:O159"/>
    <mergeCell ref="M160:O160"/>
    <mergeCell ref="B159:C159"/>
    <mergeCell ref="A160:C160"/>
    <mergeCell ref="E159:F159"/>
    <mergeCell ref="D160:F160"/>
    <mergeCell ref="H159:I159"/>
    <mergeCell ref="G160:I160"/>
    <mergeCell ref="J160:L160"/>
    <mergeCell ref="K191:L191"/>
    <mergeCell ref="N191:O191"/>
    <mergeCell ref="M192:O192"/>
    <mergeCell ref="B191:C191"/>
    <mergeCell ref="A192:C192"/>
    <mergeCell ref="E191:F191"/>
    <mergeCell ref="D192:F192"/>
    <mergeCell ref="H191:I191"/>
    <mergeCell ref="G192:I192"/>
    <mergeCell ref="J192:L192"/>
    <mergeCell ref="K195:L195"/>
    <mergeCell ref="N195:O195"/>
    <mergeCell ref="M196:O196"/>
    <mergeCell ref="B195:C195"/>
    <mergeCell ref="A196:C196"/>
    <mergeCell ref="E195:F195"/>
    <mergeCell ref="D196:F196"/>
    <mergeCell ref="H195:I195"/>
    <mergeCell ref="G196:I196"/>
    <mergeCell ref="J196:L196"/>
    <mergeCell ref="K199:L199"/>
    <mergeCell ref="N199:O199"/>
    <mergeCell ref="M200:O200"/>
    <mergeCell ref="B199:C199"/>
    <mergeCell ref="A200:C200"/>
    <mergeCell ref="E199:F199"/>
    <mergeCell ref="D200:F200"/>
    <mergeCell ref="H199:I199"/>
    <mergeCell ref="G200:I200"/>
    <mergeCell ref="J200:L200"/>
    <mergeCell ref="K203:L203"/>
    <mergeCell ref="N203:O203"/>
    <mergeCell ref="M204:O204"/>
    <mergeCell ref="B203:C203"/>
    <mergeCell ref="A204:C204"/>
    <mergeCell ref="E203:F203"/>
    <mergeCell ref="D204:F204"/>
    <mergeCell ref="H203:I203"/>
    <mergeCell ref="G204:I204"/>
    <mergeCell ref="J204:L204"/>
    <mergeCell ref="K207:L207"/>
    <mergeCell ref="N207:O207"/>
    <mergeCell ref="M208:O208"/>
    <mergeCell ref="B207:C207"/>
    <mergeCell ref="A208:C208"/>
    <mergeCell ref="E207:F207"/>
    <mergeCell ref="D208:F208"/>
    <mergeCell ref="H207:I207"/>
    <mergeCell ref="G208:I208"/>
    <mergeCell ref="J208:L208"/>
    <mergeCell ref="K211:L211"/>
    <mergeCell ref="N211:O211"/>
    <mergeCell ref="M212:O212"/>
    <mergeCell ref="B211:C211"/>
    <mergeCell ref="A212:C212"/>
    <mergeCell ref="E211:F211"/>
    <mergeCell ref="D212:F212"/>
    <mergeCell ref="H211:I211"/>
    <mergeCell ref="G212:I212"/>
    <mergeCell ref="J212:L212"/>
    <mergeCell ref="K15:L15"/>
    <mergeCell ref="N15:O15"/>
    <mergeCell ref="M16:O16"/>
    <mergeCell ref="B15:C15"/>
    <mergeCell ref="A16:C16"/>
    <mergeCell ref="E15:F15"/>
    <mergeCell ref="D16:F16"/>
    <mergeCell ref="H15:I15"/>
    <mergeCell ref="G16:I16"/>
    <mergeCell ref="J16:L16"/>
    <mergeCell ref="K19:L19"/>
    <mergeCell ref="N19:O19"/>
    <mergeCell ref="M20:O20"/>
    <mergeCell ref="B19:C19"/>
    <mergeCell ref="A20:C20"/>
    <mergeCell ref="E19:F19"/>
    <mergeCell ref="D20:F20"/>
    <mergeCell ref="H19:I19"/>
    <mergeCell ref="G20:I20"/>
    <mergeCell ref="J20:L20"/>
    <mergeCell ref="K23:L23"/>
    <mergeCell ref="N23:O23"/>
    <mergeCell ref="M24:O24"/>
    <mergeCell ref="B23:C23"/>
    <mergeCell ref="A24:C24"/>
    <mergeCell ref="E23:F23"/>
    <mergeCell ref="D24:F24"/>
    <mergeCell ref="H23:I23"/>
    <mergeCell ref="G24:I24"/>
    <mergeCell ref="J24:L24"/>
    <mergeCell ref="B215:C215"/>
    <mergeCell ref="A216:C216"/>
    <mergeCell ref="K163:L163"/>
    <mergeCell ref="N163:O163"/>
    <mergeCell ref="M164:O164"/>
    <mergeCell ref="B163:C163"/>
    <mergeCell ref="A164:C164"/>
    <mergeCell ref="E163:F163"/>
    <mergeCell ref="D164:F164"/>
    <mergeCell ref="H163:I163"/>
    <mergeCell ref="G164:I164"/>
    <mergeCell ref="J164:L164"/>
    <mergeCell ref="K167:L167"/>
    <mergeCell ref="N167:O167"/>
    <mergeCell ref="M168:O168"/>
    <mergeCell ref="B167:C167"/>
    <mergeCell ref="A168:C168"/>
    <mergeCell ref="E167:F167"/>
    <mergeCell ref="D168:F168"/>
    <mergeCell ref="H167:I167"/>
    <mergeCell ref="G168:I168"/>
    <mergeCell ref="J168:L168"/>
    <mergeCell ref="K171:L171"/>
    <mergeCell ref="N171:O171"/>
    <mergeCell ref="M172:O172"/>
    <mergeCell ref="B171:C171"/>
    <mergeCell ref="A172:C172"/>
    <mergeCell ref="E171:F171"/>
    <mergeCell ref="D172:F172"/>
    <mergeCell ref="H171:I171"/>
    <mergeCell ref="G172:I172"/>
    <mergeCell ref="J172:L172"/>
    <mergeCell ref="K175:L175"/>
    <mergeCell ref="N175:O175"/>
    <mergeCell ref="M176:O176"/>
    <mergeCell ref="B175:C175"/>
    <mergeCell ref="A176:C176"/>
    <mergeCell ref="E175:F175"/>
    <mergeCell ref="D176:F176"/>
    <mergeCell ref="H175:I175"/>
    <mergeCell ref="G176:I176"/>
    <mergeCell ref="J176:L176"/>
    <mergeCell ref="K179:L179"/>
    <mergeCell ref="N179:O179"/>
    <mergeCell ref="M180:O180"/>
    <mergeCell ref="B179:C179"/>
    <mergeCell ref="A180:C180"/>
    <mergeCell ref="E179:F179"/>
    <mergeCell ref="D180:F180"/>
    <mergeCell ref="H179:I179"/>
    <mergeCell ref="G180:I180"/>
    <mergeCell ref="J180:L180"/>
    <mergeCell ref="K183:L183"/>
    <mergeCell ref="N183:O183"/>
    <mergeCell ref="M184:O184"/>
    <mergeCell ref="B183:C183"/>
    <mergeCell ref="A184:C184"/>
    <mergeCell ref="E183:F183"/>
    <mergeCell ref="D184:F184"/>
    <mergeCell ref="H183:I183"/>
    <mergeCell ref="G184:I184"/>
    <mergeCell ref="J184:L184"/>
    <mergeCell ref="K187:L187"/>
    <mergeCell ref="N187:O187"/>
    <mergeCell ref="M188:O188"/>
    <mergeCell ref="B187:C187"/>
    <mergeCell ref="A188:C188"/>
    <mergeCell ref="E187:F187"/>
    <mergeCell ref="D188:F188"/>
    <mergeCell ref="H187:I187"/>
    <mergeCell ref="G188:I188"/>
    <mergeCell ref="J188:L188"/>
  </mergeCells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.13"/>
    <col customWidth="1" min="3" max="3" width="12.63"/>
    <col customWidth="1" min="4" max="5" width="5.13"/>
    <col customWidth="1" min="6" max="6" width="12.63"/>
    <col customWidth="1" min="7" max="8" width="5.13"/>
    <col customWidth="1" min="9" max="9" width="12.63"/>
    <col customWidth="1" min="10" max="11" width="5.13"/>
    <col customWidth="1" min="12" max="12" width="12.63"/>
    <col customWidth="1" min="13" max="14" width="5.13"/>
    <col customWidth="1" min="15" max="15" width="12.63"/>
  </cols>
  <sheetData>
    <row r="1" ht="18.75" customHeight="1">
      <c r="A1" s="16" t="s">
        <v>1723</v>
      </c>
      <c r="O1" s="17" t="b">
        <v>0</v>
      </c>
    </row>
    <row r="2" ht="18.75" customHeight="1">
      <c r="A2" s="3" t="s">
        <v>1724</v>
      </c>
    </row>
    <row r="3" ht="18.75" customHeight="1">
      <c r="A3" s="18" t="s">
        <v>736</v>
      </c>
      <c r="B3" s="19" t="s">
        <v>596</v>
      </c>
      <c r="C3" s="20"/>
      <c r="D3" s="18" t="s">
        <v>738</v>
      </c>
      <c r="E3" s="19" t="s">
        <v>1725</v>
      </c>
      <c r="F3" s="20"/>
      <c r="G3" s="18" t="s">
        <v>739</v>
      </c>
      <c r="H3" s="19" t="s">
        <v>1726</v>
      </c>
      <c r="I3" s="20"/>
      <c r="J3" s="18" t="s">
        <v>740</v>
      </c>
      <c r="K3" s="19" t="s">
        <v>1252</v>
      </c>
      <c r="L3" s="20"/>
      <c r="M3" s="18" t="s">
        <v>742</v>
      </c>
      <c r="N3" s="19" t="s">
        <v>1376</v>
      </c>
      <c r="O3" s="20"/>
    </row>
    <row r="4" ht="180.0" customHeight="1">
      <c r="A4" s="21" t="str">
        <f>IMAGE("https://assets.tcgdex.net/de/sv/sv04.5/001/low.jpg", 1)</f>
        <v/>
      </c>
      <c r="B4" s="22"/>
      <c r="C4" s="20"/>
      <c r="D4" s="21" t="str">
        <f>IMAGE("https://assets.tcgdex.net/de/sv/sv04.5/002/low.jpg", 1)</f>
        <v/>
      </c>
      <c r="E4" s="22"/>
      <c r="F4" s="20"/>
      <c r="G4" s="21" t="str">
        <f>IMAGE("https://assets.tcgdex.net/de/sv/sv04.5/003/low.jpg", 1)</f>
        <v/>
      </c>
      <c r="H4" s="22"/>
      <c r="I4" s="20"/>
      <c r="J4" s="21" t="str">
        <f>IMAGE("https://assets.tcgdex.net/de/sv/sv04.5/004/low.jpg", 1)</f>
        <v/>
      </c>
      <c r="K4" s="22"/>
      <c r="L4" s="20"/>
      <c r="M4" s="21" t="str">
        <f>IMAGE("https://assets.tcgdex.net/de/sv/sv04.5/005/low.jpg", 1)</f>
        <v/>
      </c>
      <c r="N4" s="22"/>
      <c r="O4" s="20"/>
    </row>
    <row r="5" ht="22.5" customHeight="1">
      <c r="A5" s="23" t="b">
        <v>0</v>
      </c>
      <c r="B5" s="24" t="b">
        <v>0</v>
      </c>
      <c r="C5" s="25" t="str">
        <f>HYPERLINK("https://www.cardmarket.com/en/Pokemon/Products/Singles?idCategory=1&amp;idProduct=sv4pt5-1", "CM")</f>
        <v>CM</v>
      </c>
      <c r="D5" s="23" t="b">
        <v>0</v>
      </c>
      <c r="E5" s="24" t="b">
        <v>0</v>
      </c>
      <c r="F5" s="25" t="str">
        <f>HYPERLINK("https://www.cardmarket.com/en/Pokemon/Products/Singles?idCategory=1&amp;idProduct=sv4pt5-2", "CM")</f>
        <v>CM</v>
      </c>
      <c r="G5" s="23" t="b">
        <v>0</v>
      </c>
      <c r="H5" s="24" t="b">
        <v>0</v>
      </c>
      <c r="I5" s="25" t="str">
        <f>HYPERLINK("https://www.cardmarket.com/en/Pokemon/Products/Singles?idCategory=1&amp;idProduct=sv4pt5-3", "CM")</f>
        <v>CM</v>
      </c>
      <c r="J5" s="23" t="b">
        <v>0</v>
      </c>
      <c r="K5" s="24" t="b">
        <v>0</v>
      </c>
      <c r="L5" s="25" t="str">
        <f>HYPERLINK("https://www.cardmarket.com/en/Pokemon/Products/Singles?idCategory=1&amp;idProduct=sv4pt5-4", "CM")</f>
        <v>CM</v>
      </c>
      <c r="M5" s="23" t="b">
        <v>0</v>
      </c>
      <c r="N5" s="24" t="b">
        <v>0</v>
      </c>
      <c r="O5" s="25" t="str">
        <f>HYPERLINK("https://www.cardmarket.com/en/Pokemon/Products/Singles?idCategory=1&amp;idProduct=sv4pt5-5", "CM")</f>
        <v>CM</v>
      </c>
    </row>
    <row r="6" ht="7.5" customHeight="1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</row>
    <row r="7" ht="18.75" customHeight="1">
      <c r="A7" s="18" t="s">
        <v>529</v>
      </c>
      <c r="B7" s="19" t="s">
        <v>1727</v>
      </c>
      <c r="C7" s="20"/>
      <c r="D7" s="18" t="s">
        <v>744</v>
      </c>
      <c r="E7" s="19" t="s">
        <v>766</v>
      </c>
      <c r="F7" s="20"/>
      <c r="G7" s="18" t="s">
        <v>531</v>
      </c>
      <c r="H7" s="19" t="s">
        <v>1377</v>
      </c>
      <c r="I7" s="20"/>
      <c r="J7" s="18" t="s">
        <v>746</v>
      </c>
      <c r="K7" s="19" t="s">
        <v>1563</v>
      </c>
      <c r="L7" s="20"/>
      <c r="M7" s="18" t="s">
        <v>748</v>
      </c>
      <c r="N7" s="19" t="s">
        <v>1728</v>
      </c>
      <c r="O7" s="20"/>
    </row>
    <row r="8" ht="180.0" customHeight="1">
      <c r="A8" s="21" t="str">
        <f>IMAGE("https://assets.tcgdex.net/de/sv/sv04.5/006/low.jpg", 1)</f>
        <v/>
      </c>
      <c r="B8" s="22"/>
      <c r="C8" s="20"/>
      <c r="D8" s="21" t="str">
        <f>IMAGE("https://assets.tcgdex.net/de/sv/sv04.5/007/low.jpg", 1)</f>
        <v/>
      </c>
      <c r="E8" s="22"/>
      <c r="F8" s="20"/>
      <c r="G8" s="21" t="str">
        <f>IMAGE("https://assets.tcgdex.net/de/sv/sv04.5/008/low.jpg", 1)</f>
        <v/>
      </c>
      <c r="H8" s="22"/>
      <c r="I8" s="20"/>
      <c r="J8" s="21" t="str">
        <f>IMAGE("https://assets.tcgdex.net/de/sv/sv04.5/009/low.jpg", 1)</f>
        <v/>
      </c>
      <c r="K8" s="22"/>
      <c r="L8" s="20"/>
      <c r="M8" s="21" t="str">
        <f>IMAGE("https://assets.tcgdex.net/de/sv/sv04.5/010/low.jpg", 1)</f>
        <v/>
      </c>
      <c r="N8" s="22"/>
      <c r="O8" s="20"/>
    </row>
    <row r="9" ht="22.5" customHeight="1">
      <c r="A9" s="23" t="b">
        <v>0</v>
      </c>
      <c r="B9" s="24" t="b">
        <v>0</v>
      </c>
      <c r="C9" s="25" t="str">
        <f>HYPERLINK("https://www.cardmarket.com/en/Pokemon/Products/Singles?idCategory=1&amp;idProduct=sv4pt5-6", "CM")</f>
        <v>CM</v>
      </c>
      <c r="D9" s="23" t="b">
        <v>0</v>
      </c>
      <c r="E9" s="24" t="b">
        <v>0</v>
      </c>
      <c r="F9" s="25" t="str">
        <f>HYPERLINK("https://www.cardmarket.com/en/Pokemon/Products/Singles?idCategory=1&amp;idProduct=sv4pt5-7", "CM")</f>
        <v>CM</v>
      </c>
      <c r="G9" s="23" t="b">
        <v>0</v>
      </c>
      <c r="H9" s="24" t="b">
        <v>0</v>
      </c>
      <c r="I9" s="25" t="str">
        <f>HYPERLINK("https://www.cardmarket.com/en/Pokemon/Products/Singles?idCategory=1&amp;idProduct=sv4pt5-8", "CM")</f>
        <v>CM</v>
      </c>
      <c r="J9" s="23" t="b">
        <v>0</v>
      </c>
      <c r="K9" s="24" t="b">
        <v>0</v>
      </c>
      <c r="L9" s="25" t="str">
        <f>HYPERLINK("https://www.cardmarket.com/en/Pokemon/Products/Singles?idCategory=1&amp;idProduct=sv4pt5-9", "CM")</f>
        <v>CM</v>
      </c>
      <c r="M9" s="23" t="b">
        <v>0</v>
      </c>
      <c r="N9" s="24" t="b">
        <v>0</v>
      </c>
      <c r="O9" s="25" t="str">
        <f>HYPERLINK("https://www.cardmarket.com/en/Pokemon/Products/Singles?idCategory=1&amp;idProduct=sv4pt5-10", "CM")</f>
        <v>CM</v>
      </c>
    </row>
    <row r="10" ht="7.5" customHeight="1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</row>
    <row r="11" ht="18.75" customHeight="1">
      <c r="A11" s="18" t="s">
        <v>750</v>
      </c>
      <c r="B11" s="19" t="s">
        <v>1380</v>
      </c>
      <c r="C11" s="20"/>
      <c r="D11" s="18" t="s">
        <v>752</v>
      </c>
      <c r="E11" s="19" t="s">
        <v>1381</v>
      </c>
      <c r="F11" s="20"/>
      <c r="G11" s="18" t="s">
        <v>754</v>
      </c>
      <c r="H11" s="19" t="s">
        <v>1729</v>
      </c>
      <c r="I11" s="20"/>
      <c r="J11" s="18" t="s">
        <v>755</v>
      </c>
      <c r="K11" s="19" t="s">
        <v>1213</v>
      </c>
      <c r="L11" s="20"/>
      <c r="M11" s="18" t="s">
        <v>533</v>
      </c>
      <c r="N11" s="19" t="s">
        <v>1257</v>
      </c>
      <c r="O11" s="20"/>
    </row>
    <row r="12" ht="180.0" customHeight="1">
      <c r="A12" s="21" t="str">
        <f>IMAGE("https://assets.tcgdex.net/de/sv/sv04.5/011/low.jpg", 1)</f>
        <v/>
      </c>
      <c r="B12" s="22"/>
      <c r="C12" s="20"/>
      <c r="D12" s="21" t="str">
        <f>IMAGE("https://assets.tcgdex.net/de/sv/sv04.5/012/low.jpg", 1)</f>
        <v/>
      </c>
      <c r="E12" s="22"/>
      <c r="F12" s="20"/>
      <c r="G12" s="21" t="str">
        <f>IMAGE("https://assets.tcgdex.net/de/sv/sv04.5/013/low.jpg", 1)</f>
        <v/>
      </c>
      <c r="H12" s="22"/>
      <c r="I12" s="20"/>
      <c r="J12" s="21" t="str">
        <f>IMAGE("https://assets.tcgdex.net/de/sv/sv04.5/014/low.jpg", 1)</f>
        <v/>
      </c>
      <c r="K12" s="22"/>
      <c r="L12" s="20"/>
      <c r="M12" s="21" t="str">
        <f>IMAGE("https://assets.tcgdex.net/de/sv/sv04.5/015/low.jpg", 1)</f>
        <v/>
      </c>
      <c r="N12" s="22"/>
      <c r="O12" s="20"/>
    </row>
    <row r="13" ht="22.5" customHeight="1">
      <c r="A13" s="23" t="b">
        <v>0</v>
      </c>
      <c r="B13" s="24" t="b">
        <v>0</v>
      </c>
      <c r="C13" s="25" t="str">
        <f>HYPERLINK("https://www.cardmarket.com/en/Pokemon/Products/Singles?idCategory=1&amp;idProduct=sv4pt5-11", "CM")</f>
        <v>CM</v>
      </c>
      <c r="D13" s="23" t="b">
        <v>0</v>
      </c>
      <c r="E13" s="24" t="b">
        <v>0</v>
      </c>
      <c r="F13" s="25" t="str">
        <f>HYPERLINK("https://www.cardmarket.com/en/Pokemon/Products/Singles?idCategory=1&amp;idProduct=sv4pt5-12", "CM")</f>
        <v>CM</v>
      </c>
      <c r="G13" s="23" t="b">
        <v>0</v>
      </c>
      <c r="H13" s="24" t="b">
        <v>0</v>
      </c>
      <c r="I13" s="25" t="str">
        <f>HYPERLINK("https://www.cardmarket.com/en/Pokemon/Products/Singles?idCategory=1&amp;idProduct=sv4pt5-13", "CM")</f>
        <v>CM</v>
      </c>
      <c r="J13" s="23" t="b">
        <v>0</v>
      </c>
      <c r="K13" s="24" t="b">
        <v>0</v>
      </c>
      <c r="L13" s="25" t="str">
        <f>HYPERLINK("https://www.cardmarket.com/en/Pokemon/Products/Singles?idCategory=1&amp;idProduct=sv4pt5-14", "CM")</f>
        <v>CM</v>
      </c>
      <c r="M13" s="23" t="b">
        <v>0</v>
      </c>
      <c r="N13" s="24" t="b">
        <v>0</v>
      </c>
      <c r="O13" s="25" t="str">
        <f>HYPERLINK("https://www.cardmarket.com/en/Pokemon/Products/Singles?idCategory=1&amp;idProduct=sv4pt5-15", "CM")</f>
        <v>CM</v>
      </c>
    </row>
    <row r="14" ht="7.5" customHeight="1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</row>
    <row r="15" ht="18.75" customHeight="1">
      <c r="A15" s="18" t="s">
        <v>535</v>
      </c>
      <c r="B15" s="19" t="s">
        <v>1072</v>
      </c>
      <c r="C15" s="20"/>
      <c r="D15" s="18" t="s">
        <v>537</v>
      </c>
      <c r="E15" s="19" t="s">
        <v>1730</v>
      </c>
      <c r="F15" s="20"/>
      <c r="G15" s="18" t="s">
        <v>756</v>
      </c>
      <c r="H15" s="19" t="s">
        <v>616</v>
      </c>
      <c r="I15" s="20"/>
      <c r="J15" s="18" t="s">
        <v>539</v>
      </c>
      <c r="K15" s="19" t="s">
        <v>1493</v>
      </c>
      <c r="L15" s="20"/>
      <c r="M15" s="18" t="s">
        <v>541</v>
      </c>
      <c r="N15" s="19" t="s">
        <v>1731</v>
      </c>
      <c r="O15" s="20"/>
    </row>
    <row r="16" ht="180.0" customHeight="1">
      <c r="A16" s="21" t="str">
        <f>IMAGE("https://assets.tcgdex.net/de/sv/sv04.5/016/low.jpg", 1)</f>
        <v/>
      </c>
      <c r="B16" s="22"/>
      <c r="C16" s="20"/>
      <c r="D16" s="21" t="str">
        <f>IMAGE("https://assets.tcgdex.net/de/sv/sv04.5/017/low.jpg", 1)</f>
        <v/>
      </c>
      <c r="E16" s="22"/>
      <c r="F16" s="20"/>
      <c r="G16" s="21" t="str">
        <f>IMAGE("https://assets.tcgdex.net/de/sv/sv04.5/018/low.jpg", 1)</f>
        <v/>
      </c>
      <c r="H16" s="22"/>
      <c r="I16" s="20"/>
      <c r="J16" s="21" t="str">
        <f>IMAGE("https://assets.tcgdex.net/de/sv/sv04.5/019/low.jpg", 1)</f>
        <v/>
      </c>
      <c r="K16" s="22"/>
      <c r="L16" s="20"/>
      <c r="M16" s="21" t="str">
        <f>IMAGE("https://assets.tcgdex.net/de/sv/sv04.5/020/low.jpg", 1)</f>
        <v/>
      </c>
      <c r="N16" s="22"/>
      <c r="O16" s="20"/>
    </row>
    <row r="17" ht="22.5" customHeight="1">
      <c r="A17" s="23" t="b">
        <v>0</v>
      </c>
      <c r="B17" s="24" t="b">
        <v>0</v>
      </c>
      <c r="C17" s="25" t="str">
        <f>HYPERLINK("https://www.cardmarket.com/en/Pokemon/Products/Singles?idCategory=1&amp;idProduct=sv4pt5-16", "CM")</f>
        <v>CM</v>
      </c>
      <c r="D17" s="23" t="b">
        <v>0</v>
      </c>
      <c r="E17" s="24" t="b">
        <v>0</v>
      </c>
      <c r="F17" s="25" t="str">
        <f>HYPERLINK("https://www.cardmarket.com/en/Pokemon/Products/Singles?idCategory=1&amp;idProduct=sv4pt5-17", "CM")</f>
        <v>CM</v>
      </c>
      <c r="G17" s="23" t="b">
        <v>0</v>
      </c>
      <c r="H17" s="24" t="b">
        <v>0</v>
      </c>
      <c r="I17" s="25" t="str">
        <f>HYPERLINK("https://www.cardmarket.com/en/Pokemon/Products/Singles?idCategory=1&amp;idProduct=sv4pt5-18", "CM")</f>
        <v>CM</v>
      </c>
      <c r="J17" s="23" t="b">
        <v>0</v>
      </c>
      <c r="K17" s="24" t="b">
        <v>0</v>
      </c>
      <c r="L17" s="25" t="str">
        <f>HYPERLINK("https://www.cardmarket.com/en/Pokemon/Products/Singles?idCategory=1&amp;idProduct=sv4pt5-19", "CM")</f>
        <v>CM</v>
      </c>
      <c r="M17" s="23" t="b">
        <v>0</v>
      </c>
      <c r="N17" s="24" t="b">
        <v>0</v>
      </c>
      <c r="O17" s="25" t="str">
        <f>HYPERLINK("https://www.cardmarket.com/en/Pokemon/Products/Singles?idCategory=1&amp;idProduct=sv4pt5-20", "CM")</f>
        <v>CM</v>
      </c>
    </row>
    <row r="18" ht="7.5" customHeight="1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</row>
    <row r="19" ht="18.75" customHeight="1">
      <c r="A19" s="18" t="s">
        <v>543</v>
      </c>
      <c r="B19" s="19" t="s">
        <v>1732</v>
      </c>
      <c r="C19" s="20"/>
      <c r="D19" s="18" t="s">
        <v>545</v>
      </c>
      <c r="E19" s="19" t="s">
        <v>1271</v>
      </c>
      <c r="F19" s="20"/>
      <c r="G19" s="18" t="s">
        <v>547</v>
      </c>
      <c r="H19" s="19" t="s">
        <v>926</v>
      </c>
      <c r="I19" s="20"/>
      <c r="J19" s="18" t="s">
        <v>549</v>
      </c>
      <c r="K19" s="19" t="s">
        <v>927</v>
      </c>
      <c r="L19" s="20"/>
      <c r="M19" s="18" t="s">
        <v>758</v>
      </c>
      <c r="N19" s="19" t="s">
        <v>1636</v>
      </c>
      <c r="O19" s="20"/>
    </row>
    <row r="20" ht="180.0" customHeight="1">
      <c r="A20" s="21" t="str">
        <f>IMAGE("https://assets.tcgdex.net/de/sv/sv04.5/021/low.jpg", 1)</f>
        <v/>
      </c>
      <c r="B20" s="22"/>
      <c r="C20" s="20"/>
      <c r="D20" s="21" t="str">
        <f>IMAGE("https://assets.tcgdex.net/de/sv/sv04.5/022/low.jpg", 1)</f>
        <v/>
      </c>
      <c r="E20" s="22"/>
      <c r="F20" s="20"/>
      <c r="G20" s="21" t="str">
        <f>IMAGE("https://assets.tcgdex.net/de/sv/sv04.5/023/low.jpg", 1)</f>
        <v/>
      </c>
      <c r="H20" s="22"/>
      <c r="I20" s="20"/>
      <c r="J20" s="21" t="str">
        <f>IMAGE("https://assets.tcgdex.net/de/sv/sv04.5/024/low.jpg", 1)</f>
        <v/>
      </c>
      <c r="K20" s="22"/>
      <c r="L20" s="20"/>
      <c r="M20" s="21" t="str">
        <f>IMAGE("https://assets.tcgdex.net/de/sv/sv04.5/025/low.jpg", 1)</f>
        <v/>
      </c>
      <c r="N20" s="22"/>
      <c r="O20" s="20"/>
    </row>
    <row r="21" ht="22.5" customHeight="1">
      <c r="A21" s="23" t="b">
        <v>0</v>
      </c>
      <c r="B21" s="24" t="b">
        <v>0</v>
      </c>
      <c r="C21" s="25" t="str">
        <f>HYPERLINK("https://www.cardmarket.com/en/Pokemon/Products/Singles?idCategory=1&amp;idProduct=sv4pt5-21", "CM")</f>
        <v>CM</v>
      </c>
      <c r="D21" s="23" t="b">
        <v>0</v>
      </c>
      <c r="E21" s="24" t="b">
        <v>0</v>
      </c>
      <c r="F21" s="25" t="str">
        <f>HYPERLINK("https://www.cardmarket.com/en/Pokemon/Products/Singles?idCategory=1&amp;idProduct=sv4pt5-22", "CM")</f>
        <v>CM</v>
      </c>
      <c r="G21" s="23" t="b">
        <v>0</v>
      </c>
      <c r="H21" s="24" t="b">
        <v>0</v>
      </c>
      <c r="I21" s="25" t="str">
        <f>HYPERLINK("https://www.cardmarket.com/en/Pokemon/Products/Singles?idCategory=1&amp;idProduct=sv4pt5-23", "CM")</f>
        <v>CM</v>
      </c>
      <c r="J21" s="23" t="b">
        <v>0</v>
      </c>
      <c r="K21" s="24" t="b">
        <v>0</v>
      </c>
      <c r="L21" s="25" t="str">
        <f>HYPERLINK("https://www.cardmarket.com/en/Pokemon/Products/Singles?idCategory=1&amp;idProduct=sv4pt5-24", "CM")</f>
        <v>CM</v>
      </c>
      <c r="M21" s="23" t="b">
        <v>0</v>
      </c>
      <c r="N21" s="24" t="b">
        <v>0</v>
      </c>
      <c r="O21" s="25" t="str">
        <f>HYPERLINK("https://www.cardmarket.com/en/Pokemon/Products/Singles?idCategory=1&amp;idProduct=sv4pt5-25", "CM")</f>
        <v>CM</v>
      </c>
    </row>
    <row r="22" ht="7.5" customHeight="1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</row>
    <row r="23" ht="18.75" customHeight="1">
      <c r="A23" s="18" t="s">
        <v>760</v>
      </c>
      <c r="B23" s="19" t="s">
        <v>592</v>
      </c>
      <c r="C23" s="20"/>
      <c r="D23" s="18" t="s">
        <v>762</v>
      </c>
      <c r="E23" s="19" t="s">
        <v>1273</v>
      </c>
      <c r="F23" s="20"/>
      <c r="G23" s="18" t="s">
        <v>551</v>
      </c>
      <c r="H23" s="19" t="s">
        <v>1274</v>
      </c>
      <c r="I23" s="20"/>
      <c r="J23" s="18" t="s">
        <v>553</v>
      </c>
      <c r="K23" s="19" t="s">
        <v>1275</v>
      </c>
      <c r="L23" s="20"/>
      <c r="M23" s="18" t="s">
        <v>555</v>
      </c>
      <c r="N23" s="19" t="s">
        <v>1733</v>
      </c>
      <c r="O23" s="20"/>
    </row>
    <row r="24" ht="180.0" customHeight="1">
      <c r="A24" s="21" t="str">
        <f>IMAGE("https://assets.tcgdex.net/de/sv/sv04.5/026/low.jpg", 1)</f>
        <v/>
      </c>
      <c r="B24" s="22"/>
      <c r="C24" s="20"/>
      <c r="D24" s="21" t="str">
        <f>IMAGE("https://assets.tcgdex.net/de/sv/sv04.5/027/low.jpg", 1)</f>
        <v/>
      </c>
      <c r="E24" s="22"/>
      <c r="F24" s="20"/>
      <c r="G24" s="21" t="str">
        <f>IMAGE("https://assets.tcgdex.net/de/sv/sv04.5/028/low.jpg", 1)</f>
        <v/>
      </c>
      <c r="H24" s="22"/>
      <c r="I24" s="20"/>
      <c r="J24" s="21" t="str">
        <f>IMAGE("https://assets.tcgdex.net/de/sv/sv04.5/029/low.jpg", 1)</f>
        <v/>
      </c>
      <c r="K24" s="22"/>
      <c r="L24" s="20"/>
      <c r="M24" s="21" t="str">
        <f>IMAGE("https://assets.tcgdex.net/de/sv/sv04.5/030/low.jpg", 1)</f>
        <v/>
      </c>
      <c r="N24" s="22"/>
      <c r="O24" s="20"/>
    </row>
    <row r="25" ht="22.5" customHeight="1">
      <c r="A25" s="23" t="b">
        <v>0</v>
      </c>
      <c r="B25" s="24" t="b">
        <v>0</v>
      </c>
      <c r="C25" s="25" t="str">
        <f>HYPERLINK("https://www.cardmarket.com/en/Pokemon/Products/Singles?idCategory=1&amp;idProduct=sv4pt5-26", "CM")</f>
        <v>CM</v>
      </c>
      <c r="D25" s="23" t="b">
        <v>0</v>
      </c>
      <c r="E25" s="24" t="b">
        <v>0</v>
      </c>
      <c r="F25" s="25" t="str">
        <f>HYPERLINK("https://www.cardmarket.com/en/Pokemon/Products/Singles?idCategory=1&amp;idProduct=sv4pt5-27", "CM")</f>
        <v>CM</v>
      </c>
      <c r="G25" s="23" t="b">
        <v>0</v>
      </c>
      <c r="H25" s="24" t="b">
        <v>0</v>
      </c>
      <c r="I25" s="25" t="str">
        <f>HYPERLINK("https://www.cardmarket.com/en/Pokemon/Products/Singles?idCategory=1&amp;idProduct=sv4pt5-28", "CM")</f>
        <v>CM</v>
      </c>
      <c r="J25" s="23" t="b">
        <v>0</v>
      </c>
      <c r="K25" s="24" t="b">
        <v>0</v>
      </c>
      <c r="L25" s="25" t="str">
        <f>HYPERLINK("https://www.cardmarket.com/en/Pokemon/Products/Singles?idCategory=1&amp;idProduct=sv4pt5-29", "CM")</f>
        <v>CM</v>
      </c>
      <c r="M25" s="23" t="b">
        <v>0</v>
      </c>
      <c r="N25" s="24" t="b">
        <v>0</v>
      </c>
      <c r="O25" s="25" t="str">
        <f>HYPERLINK("https://www.cardmarket.com/en/Pokemon/Products/Singles?idCategory=1&amp;idProduct=sv4pt5-30", "CM")</f>
        <v>CM</v>
      </c>
    </row>
    <row r="26" ht="7.5" customHeight="1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</row>
    <row r="27" ht="18.75" customHeight="1">
      <c r="A27" s="18" t="s">
        <v>557</v>
      </c>
      <c r="B27" s="19" t="s">
        <v>1734</v>
      </c>
      <c r="C27" s="20"/>
      <c r="D27" s="18" t="s">
        <v>559</v>
      </c>
      <c r="E27" s="19" t="s">
        <v>1735</v>
      </c>
      <c r="F27" s="20"/>
      <c r="G27" s="18" t="s">
        <v>561</v>
      </c>
      <c r="H27" s="19" t="s">
        <v>1736</v>
      </c>
      <c r="I27" s="20"/>
      <c r="J27" s="18" t="s">
        <v>563</v>
      </c>
      <c r="K27" s="19" t="s">
        <v>1737</v>
      </c>
      <c r="L27" s="20"/>
      <c r="M27" s="18" t="s">
        <v>565</v>
      </c>
      <c r="N27" s="19" t="s">
        <v>1738</v>
      </c>
      <c r="O27" s="20"/>
    </row>
    <row r="28" ht="180.0" customHeight="1">
      <c r="A28" s="21" t="str">
        <f>IMAGE("https://assets.tcgdex.net/de/sv/sv04.5/031/low.jpg", 1)</f>
        <v/>
      </c>
      <c r="B28" s="22"/>
      <c r="C28" s="20"/>
      <c r="D28" s="21" t="str">
        <f>IMAGE("https://assets.tcgdex.net/de/sv/sv04.5/032/low.jpg", 1)</f>
        <v/>
      </c>
      <c r="E28" s="22"/>
      <c r="F28" s="20"/>
      <c r="G28" s="21" t="str">
        <f>IMAGE("https://assets.tcgdex.net/de/sv/sv04.5/033/low.jpg", 1)</f>
        <v/>
      </c>
      <c r="H28" s="22"/>
      <c r="I28" s="20"/>
      <c r="J28" s="21" t="str">
        <f>IMAGE("https://assets.tcgdex.net/de/sv/sv04.5/034/low.jpg", 1)</f>
        <v/>
      </c>
      <c r="K28" s="22"/>
      <c r="L28" s="20"/>
      <c r="M28" s="21" t="str">
        <f>IMAGE("https://assets.tcgdex.net/de/sv/sv04.5/035/low.jpg", 1)</f>
        <v/>
      </c>
      <c r="N28" s="22"/>
      <c r="O28" s="20"/>
    </row>
    <row r="29" ht="22.5" customHeight="1">
      <c r="A29" s="23" t="b">
        <v>0</v>
      </c>
      <c r="B29" s="24" t="b">
        <v>0</v>
      </c>
      <c r="C29" s="25" t="str">
        <f>HYPERLINK("https://www.cardmarket.com/en/Pokemon/Products/Singles?idCategory=1&amp;idProduct=sv4pt5-31", "CM")</f>
        <v>CM</v>
      </c>
      <c r="D29" s="23" t="b">
        <v>0</v>
      </c>
      <c r="E29" s="24" t="b">
        <v>0</v>
      </c>
      <c r="F29" s="25" t="str">
        <f>HYPERLINK("https://www.cardmarket.com/en/Pokemon/Products/Singles?idCategory=1&amp;idProduct=sv4pt5-32", "CM")</f>
        <v>CM</v>
      </c>
      <c r="G29" s="23" t="b">
        <v>0</v>
      </c>
      <c r="H29" s="24" t="b">
        <v>0</v>
      </c>
      <c r="I29" s="25" t="str">
        <f>HYPERLINK("https://www.cardmarket.com/en/Pokemon/Products/Singles?idCategory=1&amp;idProduct=sv4pt5-33", "CM")</f>
        <v>CM</v>
      </c>
      <c r="J29" s="23" t="b">
        <v>0</v>
      </c>
      <c r="K29" s="24" t="b">
        <v>0</v>
      </c>
      <c r="L29" s="25" t="str">
        <f>HYPERLINK("https://www.cardmarket.com/en/Pokemon/Products/Singles?idCategory=1&amp;idProduct=sv4pt5-34", "CM")</f>
        <v>CM</v>
      </c>
      <c r="M29" s="23" t="b">
        <v>0</v>
      </c>
      <c r="N29" s="24" t="b">
        <v>0</v>
      </c>
      <c r="O29" s="25" t="str">
        <f>HYPERLINK("https://www.cardmarket.com/en/Pokemon/Products/Singles?idCategory=1&amp;idProduct=sv4pt5-35", "CM")</f>
        <v>CM</v>
      </c>
    </row>
    <row r="30" ht="7.5" customHeight="1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</row>
    <row r="31" ht="18.75" customHeight="1">
      <c r="A31" s="18" t="s">
        <v>567</v>
      </c>
      <c r="B31" s="19" t="s">
        <v>1218</v>
      </c>
      <c r="C31" s="20"/>
      <c r="D31" s="18" t="s">
        <v>569</v>
      </c>
      <c r="E31" s="19" t="s">
        <v>807</v>
      </c>
      <c r="F31" s="20"/>
      <c r="G31" s="18" t="s">
        <v>571</v>
      </c>
      <c r="H31" s="19" t="s">
        <v>796</v>
      </c>
      <c r="I31" s="20"/>
      <c r="J31" s="18" t="s">
        <v>573</v>
      </c>
      <c r="K31" s="19" t="s">
        <v>1280</v>
      </c>
      <c r="L31" s="20"/>
      <c r="M31" s="18" t="s">
        <v>575</v>
      </c>
      <c r="N31" s="19" t="s">
        <v>1739</v>
      </c>
      <c r="O31" s="20"/>
    </row>
    <row r="32" ht="180.0" customHeight="1">
      <c r="A32" s="21" t="str">
        <f>IMAGE("https://assets.tcgdex.net/de/sv/sv04.5/036/low.jpg", 1)</f>
        <v/>
      </c>
      <c r="B32" s="22"/>
      <c r="C32" s="20"/>
      <c r="D32" s="21" t="str">
        <f>IMAGE("https://assets.tcgdex.net/de/sv/sv04.5/037/low.jpg", 1)</f>
        <v/>
      </c>
      <c r="E32" s="22"/>
      <c r="F32" s="20"/>
      <c r="G32" s="21" t="str">
        <f>IMAGE("https://assets.tcgdex.net/de/sv/sv04.5/038/low.jpg", 1)</f>
        <v/>
      </c>
      <c r="H32" s="22"/>
      <c r="I32" s="20"/>
      <c r="J32" s="21" t="str">
        <f>IMAGE("https://assets.tcgdex.net/de/sv/sv04.5/039/low.jpg", 1)</f>
        <v/>
      </c>
      <c r="K32" s="22"/>
      <c r="L32" s="20"/>
      <c r="M32" s="21" t="str">
        <f>IMAGE("https://assets.tcgdex.net/de/sv/sv04.5/040/low.jpg", 1)</f>
        <v/>
      </c>
      <c r="N32" s="22"/>
      <c r="O32" s="20"/>
    </row>
    <row r="33" ht="22.5" customHeight="1">
      <c r="A33" s="23" t="b">
        <v>0</v>
      </c>
      <c r="B33" s="24" t="b">
        <v>0</v>
      </c>
      <c r="C33" s="25" t="str">
        <f>HYPERLINK("https://www.cardmarket.com/en/Pokemon/Products/Singles?idCategory=1&amp;idProduct=sv4pt5-36", "CM")</f>
        <v>CM</v>
      </c>
      <c r="D33" s="23" t="b">
        <v>0</v>
      </c>
      <c r="E33" s="24" t="b">
        <v>0</v>
      </c>
      <c r="F33" s="25" t="str">
        <f>HYPERLINK("https://www.cardmarket.com/en/Pokemon/Products/Singles?idCategory=1&amp;idProduct=sv4pt5-37", "CM")</f>
        <v>CM</v>
      </c>
      <c r="G33" s="23" t="b">
        <v>0</v>
      </c>
      <c r="H33" s="24" t="b">
        <v>0</v>
      </c>
      <c r="I33" s="25" t="str">
        <f>HYPERLINK("https://www.cardmarket.com/en/Pokemon/Products/Singles?idCategory=1&amp;idProduct=sv4pt5-38", "CM")</f>
        <v>CM</v>
      </c>
      <c r="J33" s="23" t="b">
        <v>0</v>
      </c>
      <c r="K33" s="24" t="b">
        <v>0</v>
      </c>
      <c r="L33" s="25" t="str">
        <f>HYPERLINK("https://www.cardmarket.com/en/Pokemon/Products/Singles?idCategory=1&amp;idProduct=sv4pt5-39", "CM")</f>
        <v>CM</v>
      </c>
      <c r="M33" s="23" t="b">
        <v>0</v>
      </c>
      <c r="N33" s="24" t="b">
        <v>0</v>
      </c>
      <c r="O33" s="25" t="str">
        <f>HYPERLINK("https://www.cardmarket.com/en/Pokemon/Products/Singles?idCategory=1&amp;idProduct=sv4pt5-40", "CM")</f>
        <v>CM</v>
      </c>
    </row>
    <row r="34" ht="7.5" customHeight="1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</row>
    <row r="35" ht="18.75" customHeight="1">
      <c r="A35" s="18" t="s">
        <v>577</v>
      </c>
      <c r="B35" s="19" t="s">
        <v>1220</v>
      </c>
      <c r="C35" s="20"/>
      <c r="D35" s="18" t="s">
        <v>579</v>
      </c>
      <c r="E35" s="19" t="s">
        <v>798</v>
      </c>
      <c r="F35" s="20"/>
      <c r="G35" s="18" t="s">
        <v>763</v>
      </c>
      <c r="H35" s="19" t="s">
        <v>580</v>
      </c>
      <c r="I35" s="20"/>
      <c r="J35" s="18" t="s">
        <v>765</v>
      </c>
      <c r="K35" s="19" t="s">
        <v>1643</v>
      </c>
      <c r="L35" s="20"/>
      <c r="M35" s="18" t="s">
        <v>581</v>
      </c>
      <c r="N35" s="19" t="s">
        <v>1281</v>
      </c>
      <c r="O35" s="20"/>
    </row>
    <row r="36" ht="180.0" customHeight="1">
      <c r="A36" s="21" t="str">
        <f>IMAGE("https://assets.tcgdex.net/de/sv/sv04.5/041/low.jpg", 1)</f>
        <v/>
      </c>
      <c r="B36" s="22"/>
      <c r="C36" s="20"/>
      <c r="D36" s="21" t="str">
        <f>IMAGE("https://assets.tcgdex.net/de/sv/sv04.5/042/low.jpg", 1)</f>
        <v/>
      </c>
      <c r="E36" s="22"/>
      <c r="F36" s="20"/>
      <c r="G36" s="21" t="str">
        <f>IMAGE("https://assets.tcgdex.net/de/sv/sv04.5/043/low.jpg", 1)</f>
        <v/>
      </c>
      <c r="H36" s="22"/>
      <c r="I36" s="20"/>
      <c r="J36" s="21" t="str">
        <f>IMAGE("https://assets.tcgdex.net/de/sv/sv04.5/044/low.jpg", 1)</f>
        <v/>
      </c>
      <c r="K36" s="22"/>
      <c r="L36" s="20"/>
      <c r="M36" s="21" t="str">
        <f>IMAGE("https://assets.tcgdex.net/de/sv/sv04.5/045/low.jpg", 1)</f>
        <v/>
      </c>
      <c r="N36" s="22"/>
      <c r="O36" s="20"/>
    </row>
    <row r="37" ht="22.5" customHeight="1">
      <c r="A37" s="23" t="b">
        <v>0</v>
      </c>
      <c r="B37" s="24" t="b">
        <v>0</v>
      </c>
      <c r="C37" s="25" t="str">
        <f>HYPERLINK("https://www.cardmarket.com/en/Pokemon/Products/Singles?idCategory=1&amp;idProduct=sv4pt5-41", "CM")</f>
        <v>CM</v>
      </c>
      <c r="D37" s="23" t="b">
        <v>0</v>
      </c>
      <c r="E37" s="24" t="b">
        <v>0</v>
      </c>
      <c r="F37" s="25" t="str">
        <f>HYPERLINK("https://www.cardmarket.com/en/Pokemon/Products/Singles?idCategory=1&amp;idProduct=sv4pt5-42", "CM")</f>
        <v>CM</v>
      </c>
      <c r="G37" s="23" t="b">
        <v>0</v>
      </c>
      <c r="H37" s="24" t="b">
        <v>0</v>
      </c>
      <c r="I37" s="25" t="str">
        <f>HYPERLINK("https://www.cardmarket.com/en/Pokemon/Products/Singles?idCategory=1&amp;idProduct=sv4pt5-43", "CM")</f>
        <v>CM</v>
      </c>
      <c r="J37" s="23" t="b">
        <v>0</v>
      </c>
      <c r="K37" s="24" t="b">
        <v>0</v>
      </c>
      <c r="L37" s="25" t="str">
        <f>HYPERLINK("https://www.cardmarket.com/en/Pokemon/Products/Singles?idCategory=1&amp;idProduct=sv4pt5-44", "CM")</f>
        <v>CM</v>
      </c>
      <c r="M37" s="23" t="b">
        <v>0</v>
      </c>
      <c r="N37" s="24" t="b">
        <v>0</v>
      </c>
      <c r="O37" s="25" t="str">
        <f>HYPERLINK("https://www.cardmarket.com/en/Pokemon/Products/Singles?idCategory=1&amp;idProduct=sv4pt5-45", "CM")</f>
        <v>CM</v>
      </c>
    </row>
    <row r="38" ht="7.5" customHeight="1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</row>
    <row r="39" ht="18.75" customHeight="1">
      <c r="A39" s="18" t="s">
        <v>767</v>
      </c>
      <c r="B39" s="19" t="s">
        <v>1282</v>
      </c>
      <c r="C39" s="20"/>
      <c r="D39" s="18" t="s">
        <v>769</v>
      </c>
      <c r="E39" s="19" t="s">
        <v>1283</v>
      </c>
      <c r="F39" s="20"/>
      <c r="G39" s="18" t="s">
        <v>770</v>
      </c>
      <c r="H39" s="19" t="s">
        <v>1740</v>
      </c>
      <c r="I39" s="20"/>
      <c r="J39" s="18" t="s">
        <v>772</v>
      </c>
      <c r="K39" s="19" t="s">
        <v>1741</v>
      </c>
      <c r="L39" s="20"/>
      <c r="M39" s="18" t="s">
        <v>774</v>
      </c>
      <c r="N39" s="19" t="s">
        <v>1421</v>
      </c>
      <c r="O39" s="20"/>
    </row>
    <row r="40" ht="180.0" customHeight="1">
      <c r="A40" s="21" t="str">
        <f>IMAGE("https://assets.tcgdex.net/de/sv/sv04.5/046/low.jpg", 1)</f>
        <v/>
      </c>
      <c r="B40" s="22"/>
      <c r="C40" s="20"/>
      <c r="D40" s="21" t="str">
        <f>IMAGE("https://assets.tcgdex.net/de/sv/sv04.5/047/low.jpg", 1)</f>
        <v/>
      </c>
      <c r="E40" s="22"/>
      <c r="F40" s="20"/>
      <c r="G40" s="21" t="str">
        <f>IMAGE("https://assets.tcgdex.net/de/sv/sv04.5/048/low.jpg", 1)</f>
        <v/>
      </c>
      <c r="H40" s="22"/>
      <c r="I40" s="20"/>
      <c r="J40" s="21" t="str">
        <f>IMAGE("https://assets.tcgdex.net/de/sv/sv04.5/049/low.jpg", 1)</f>
        <v/>
      </c>
      <c r="K40" s="22"/>
      <c r="L40" s="20"/>
      <c r="M40" s="21" t="str">
        <f>IMAGE("https://assets.tcgdex.net/de/sv/sv04.5/050/low.jpg", 1)</f>
        <v/>
      </c>
      <c r="N40" s="22"/>
      <c r="O40" s="20"/>
    </row>
    <row r="41" ht="22.5" customHeight="1">
      <c r="A41" s="23" t="b">
        <v>0</v>
      </c>
      <c r="B41" s="24" t="b">
        <v>0</v>
      </c>
      <c r="C41" s="25" t="str">
        <f>HYPERLINK("https://www.cardmarket.com/en/Pokemon/Products/Singles?idCategory=1&amp;idProduct=sv4pt5-46", "CM")</f>
        <v>CM</v>
      </c>
      <c r="D41" s="23" t="b">
        <v>0</v>
      </c>
      <c r="E41" s="24" t="b">
        <v>0</v>
      </c>
      <c r="F41" s="25" t="str">
        <f>HYPERLINK("https://www.cardmarket.com/en/Pokemon/Products/Singles?idCategory=1&amp;idProduct=sv4pt5-47", "CM")</f>
        <v>CM</v>
      </c>
      <c r="G41" s="23" t="b">
        <v>0</v>
      </c>
      <c r="H41" s="24" t="b">
        <v>0</v>
      </c>
      <c r="I41" s="25" t="str">
        <f>HYPERLINK("https://www.cardmarket.com/en/Pokemon/Products/Singles?idCategory=1&amp;idProduct=sv4pt5-48", "CM")</f>
        <v>CM</v>
      </c>
      <c r="J41" s="23" t="b">
        <v>0</v>
      </c>
      <c r="K41" s="24" t="b">
        <v>0</v>
      </c>
      <c r="L41" s="25" t="str">
        <f>HYPERLINK("https://www.cardmarket.com/en/Pokemon/Products/Singles?idCategory=1&amp;idProduct=sv4pt5-49", "CM")</f>
        <v>CM</v>
      </c>
      <c r="M41" s="23" t="b">
        <v>0</v>
      </c>
      <c r="N41" s="24" t="b">
        <v>0</v>
      </c>
      <c r="O41" s="25" t="str">
        <f>HYPERLINK("https://www.cardmarket.com/en/Pokemon/Products/Singles?idCategory=1&amp;idProduct=sv4pt5-50", "CM")</f>
        <v>CM</v>
      </c>
    </row>
    <row r="42" ht="7.5" customHeight="1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</row>
    <row r="43" ht="18.75" customHeight="1">
      <c r="A43" s="18" t="s">
        <v>776</v>
      </c>
      <c r="B43" s="19" t="s">
        <v>1742</v>
      </c>
      <c r="C43" s="20"/>
      <c r="D43" s="18" t="s">
        <v>778</v>
      </c>
      <c r="E43" s="19" t="s">
        <v>1743</v>
      </c>
      <c r="F43" s="20"/>
      <c r="G43" s="18" t="s">
        <v>780</v>
      </c>
      <c r="H43" s="19" t="s">
        <v>802</v>
      </c>
      <c r="I43" s="20"/>
      <c r="J43" s="18" t="s">
        <v>583</v>
      </c>
      <c r="K43" s="19" t="s">
        <v>783</v>
      </c>
      <c r="L43" s="20"/>
      <c r="M43" s="18" t="s">
        <v>585</v>
      </c>
      <c r="N43" s="19" t="s">
        <v>1539</v>
      </c>
      <c r="O43" s="20"/>
    </row>
    <row r="44" ht="180.0" customHeight="1">
      <c r="A44" s="21" t="str">
        <f>IMAGE("https://assets.tcgdex.net/de/sv/sv04.5/051/low.jpg", 1)</f>
        <v/>
      </c>
      <c r="B44" s="22"/>
      <c r="C44" s="20"/>
      <c r="D44" s="21" t="str">
        <f>IMAGE("https://assets.tcgdex.net/de/sv/sv04.5/052/low.jpg", 1)</f>
        <v/>
      </c>
      <c r="E44" s="22"/>
      <c r="F44" s="20"/>
      <c r="G44" s="21" t="str">
        <f>IMAGE("https://assets.tcgdex.net/de/sv/sv04.5/053/low.jpg", 1)</f>
        <v/>
      </c>
      <c r="H44" s="22"/>
      <c r="I44" s="20"/>
      <c r="J44" s="21" t="str">
        <f>IMAGE("https://assets.tcgdex.net/de/sv/sv04.5/054/low.jpg", 1)</f>
        <v/>
      </c>
      <c r="K44" s="22"/>
      <c r="L44" s="20"/>
      <c r="M44" s="21" t="str">
        <f>IMAGE("https://assets.tcgdex.net/de/sv/sv04.5/055/low.jpg", 1)</f>
        <v/>
      </c>
      <c r="N44" s="22"/>
      <c r="O44" s="20"/>
    </row>
    <row r="45" ht="22.5" customHeight="1">
      <c r="A45" s="23" t="b">
        <v>0</v>
      </c>
      <c r="B45" s="24" t="b">
        <v>0</v>
      </c>
      <c r="C45" s="25" t="str">
        <f>HYPERLINK("https://www.cardmarket.com/en/Pokemon/Products/Singles?idCategory=1&amp;idProduct=sv4pt5-51", "CM")</f>
        <v>CM</v>
      </c>
      <c r="D45" s="23" t="b">
        <v>0</v>
      </c>
      <c r="E45" s="24" t="b">
        <v>0</v>
      </c>
      <c r="F45" s="25" t="str">
        <f>HYPERLINK("https://www.cardmarket.com/en/Pokemon/Products/Singles?idCategory=1&amp;idProduct=sv4pt5-52", "CM")</f>
        <v>CM</v>
      </c>
      <c r="G45" s="23" t="b">
        <v>0</v>
      </c>
      <c r="H45" s="24" t="b">
        <v>0</v>
      </c>
      <c r="I45" s="25" t="str">
        <f>HYPERLINK("https://www.cardmarket.com/en/Pokemon/Products/Singles?idCategory=1&amp;idProduct=sv4pt5-53", "CM")</f>
        <v>CM</v>
      </c>
      <c r="J45" s="23" t="b">
        <v>0</v>
      </c>
      <c r="K45" s="24" t="b">
        <v>0</v>
      </c>
      <c r="L45" s="25" t="str">
        <f>HYPERLINK("https://www.cardmarket.com/en/Pokemon/Products/Singles?idCategory=1&amp;idProduct=sv4pt5-54", "CM")</f>
        <v>CM</v>
      </c>
      <c r="M45" s="23" t="b">
        <v>0</v>
      </c>
      <c r="N45" s="24" t="b">
        <v>0</v>
      </c>
      <c r="O45" s="25" t="str">
        <f>HYPERLINK("https://www.cardmarket.com/en/Pokemon/Products/Singles?idCategory=1&amp;idProduct=sv4pt5-55", "CM")</f>
        <v>CM</v>
      </c>
    </row>
    <row r="46" ht="7.5" customHeight="1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</row>
    <row r="47" ht="18.75" customHeight="1">
      <c r="A47" s="18" t="s">
        <v>782</v>
      </c>
      <c r="B47" s="19" t="s">
        <v>1540</v>
      </c>
      <c r="C47" s="20"/>
      <c r="D47" s="18" t="s">
        <v>587</v>
      </c>
      <c r="E47" s="19" t="s">
        <v>1541</v>
      </c>
      <c r="F47" s="20"/>
      <c r="G47" s="18" t="s">
        <v>589</v>
      </c>
      <c r="H47" s="19" t="s">
        <v>578</v>
      </c>
      <c r="I47" s="20"/>
      <c r="J47" s="18" t="s">
        <v>591</v>
      </c>
      <c r="K47" s="19" t="s">
        <v>1744</v>
      </c>
      <c r="L47" s="20"/>
      <c r="M47" s="18" t="s">
        <v>593</v>
      </c>
      <c r="N47" s="19" t="s">
        <v>712</v>
      </c>
      <c r="O47" s="20"/>
    </row>
    <row r="48" ht="180.0" customHeight="1">
      <c r="A48" s="21" t="str">
        <f>IMAGE("https://assets.tcgdex.net/de/sv/sv04.5/056/low.jpg", 1)</f>
        <v/>
      </c>
      <c r="B48" s="22"/>
      <c r="C48" s="20"/>
      <c r="D48" s="21" t="str">
        <f>IMAGE("https://assets.tcgdex.net/de/sv/sv04.5/057/low.jpg", 1)</f>
        <v/>
      </c>
      <c r="E48" s="22"/>
      <c r="F48" s="20"/>
      <c r="G48" s="21" t="str">
        <f>IMAGE("https://assets.tcgdex.net/de/sv/sv04.5/058/low.jpg", 1)</f>
        <v/>
      </c>
      <c r="H48" s="22"/>
      <c r="I48" s="20"/>
      <c r="J48" s="21" t="str">
        <f>IMAGE("https://assets.tcgdex.net/de/sv/sv04.5/059/low.jpg", 1)</f>
        <v/>
      </c>
      <c r="K48" s="22"/>
      <c r="L48" s="20"/>
      <c r="M48" s="21" t="str">
        <f>IMAGE("https://assets.tcgdex.net/de/sv/sv04.5/060/low.jpg", 1)</f>
        <v/>
      </c>
      <c r="N48" s="22"/>
      <c r="O48" s="20"/>
    </row>
    <row r="49" ht="22.5" customHeight="1">
      <c r="A49" s="23" t="b">
        <v>0</v>
      </c>
      <c r="B49" s="24" t="b">
        <v>0</v>
      </c>
      <c r="C49" s="25" t="str">
        <f>HYPERLINK("https://www.cardmarket.com/en/Pokemon/Products/Singles?idCategory=1&amp;idProduct=sv4pt5-56", "CM")</f>
        <v>CM</v>
      </c>
      <c r="D49" s="23" t="b">
        <v>0</v>
      </c>
      <c r="E49" s="24" t="b">
        <v>0</v>
      </c>
      <c r="F49" s="25" t="str">
        <f>HYPERLINK("https://www.cardmarket.com/en/Pokemon/Products/Singles?idCategory=1&amp;idProduct=sv4pt5-57", "CM")</f>
        <v>CM</v>
      </c>
      <c r="G49" s="23" t="b">
        <v>0</v>
      </c>
      <c r="H49" s="24" t="b">
        <v>0</v>
      </c>
      <c r="I49" s="25" t="str">
        <f>HYPERLINK("https://www.cardmarket.com/en/Pokemon/Products/Singles?idCategory=1&amp;idProduct=sv4pt5-58", "CM")</f>
        <v>CM</v>
      </c>
      <c r="J49" s="23" t="b">
        <v>0</v>
      </c>
      <c r="K49" s="24" t="b">
        <v>0</v>
      </c>
      <c r="L49" s="25" t="str">
        <f>HYPERLINK("https://www.cardmarket.com/en/Pokemon/Products/Singles?idCategory=1&amp;idProduct=sv4pt5-59", "CM")</f>
        <v>CM</v>
      </c>
      <c r="M49" s="23" t="b">
        <v>0</v>
      </c>
      <c r="N49" s="24" t="b">
        <v>0</v>
      </c>
      <c r="O49" s="25" t="str">
        <f>HYPERLINK("https://www.cardmarket.com/en/Pokemon/Products/Singles?idCategory=1&amp;idProduct=sv4pt5-60", "CM")</f>
        <v>CM</v>
      </c>
    </row>
    <row r="50" ht="7.5" customHeight="1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</row>
    <row r="51" ht="18.75" customHeight="1">
      <c r="A51" s="18" t="s">
        <v>595</v>
      </c>
      <c r="B51" s="19" t="s">
        <v>895</v>
      </c>
      <c r="C51" s="20"/>
      <c r="D51" s="18" t="s">
        <v>597</v>
      </c>
      <c r="E51" s="19" t="s">
        <v>800</v>
      </c>
      <c r="F51" s="20"/>
      <c r="G51" s="18" t="s">
        <v>784</v>
      </c>
      <c r="H51" s="19" t="s">
        <v>1294</v>
      </c>
      <c r="I51" s="20"/>
      <c r="J51" s="18" t="s">
        <v>786</v>
      </c>
      <c r="K51" s="19" t="s">
        <v>761</v>
      </c>
      <c r="L51" s="20"/>
      <c r="M51" s="18" t="s">
        <v>788</v>
      </c>
      <c r="N51" s="19" t="s">
        <v>532</v>
      </c>
      <c r="O51" s="20"/>
    </row>
    <row r="52" ht="180.0" customHeight="1">
      <c r="A52" s="21" t="str">
        <f>IMAGE("https://assets.tcgdex.net/de/sv/sv04.5/061/low.jpg", 1)</f>
        <v/>
      </c>
      <c r="B52" s="22"/>
      <c r="C52" s="20"/>
      <c r="D52" s="21" t="str">
        <f>IMAGE("https://assets.tcgdex.net/de/sv/sv04.5/062/low.jpg", 1)</f>
        <v/>
      </c>
      <c r="E52" s="22"/>
      <c r="F52" s="20"/>
      <c r="G52" s="21" t="str">
        <f>IMAGE("https://assets.tcgdex.net/de/sv/sv04.5/063/low.jpg", 1)</f>
        <v/>
      </c>
      <c r="H52" s="22"/>
      <c r="I52" s="20"/>
      <c r="J52" s="21" t="str">
        <f>IMAGE("https://assets.tcgdex.net/de/sv/sv04.5/064/low.jpg", 1)</f>
        <v/>
      </c>
      <c r="K52" s="22"/>
      <c r="L52" s="20"/>
      <c r="M52" s="21" t="str">
        <f>IMAGE("https://assets.tcgdex.net/de/sv/sv04.5/065/low.jpg", 1)</f>
        <v/>
      </c>
      <c r="N52" s="22"/>
      <c r="O52" s="20"/>
    </row>
    <row r="53" ht="22.5" customHeight="1">
      <c r="A53" s="23" t="b">
        <v>0</v>
      </c>
      <c r="B53" s="24" t="b">
        <v>0</v>
      </c>
      <c r="C53" s="25" t="str">
        <f>HYPERLINK("https://www.cardmarket.com/en/Pokemon/Products/Singles?idCategory=1&amp;idProduct=sv4pt5-61", "CM")</f>
        <v>CM</v>
      </c>
      <c r="D53" s="23" t="b">
        <v>0</v>
      </c>
      <c r="E53" s="24" t="b">
        <v>0</v>
      </c>
      <c r="F53" s="25" t="str">
        <f>HYPERLINK("https://www.cardmarket.com/en/Pokemon/Products/Singles?idCategory=1&amp;idProduct=sv4pt5-62", "CM")</f>
        <v>CM</v>
      </c>
      <c r="G53" s="23" t="b">
        <v>0</v>
      </c>
      <c r="H53" s="24" t="b">
        <v>0</v>
      </c>
      <c r="I53" s="25" t="str">
        <f>HYPERLINK("https://www.cardmarket.com/en/Pokemon/Products/Singles?idCategory=1&amp;idProduct=sv4pt5-63", "CM")</f>
        <v>CM</v>
      </c>
      <c r="J53" s="23" t="b">
        <v>0</v>
      </c>
      <c r="K53" s="24" t="b">
        <v>0</v>
      </c>
      <c r="L53" s="25" t="str">
        <f>HYPERLINK("https://www.cardmarket.com/en/Pokemon/Products/Singles?idCategory=1&amp;idProduct=sv4pt5-64", "CM")</f>
        <v>CM</v>
      </c>
      <c r="M53" s="23" t="b">
        <v>0</v>
      </c>
      <c r="N53" s="24" t="b">
        <v>0</v>
      </c>
      <c r="O53" s="25" t="str">
        <f>HYPERLINK("https://www.cardmarket.com/en/Pokemon/Products/Singles?idCategory=1&amp;idProduct=sv4pt5-65", "CM")</f>
        <v>CM</v>
      </c>
    </row>
    <row r="54" ht="7.5" customHeight="1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</row>
    <row r="55" ht="18.75" customHeight="1">
      <c r="A55" s="18" t="s">
        <v>790</v>
      </c>
      <c r="B55" s="19" t="s">
        <v>804</v>
      </c>
      <c r="C55" s="20"/>
      <c r="D55" s="18" t="s">
        <v>791</v>
      </c>
      <c r="E55" s="19" t="s">
        <v>1745</v>
      </c>
      <c r="F55" s="20"/>
      <c r="G55" s="18" t="s">
        <v>793</v>
      </c>
      <c r="H55" s="19" t="s">
        <v>1746</v>
      </c>
      <c r="I55" s="20"/>
      <c r="J55" s="18" t="s">
        <v>795</v>
      </c>
      <c r="K55" s="19" t="s">
        <v>1747</v>
      </c>
      <c r="L55" s="20"/>
      <c r="M55" s="18" t="s">
        <v>797</v>
      </c>
      <c r="N55" s="19" t="s">
        <v>814</v>
      </c>
      <c r="O55" s="20"/>
    </row>
    <row r="56" ht="180.0" customHeight="1">
      <c r="A56" s="21" t="str">
        <f>IMAGE("https://assets.tcgdex.net/de/sv/sv04.5/066/low.jpg", 1)</f>
        <v/>
      </c>
      <c r="B56" s="22"/>
      <c r="C56" s="20"/>
      <c r="D56" s="21" t="str">
        <f>IMAGE("https://assets.tcgdex.net/de/sv/sv04.5/067/low.jpg", 1)</f>
        <v/>
      </c>
      <c r="E56" s="22"/>
      <c r="F56" s="20"/>
      <c r="G56" s="21" t="str">
        <f>IMAGE("https://assets.tcgdex.net/de/sv/sv04.5/068/low.jpg", 1)</f>
        <v/>
      </c>
      <c r="H56" s="22"/>
      <c r="I56" s="20"/>
      <c r="J56" s="21" t="str">
        <f>IMAGE("https://assets.tcgdex.net/de/sv/sv04.5/069/low.jpg", 1)</f>
        <v/>
      </c>
      <c r="K56" s="22"/>
      <c r="L56" s="20"/>
      <c r="M56" s="21" t="str">
        <f>IMAGE("https://assets.tcgdex.net/de/sv/sv04.5/070/low.jpg", 1)</f>
        <v/>
      </c>
      <c r="N56" s="22"/>
      <c r="O56" s="20"/>
    </row>
    <row r="57" ht="22.5" customHeight="1">
      <c r="A57" s="23" t="b">
        <v>0</v>
      </c>
      <c r="B57" s="24" t="b">
        <v>0</v>
      </c>
      <c r="C57" s="25" t="str">
        <f>HYPERLINK("https://www.cardmarket.com/en/Pokemon/Products/Singles?idCategory=1&amp;idProduct=sv4pt5-66", "CM")</f>
        <v>CM</v>
      </c>
      <c r="D57" s="23" t="b">
        <v>0</v>
      </c>
      <c r="E57" s="24" t="b">
        <v>0</v>
      </c>
      <c r="F57" s="25" t="str">
        <f>HYPERLINK("https://www.cardmarket.com/en/Pokemon/Products/Singles?idCategory=1&amp;idProduct=sv4pt5-67", "CM")</f>
        <v>CM</v>
      </c>
      <c r="G57" s="23" t="b">
        <v>0</v>
      </c>
      <c r="H57" s="24" t="b">
        <v>0</v>
      </c>
      <c r="I57" s="25" t="str">
        <f>HYPERLINK("https://www.cardmarket.com/en/Pokemon/Products/Singles?idCategory=1&amp;idProduct=sv4pt5-68", "CM")</f>
        <v>CM</v>
      </c>
      <c r="J57" s="23" t="b">
        <v>0</v>
      </c>
      <c r="K57" s="24" t="b">
        <v>0</v>
      </c>
      <c r="L57" s="25" t="str">
        <f>HYPERLINK("https://www.cardmarket.com/en/Pokemon/Products/Singles?idCategory=1&amp;idProduct=sv4pt5-69", "CM")</f>
        <v>CM</v>
      </c>
      <c r="M57" s="23" t="b">
        <v>0</v>
      </c>
      <c r="N57" s="24" t="b">
        <v>0</v>
      </c>
      <c r="O57" s="25" t="str">
        <f>HYPERLINK("https://www.cardmarket.com/en/Pokemon/Products/Singles?idCategory=1&amp;idProduct=sv4pt5-70", "CM")</f>
        <v>CM</v>
      </c>
    </row>
    <row r="58" ht="7.5" customHeight="1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</row>
    <row r="59" ht="18.75" customHeight="1">
      <c r="A59" s="18" t="s">
        <v>799</v>
      </c>
      <c r="B59" s="19" t="s">
        <v>1228</v>
      </c>
      <c r="C59" s="20"/>
      <c r="D59" s="18" t="s">
        <v>801</v>
      </c>
      <c r="E59" s="19" t="s">
        <v>1229</v>
      </c>
      <c r="F59" s="20"/>
      <c r="G59" s="18" t="s">
        <v>803</v>
      </c>
      <c r="H59" s="19" t="s">
        <v>1230</v>
      </c>
      <c r="I59" s="20"/>
      <c r="J59" s="18" t="s">
        <v>805</v>
      </c>
      <c r="K59" s="19" t="s">
        <v>1231</v>
      </c>
      <c r="L59" s="20"/>
      <c r="M59" s="18" t="s">
        <v>806</v>
      </c>
      <c r="N59" s="19" t="s">
        <v>696</v>
      </c>
      <c r="O59" s="20"/>
    </row>
    <row r="60" ht="180.0" customHeight="1">
      <c r="A60" s="21" t="str">
        <f>IMAGE("https://assets.tcgdex.net/de/sv/sv04.5/071/low.jpg", 1)</f>
        <v/>
      </c>
      <c r="B60" s="22"/>
      <c r="C60" s="20"/>
      <c r="D60" s="21" t="str">
        <f>IMAGE("https://assets.tcgdex.net/de/sv/sv04.5/072/low.jpg", 1)</f>
        <v/>
      </c>
      <c r="E60" s="22"/>
      <c r="F60" s="20"/>
      <c r="G60" s="21" t="str">
        <f>IMAGE("https://assets.tcgdex.net/de/sv/sv04.5/073/low.jpg", 1)</f>
        <v/>
      </c>
      <c r="H60" s="22"/>
      <c r="I60" s="20"/>
      <c r="J60" s="21" t="str">
        <f>IMAGE("https://assets.tcgdex.net/de/sv/sv04.5/074/low.jpg", 1)</f>
        <v/>
      </c>
      <c r="K60" s="22"/>
      <c r="L60" s="20"/>
      <c r="M60" s="21" t="str">
        <f>IMAGE("https://assets.tcgdex.net/de/sv/sv04.5/075/low.jpg", 1)</f>
        <v/>
      </c>
      <c r="N60" s="22"/>
      <c r="O60" s="20"/>
    </row>
    <row r="61" ht="22.5" customHeight="1">
      <c r="A61" s="23" t="b">
        <v>0</v>
      </c>
      <c r="B61" s="24" t="b">
        <v>0</v>
      </c>
      <c r="C61" s="25" t="str">
        <f>HYPERLINK("https://www.cardmarket.com/en/Pokemon/Products/Singles?idCategory=1&amp;idProduct=sv4pt5-71", "CM")</f>
        <v>CM</v>
      </c>
      <c r="D61" s="23" t="b">
        <v>0</v>
      </c>
      <c r="E61" s="24" t="b">
        <v>0</v>
      </c>
      <c r="F61" s="25" t="str">
        <f>HYPERLINK("https://www.cardmarket.com/en/Pokemon/Products/Singles?idCategory=1&amp;idProduct=sv4pt5-72", "CM")</f>
        <v>CM</v>
      </c>
      <c r="G61" s="23" t="b">
        <v>0</v>
      </c>
      <c r="H61" s="24" t="b">
        <v>0</v>
      </c>
      <c r="I61" s="25" t="str">
        <f>HYPERLINK("https://www.cardmarket.com/en/Pokemon/Products/Singles?idCategory=1&amp;idProduct=sv4pt5-73", "CM")</f>
        <v>CM</v>
      </c>
      <c r="J61" s="23" t="b">
        <v>0</v>
      </c>
      <c r="K61" s="24" t="b">
        <v>0</v>
      </c>
      <c r="L61" s="25" t="str">
        <f>HYPERLINK("https://www.cardmarket.com/en/Pokemon/Products/Singles?idCategory=1&amp;idProduct=sv4pt5-74", "CM")</f>
        <v>CM</v>
      </c>
      <c r="M61" s="23" t="b">
        <v>0</v>
      </c>
      <c r="N61" s="24" t="b">
        <v>0</v>
      </c>
      <c r="O61" s="25" t="str">
        <f>HYPERLINK("https://www.cardmarket.com/en/Pokemon/Products/Singles?idCategory=1&amp;idProduct=sv4pt5-75", "CM")</f>
        <v>CM</v>
      </c>
    </row>
    <row r="62" ht="7.5" customHeight="1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</row>
    <row r="63" ht="18.75" customHeight="1">
      <c r="A63" s="18" t="s">
        <v>808</v>
      </c>
      <c r="B63" s="19" t="s">
        <v>1472</v>
      </c>
      <c r="C63" s="20"/>
      <c r="D63" s="18" t="s">
        <v>809</v>
      </c>
      <c r="E63" s="19" t="s">
        <v>1748</v>
      </c>
      <c r="F63" s="20"/>
      <c r="G63" s="18" t="s">
        <v>811</v>
      </c>
      <c r="H63" s="19" t="s">
        <v>1749</v>
      </c>
      <c r="I63" s="20"/>
      <c r="J63" s="18" t="s">
        <v>599</v>
      </c>
      <c r="K63" s="19" t="s">
        <v>1303</v>
      </c>
      <c r="L63" s="20"/>
      <c r="M63" s="18" t="s">
        <v>601</v>
      </c>
      <c r="N63" s="19" t="s">
        <v>834</v>
      </c>
      <c r="O63" s="20"/>
    </row>
    <row r="64" ht="180.0" customHeight="1">
      <c r="A64" s="21" t="str">
        <f>IMAGE("https://assets.tcgdex.net/de/sv/sv04.5/076/low.jpg", 1)</f>
        <v/>
      </c>
      <c r="B64" s="22"/>
      <c r="C64" s="20"/>
      <c r="D64" s="21" t="str">
        <f>IMAGE("https://assets.tcgdex.net/de/sv/sv04.5/077/low.jpg", 1)</f>
        <v/>
      </c>
      <c r="E64" s="22"/>
      <c r="F64" s="20"/>
      <c r="G64" s="21" t="str">
        <f>IMAGE("https://assets.tcgdex.net/de/sv/sv04.5/078/low.jpg", 1)</f>
        <v/>
      </c>
      <c r="H64" s="22"/>
      <c r="I64" s="20"/>
      <c r="J64" s="21" t="str">
        <f>IMAGE("https://assets.tcgdex.net/de/sv/sv04.5/079/low.jpg", 1)</f>
        <v/>
      </c>
      <c r="K64" s="22"/>
      <c r="L64" s="20"/>
      <c r="M64" s="21" t="str">
        <f>IMAGE("https://assets.tcgdex.net/de/sv/sv04.5/080/low.jpg", 1)</f>
        <v/>
      </c>
      <c r="N64" s="22"/>
      <c r="O64" s="20"/>
    </row>
    <row r="65" ht="22.5" customHeight="1">
      <c r="A65" s="23" t="b">
        <v>0</v>
      </c>
      <c r="B65" s="24" t="b">
        <v>0</v>
      </c>
      <c r="C65" s="25" t="str">
        <f>HYPERLINK("https://www.cardmarket.com/en/Pokemon/Products/Singles?idCategory=1&amp;idProduct=sv4pt5-76", "CM")</f>
        <v>CM</v>
      </c>
      <c r="D65" s="23" t="b">
        <v>0</v>
      </c>
      <c r="E65" s="24" t="b">
        <v>0</v>
      </c>
      <c r="F65" s="25" t="str">
        <f>HYPERLINK("https://www.cardmarket.com/en/Pokemon/Products/Singles?idCategory=1&amp;idProduct=sv4pt5-77", "CM")</f>
        <v>CM</v>
      </c>
      <c r="G65" s="23" t="b">
        <v>0</v>
      </c>
      <c r="H65" s="24" t="b">
        <v>0</v>
      </c>
      <c r="I65" s="25" t="str">
        <f>HYPERLINK("https://www.cardmarket.com/en/Pokemon/Products/Singles?idCategory=1&amp;idProduct=sv4pt5-78", "CM")</f>
        <v>CM</v>
      </c>
      <c r="J65" s="23" t="b">
        <v>0</v>
      </c>
      <c r="K65" s="24" t="b">
        <v>0</v>
      </c>
      <c r="L65" s="25" t="str">
        <f>HYPERLINK("https://www.cardmarket.com/en/Pokemon/Products/Singles?idCategory=1&amp;idProduct=sv4pt5-79", "CM")</f>
        <v>CM</v>
      </c>
      <c r="M65" s="23" t="b">
        <v>0</v>
      </c>
      <c r="N65" s="24" t="b">
        <v>0</v>
      </c>
      <c r="O65" s="25" t="str">
        <f>HYPERLINK("https://www.cardmarket.com/en/Pokemon/Products/Singles?idCategory=1&amp;idProduct=sv4pt5-80", "CM")</f>
        <v>CM</v>
      </c>
    </row>
    <row r="66" ht="7.5" customHeight="1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</row>
    <row r="67" ht="18.75" customHeight="1">
      <c r="A67" s="18" t="s">
        <v>603</v>
      </c>
      <c r="B67" s="19" t="s">
        <v>1750</v>
      </c>
      <c r="C67" s="20"/>
      <c r="D67" s="18" t="s">
        <v>604</v>
      </c>
      <c r="E67" s="19" t="s">
        <v>1309</v>
      </c>
      <c r="F67" s="20"/>
      <c r="G67" s="18" t="s">
        <v>606</v>
      </c>
      <c r="H67" s="19" t="s">
        <v>1751</v>
      </c>
      <c r="I67" s="20"/>
      <c r="J67" s="18" t="s">
        <v>608</v>
      </c>
      <c r="K67" s="19" t="s">
        <v>1310</v>
      </c>
      <c r="L67" s="20"/>
      <c r="M67" s="18" t="s">
        <v>609</v>
      </c>
      <c r="N67" s="19" t="s">
        <v>1752</v>
      </c>
      <c r="O67" s="20"/>
    </row>
    <row r="68" ht="180.0" customHeight="1">
      <c r="A68" s="21" t="str">
        <f>IMAGE("https://assets.tcgdex.net/de/sv/sv04.5/081/low.jpg", 1)</f>
        <v/>
      </c>
      <c r="B68" s="22"/>
      <c r="C68" s="20"/>
      <c r="D68" s="21" t="str">
        <f>IMAGE("https://assets.tcgdex.net/de/sv/sv04.5/082/low.jpg", 1)</f>
        <v/>
      </c>
      <c r="E68" s="22"/>
      <c r="F68" s="20"/>
      <c r="G68" s="21" t="str">
        <f>IMAGE("https://assets.tcgdex.net/de/sv/sv04.5/083/low.jpg", 1)</f>
        <v/>
      </c>
      <c r="H68" s="22"/>
      <c r="I68" s="20"/>
      <c r="J68" s="21" t="str">
        <f>IMAGE("https://assets.tcgdex.net/de/sv/sv04.5/084/low.jpg", 1)</f>
        <v/>
      </c>
      <c r="K68" s="22"/>
      <c r="L68" s="20"/>
      <c r="M68" s="21" t="str">
        <f>IMAGE("https://assets.tcgdex.net/de/sv/sv04.5/085/low.jpg", 1)</f>
        <v/>
      </c>
      <c r="N68" s="22"/>
      <c r="O68" s="20"/>
    </row>
    <row r="69" ht="22.5" customHeight="1">
      <c r="A69" s="23" t="b">
        <v>0</v>
      </c>
      <c r="B69" s="24" t="b">
        <v>0</v>
      </c>
      <c r="C69" s="25" t="str">
        <f>HYPERLINK("https://www.cardmarket.com/en/Pokemon/Products/Singles?idCategory=1&amp;idProduct=sv4pt5-81", "CM")</f>
        <v>CM</v>
      </c>
      <c r="D69" s="23" t="b">
        <v>0</v>
      </c>
      <c r="E69" s="24" t="b">
        <v>0</v>
      </c>
      <c r="F69" s="25" t="str">
        <f>HYPERLINK("https://www.cardmarket.com/en/Pokemon/Products/Singles?idCategory=1&amp;idProduct=sv4pt5-82", "CM")</f>
        <v>CM</v>
      </c>
      <c r="G69" s="23" t="b">
        <v>0</v>
      </c>
      <c r="H69" s="24" t="b">
        <v>0</v>
      </c>
      <c r="I69" s="25" t="str">
        <f>HYPERLINK("https://www.cardmarket.com/en/Pokemon/Products/Singles?idCategory=1&amp;idProduct=sv4pt5-83", "CM")</f>
        <v>CM</v>
      </c>
      <c r="J69" s="23" t="b">
        <v>0</v>
      </c>
      <c r="K69" s="24" t="b">
        <v>0</v>
      </c>
      <c r="L69" s="25" t="str">
        <f>HYPERLINK("https://www.cardmarket.com/en/Pokemon/Products/Singles?idCategory=1&amp;idProduct=sv4pt5-84", "CM")</f>
        <v>CM</v>
      </c>
      <c r="M69" s="23" t="b">
        <v>0</v>
      </c>
      <c r="N69" s="24" t="b">
        <v>0</v>
      </c>
      <c r="O69" s="25" t="str">
        <f>HYPERLINK("https://www.cardmarket.com/en/Pokemon/Products/Singles?idCategory=1&amp;idProduct=sv4pt5-85", "CM")</f>
        <v>CM</v>
      </c>
    </row>
    <row r="70" ht="7.5" customHeight="1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</row>
    <row r="71" ht="18.75" customHeight="1">
      <c r="A71" s="18" t="s">
        <v>611</v>
      </c>
      <c r="B71" s="19" t="s">
        <v>1752</v>
      </c>
      <c r="C71" s="20"/>
      <c r="D71" s="18" t="s">
        <v>613</v>
      </c>
      <c r="E71" s="19" t="s">
        <v>1040</v>
      </c>
      <c r="F71" s="20"/>
      <c r="G71" s="18" t="s">
        <v>615</v>
      </c>
      <c r="H71" s="19" t="s">
        <v>1040</v>
      </c>
      <c r="I71" s="20"/>
      <c r="J71" s="18" t="s">
        <v>617</v>
      </c>
      <c r="K71" s="19" t="s">
        <v>1035</v>
      </c>
      <c r="L71" s="20"/>
      <c r="M71" s="18" t="s">
        <v>619</v>
      </c>
      <c r="N71" s="19" t="s">
        <v>1753</v>
      </c>
      <c r="O71" s="20"/>
    </row>
    <row r="72" ht="180.0" customHeight="1">
      <c r="A72" s="21" t="str">
        <f>IMAGE("https://assets.tcgdex.net/de/sv/sv04.5/086/low.jpg", 1)</f>
        <v/>
      </c>
      <c r="B72" s="22"/>
      <c r="C72" s="20"/>
      <c r="D72" s="21" t="str">
        <f>IMAGE("https://assets.tcgdex.net/de/sv/sv04.5/087/low.jpg", 1)</f>
        <v/>
      </c>
      <c r="E72" s="22"/>
      <c r="F72" s="20"/>
      <c r="G72" s="21" t="str">
        <f>IMAGE("https://assets.tcgdex.net/de/sv/sv04.5/088/low.jpg", 1)</f>
        <v/>
      </c>
      <c r="H72" s="22"/>
      <c r="I72" s="20"/>
      <c r="J72" s="21" t="str">
        <f>IMAGE("https://assets.tcgdex.net/de/sv/sv04.5/089/low.jpg", 1)</f>
        <v/>
      </c>
      <c r="K72" s="22"/>
      <c r="L72" s="20"/>
      <c r="M72" s="21" t="str">
        <f>IMAGE("https://assets.tcgdex.net/de/sv/sv04.5/090/low.jpg", 1)</f>
        <v/>
      </c>
      <c r="N72" s="22"/>
      <c r="O72" s="20"/>
    </row>
    <row r="73" ht="22.5" customHeight="1">
      <c r="A73" s="23" t="b">
        <v>0</v>
      </c>
      <c r="B73" s="24" t="b">
        <v>0</v>
      </c>
      <c r="C73" s="25" t="str">
        <f>HYPERLINK("https://www.cardmarket.com/en/Pokemon/Products/Singles?idCategory=1&amp;idProduct=sv4pt5-86", "CM")</f>
        <v>CM</v>
      </c>
      <c r="D73" s="23" t="b">
        <v>0</v>
      </c>
      <c r="E73" s="24" t="b">
        <v>0</v>
      </c>
      <c r="F73" s="25" t="str">
        <f>HYPERLINK("https://www.cardmarket.com/en/Pokemon/Products/Singles?idCategory=1&amp;idProduct=sv4pt5-87", "CM")</f>
        <v>CM</v>
      </c>
      <c r="G73" s="23" t="b">
        <v>0</v>
      </c>
      <c r="H73" s="24" t="b">
        <v>0</v>
      </c>
      <c r="I73" s="25" t="str">
        <f>HYPERLINK("https://www.cardmarket.com/en/Pokemon/Products/Singles?idCategory=1&amp;idProduct=sv4pt5-88", "CM")</f>
        <v>CM</v>
      </c>
      <c r="J73" s="23" t="b">
        <v>0</v>
      </c>
      <c r="K73" s="24" t="b">
        <v>0</v>
      </c>
      <c r="L73" s="25" t="str">
        <f>HYPERLINK("https://www.cardmarket.com/en/Pokemon/Products/Singles?idCategory=1&amp;idProduct=sv4pt5-89", "CM")</f>
        <v>CM</v>
      </c>
      <c r="M73" s="23" t="b">
        <v>0</v>
      </c>
      <c r="N73" s="24" t="b">
        <v>0</v>
      </c>
      <c r="O73" s="25" t="str">
        <f>HYPERLINK("https://www.cardmarket.com/en/Pokemon/Products/Singles?idCategory=1&amp;idProduct=sv4pt5-90", "CM")</f>
        <v>CM</v>
      </c>
    </row>
    <row r="74" ht="7.5" customHeight="1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</row>
    <row r="75" ht="18.75" customHeight="1">
      <c r="A75" s="18" t="s">
        <v>621</v>
      </c>
      <c r="B75" s="19" t="s">
        <v>1038</v>
      </c>
      <c r="C75" s="20"/>
      <c r="D75" s="18" t="s">
        <v>623</v>
      </c>
      <c r="E75" s="19" t="s">
        <v>907</v>
      </c>
      <c r="F75" s="20"/>
      <c r="G75" s="18" t="s">
        <v>625</v>
      </c>
      <c r="H75" s="19" t="s">
        <v>908</v>
      </c>
      <c r="I75" s="20"/>
      <c r="J75" s="18" t="s">
        <v>627</v>
      </c>
      <c r="K75" s="19" t="s">
        <v>1508</v>
      </c>
      <c r="L75" s="20"/>
      <c r="M75" s="18" t="s">
        <v>812</v>
      </c>
      <c r="N75" s="19" t="s">
        <v>911</v>
      </c>
      <c r="O75" s="20"/>
    </row>
    <row r="76" ht="180.0" customHeight="1">
      <c r="A76" s="21" t="str">
        <f>IMAGE("https://assets.tcgdex.net/de/sv/sv04.5/091/low.jpg", 1)</f>
        <v/>
      </c>
      <c r="B76" s="22"/>
      <c r="C76" s="20"/>
      <c r="D76" s="21" t="str">
        <f>IMAGE("https://assets.tcgdex.net/de/sv/sv04.5/092/low.jpg", 1)</f>
        <v/>
      </c>
      <c r="E76" s="22"/>
      <c r="F76" s="20"/>
      <c r="G76" s="21" t="str">
        <f>IMAGE("https://assets.tcgdex.net/de/sv/sv04.5/093/low.jpg", 1)</f>
        <v/>
      </c>
      <c r="H76" s="22"/>
      <c r="I76" s="20"/>
      <c r="J76" s="21" t="str">
        <f>IMAGE("https://assets.tcgdex.net/de/sv/sv04.5/094/low.jpg", 1)</f>
        <v/>
      </c>
      <c r="K76" s="22"/>
      <c r="L76" s="20"/>
      <c r="M76" s="21" t="str">
        <f>IMAGE("https://assets.tcgdex.net/de/sv/sv04.5/095/low.jpg", 1)</f>
        <v/>
      </c>
      <c r="N76" s="22"/>
      <c r="O76" s="20"/>
    </row>
    <row r="77" ht="22.5" customHeight="1">
      <c r="A77" s="23" t="b">
        <v>0</v>
      </c>
      <c r="B77" s="24" t="b">
        <v>0</v>
      </c>
      <c r="C77" s="25" t="str">
        <f>HYPERLINK("https://www.cardmarket.com/en/Pokemon/Products/Singles?idCategory=1&amp;idProduct=sv4pt5-91", "CM")</f>
        <v>CM</v>
      </c>
      <c r="D77" s="23" t="b">
        <v>0</v>
      </c>
      <c r="E77" s="24" t="b">
        <v>0</v>
      </c>
      <c r="F77" s="25" t="str">
        <f>HYPERLINK("https://www.cardmarket.com/en/Pokemon/Products/Singles?idCategory=1&amp;idProduct=sv4pt5-92", "CM")</f>
        <v>CM</v>
      </c>
      <c r="G77" s="23" t="b">
        <v>0</v>
      </c>
      <c r="H77" s="24" t="b">
        <v>0</v>
      </c>
      <c r="I77" s="25" t="str">
        <f>HYPERLINK("https://www.cardmarket.com/en/Pokemon/Products/Singles?idCategory=1&amp;idProduct=sv4pt5-93", "CM")</f>
        <v>CM</v>
      </c>
      <c r="J77" s="23" t="b">
        <v>0</v>
      </c>
      <c r="K77" s="24" t="b">
        <v>0</v>
      </c>
      <c r="L77" s="25" t="str">
        <f>HYPERLINK("https://www.cardmarket.com/en/Pokemon/Products/Singles?idCategory=1&amp;idProduct=sv4pt5-94", "CM")</f>
        <v>CM</v>
      </c>
      <c r="M77" s="23" t="b">
        <v>0</v>
      </c>
      <c r="N77" s="24" t="b">
        <v>0</v>
      </c>
      <c r="O77" s="25" t="str">
        <f>HYPERLINK("https://www.cardmarket.com/en/Pokemon/Products/Singles?idCategory=1&amp;idProduct=sv4pt5-95", "CM")</f>
        <v>CM</v>
      </c>
    </row>
    <row r="78" ht="7.5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</row>
    <row r="79" ht="18.75" customHeight="1">
      <c r="A79" s="18" t="s">
        <v>813</v>
      </c>
      <c r="B79" s="19" t="s">
        <v>1754</v>
      </c>
      <c r="C79" s="20"/>
      <c r="D79" s="18" t="s">
        <v>815</v>
      </c>
      <c r="E79" s="19" t="s">
        <v>1755</v>
      </c>
      <c r="F79" s="20"/>
      <c r="G79" s="18" t="s">
        <v>817</v>
      </c>
      <c r="H79" s="19" t="s">
        <v>1756</v>
      </c>
      <c r="I79" s="20"/>
      <c r="J79" s="18" t="s">
        <v>819</v>
      </c>
      <c r="K79" s="19" t="s">
        <v>596</v>
      </c>
      <c r="L79" s="20"/>
      <c r="M79" s="18" t="s">
        <v>821</v>
      </c>
      <c r="N79" s="19" t="s">
        <v>1757</v>
      </c>
      <c r="O79" s="20"/>
    </row>
    <row r="80" ht="180.0" customHeight="1">
      <c r="A80" s="21" t="str">
        <f>IMAGE("https://assets.tcgdex.net/de/sv/sv04.5/096/low.jpg", 1)</f>
        <v/>
      </c>
      <c r="B80" s="22"/>
      <c r="C80" s="20"/>
      <c r="D80" s="21" t="str">
        <f>IMAGE("https://assets.tcgdex.net/de/sv/sv04.5/097/low.jpg", 1)</f>
        <v/>
      </c>
      <c r="E80" s="22"/>
      <c r="F80" s="20"/>
      <c r="G80" s="21" t="str">
        <f>IMAGE("https://assets.tcgdex.net/de/sv/sv04.5/098/low.jpg", 1)</f>
        <v/>
      </c>
      <c r="H80" s="22"/>
      <c r="I80" s="20"/>
      <c r="J80" s="21" t="str">
        <f>IMAGE("https://assets.tcgdex.net/de/sv/sv04.5/099/low.jpg", 1)</f>
        <v/>
      </c>
      <c r="K80" s="22"/>
      <c r="L80" s="20"/>
      <c r="M80" s="21" t="str">
        <f>IMAGE("https://assets.tcgdex.net/de/sv/sv04.5/100/low.jpg", 1)</f>
        <v/>
      </c>
      <c r="N80" s="22"/>
      <c r="O80" s="20"/>
    </row>
    <row r="81" ht="22.5" customHeight="1">
      <c r="A81" s="23" t="b">
        <v>0</v>
      </c>
      <c r="B81" s="24" t="b">
        <v>0</v>
      </c>
      <c r="C81" s="25" t="str">
        <f>HYPERLINK("https://www.cardmarket.com/en/Pokemon/Products/Singles?idCategory=1&amp;idProduct=sv4pt5-96", "CM")</f>
        <v>CM</v>
      </c>
      <c r="D81" s="23" t="b">
        <v>0</v>
      </c>
      <c r="E81" s="24" t="b">
        <v>0</v>
      </c>
      <c r="F81" s="25" t="str">
        <f>HYPERLINK("https://www.cardmarket.com/en/Pokemon/Products/Singles?idCategory=1&amp;idProduct=sv4pt5-97", "CM")</f>
        <v>CM</v>
      </c>
      <c r="G81" s="23" t="b">
        <v>0</v>
      </c>
      <c r="H81" s="24" t="b">
        <v>0</v>
      </c>
      <c r="I81" s="25" t="str">
        <f>HYPERLINK("https://www.cardmarket.com/en/Pokemon/Products/Singles?idCategory=1&amp;idProduct=sv4pt5-98", "CM")</f>
        <v>CM</v>
      </c>
      <c r="J81" s="23" t="b">
        <v>0</v>
      </c>
      <c r="K81" s="24" t="b">
        <v>0</v>
      </c>
      <c r="L81" s="25" t="str">
        <f>HYPERLINK("https://www.cardmarket.com/en/Pokemon/Products/Singles?idCategory=1&amp;idProduct=sv4pt5-99", "CM")</f>
        <v>CM</v>
      </c>
      <c r="M81" s="23" t="b">
        <v>0</v>
      </c>
      <c r="N81" s="24" t="b">
        <v>0</v>
      </c>
      <c r="O81" s="25" t="str">
        <f>HYPERLINK("https://www.cardmarket.com/en/Pokemon/Products/Singles?idCategory=1&amp;idProduct=sv4pt5-100", "CM")</f>
        <v>CM</v>
      </c>
    </row>
    <row r="82" ht="7.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</row>
    <row r="83" ht="18.75" customHeight="1">
      <c r="A83" s="18" t="s">
        <v>629</v>
      </c>
      <c r="B83" s="19" t="s">
        <v>1758</v>
      </c>
      <c r="C83" s="20"/>
      <c r="D83" s="18" t="s">
        <v>630</v>
      </c>
      <c r="E83" s="19" t="s">
        <v>548</v>
      </c>
      <c r="F83" s="20"/>
      <c r="G83" s="18" t="s">
        <v>632</v>
      </c>
      <c r="H83" s="19" t="s">
        <v>1209</v>
      </c>
      <c r="I83" s="20"/>
      <c r="J83" s="18" t="s">
        <v>634</v>
      </c>
      <c r="K83" s="19" t="s">
        <v>1251</v>
      </c>
      <c r="L83" s="20"/>
      <c r="M83" s="18" t="s">
        <v>636</v>
      </c>
      <c r="N83" s="19" t="s">
        <v>1252</v>
      </c>
      <c r="O83" s="20"/>
    </row>
    <row r="84" ht="180.0" customHeight="1">
      <c r="A84" s="21" t="str">
        <f>IMAGE("https://assets.tcgdex.net/de/sv/sv04.5/101/low.jpg", 1)</f>
        <v/>
      </c>
      <c r="B84" s="22"/>
      <c r="C84" s="20"/>
      <c r="D84" s="21" t="str">
        <f>IMAGE("https://assets.tcgdex.net/de/sv/sv04.5/102/low.jpg", 1)</f>
        <v/>
      </c>
      <c r="E84" s="22"/>
      <c r="F84" s="20"/>
      <c r="G84" s="21" t="str">
        <f>IMAGE("https://assets.tcgdex.net/de/sv/sv04.5/103/low.jpg", 1)</f>
        <v/>
      </c>
      <c r="H84" s="22"/>
      <c r="I84" s="20"/>
      <c r="J84" s="21" t="str">
        <f>IMAGE("https://assets.tcgdex.net/de/sv/sv04.5/104/low.jpg", 1)</f>
        <v/>
      </c>
      <c r="K84" s="22"/>
      <c r="L84" s="20"/>
      <c r="M84" s="21" t="str">
        <f>IMAGE("https://assets.tcgdex.net/de/sv/sv04.5/105/low.jpg", 1)</f>
        <v/>
      </c>
      <c r="N84" s="22"/>
      <c r="O84" s="20"/>
    </row>
    <row r="85" ht="22.5" customHeight="1">
      <c r="A85" s="23" t="b">
        <v>0</v>
      </c>
      <c r="B85" s="24" t="b">
        <v>0</v>
      </c>
      <c r="C85" s="25" t="str">
        <f>HYPERLINK("https://www.cardmarket.com/en/Pokemon/Products/Singles?idCategory=1&amp;idProduct=sv4pt5-101", "CM")</f>
        <v>CM</v>
      </c>
      <c r="D85" s="23" t="b">
        <v>0</v>
      </c>
      <c r="E85" s="24" t="b">
        <v>0</v>
      </c>
      <c r="F85" s="25" t="str">
        <f>HYPERLINK("https://www.cardmarket.com/en/Pokemon/Products/Singles?idCategory=1&amp;idProduct=sv4pt5-102", "CM")</f>
        <v>CM</v>
      </c>
      <c r="G85" s="23" t="b">
        <v>0</v>
      </c>
      <c r="H85" s="24" t="b">
        <v>0</v>
      </c>
      <c r="I85" s="25" t="str">
        <f>HYPERLINK("https://www.cardmarket.com/en/Pokemon/Products/Singles?idCategory=1&amp;idProduct=sv4pt5-103", "CM")</f>
        <v>CM</v>
      </c>
      <c r="J85" s="23" t="b">
        <v>0</v>
      </c>
      <c r="K85" s="24" t="b">
        <v>0</v>
      </c>
      <c r="L85" s="25" t="str">
        <f>HYPERLINK("https://www.cardmarket.com/en/Pokemon/Products/Singles?idCategory=1&amp;idProduct=sv4pt5-104", "CM")</f>
        <v>CM</v>
      </c>
      <c r="M85" s="23" t="b">
        <v>0</v>
      </c>
      <c r="N85" s="24" t="b">
        <v>0</v>
      </c>
      <c r="O85" s="25" t="str">
        <f>HYPERLINK("https://www.cardmarket.com/en/Pokemon/Products/Singles?idCategory=1&amp;idProduct=sv4pt5-105", "CM")</f>
        <v>CM</v>
      </c>
    </row>
    <row r="86" ht="7.5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</row>
    <row r="87" ht="18.75" customHeight="1">
      <c r="A87" s="18" t="s">
        <v>638</v>
      </c>
      <c r="B87" s="19" t="s">
        <v>1211</v>
      </c>
      <c r="C87" s="20"/>
      <c r="D87" s="18" t="s">
        <v>640</v>
      </c>
      <c r="E87" s="19" t="s">
        <v>1181</v>
      </c>
      <c r="F87" s="20"/>
      <c r="G87" s="18" t="s">
        <v>642</v>
      </c>
      <c r="H87" s="19" t="s">
        <v>1759</v>
      </c>
      <c r="I87" s="20"/>
      <c r="J87" s="18" t="s">
        <v>643</v>
      </c>
      <c r="K87" s="19" t="s">
        <v>766</v>
      </c>
      <c r="L87" s="20"/>
      <c r="M87" s="18" t="s">
        <v>645</v>
      </c>
      <c r="N87" s="19" t="s">
        <v>1377</v>
      </c>
      <c r="O87" s="20"/>
    </row>
    <row r="88" ht="180.0" customHeight="1">
      <c r="A88" s="21" t="str">
        <f>IMAGE("https://assets.tcgdex.net/de/sv/sv04.5/106/low.jpg", 1)</f>
        <v/>
      </c>
      <c r="B88" s="22"/>
      <c r="C88" s="20"/>
      <c r="D88" s="21" t="str">
        <f>IMAGE("https://assets.tcgdex.net/de/sv/sv04.5/107/low.jpg", 1)</f>
        <v/>
      </c>
      <c r="E88" s="22"/>
      <c r="F88" s="20"/>
      <c r="G88" s="21" t="str">
        <f>IMAGE("https://assets.tcgdex.net/de/sv/sv04.5/108/low.jpg", 1)</f>
        <v/>
      </c>
      <c r="H88" s="22"/>
      <c r="I88" s="20"/>
      <c r="J88" s="21" t="str">
        <f>IMAGE("https://assets.tcgdex.net/de/sv/sv04.5/109/low.jpg", 1)</f>
        <v/>
      </c>
      <c r="K88" s="22"/>
      <c r="L88" s="20"/>
      <c r="M88" s="21" t="str">
        <f>IMAGE("https://assets.tcgdex.net/de/sv/sv04.5/110/low.jpg", 1)</f>
        <v/>
      </c>
      <c r="N88" s="22"/>
      <c r="O88" s="20"/>
    </row>
    <row r="89" ht="22.5" customHeight="1">
      <c r="A89" s="23" t="b">
        <v>0</v>
      </c>
      <c r="B89" s="24" t="b">
        <v>0</v>
      </c>
      <c r="C89" s="25" t="str">
        <f>HYPERLINK("https://www.cardmarket.com/en/Pokemon/Products/Singles?idCategory=1&amp;idProduct=sv4pt5-106", "CM")</f>
        <v>CM</v>
      </c>
      <c r="D89" s="23" t="b">
        <v>0</v>
      </c>
      <c r="E89" s="24" t="b">
        <v>0</v>
      </c>
      <c r="F89" s="25" t="str">
        <f>HYPERLINK("https://www.cardmarket.com/en/Pokemon/Products/Singles?idCategory=1&amp;idProduct=sv4pt5-107", "CM")</f>
        <v>CM</v>
      </c>
      <c r="G89" s="23" t="b">
        <v>0</v>
      </c>
      <c r="H89" s="24" t="b">
        <v>0</v>
      </c>
      <c r="I89" s="25" t="str">
        <f>HYPERLINK("https://www.cardmarket.com/en/Pokemon/Products/Singles?idCategory=1&amp;idProduct=sv4pt5-108", "CM")</f>
        <v>CM</v>
      </c>
      <c r="J89" s="23" t="b">
        <v>0</v>
      </c>
      <c r="K89" s="24" t="b">
        <v>0</v>
      </c>
      <c r="L89" s="25" t="str">
        <f>HYPERLINK("https://www.cardmarket.com/en/Pokemon/Products/Singles?idCategory=1&amp;idProduct=sv4pt5-109", "CM")</f>
        <v>CM</v>
      </c>
      <c r="M89" s="23" t="b">
        <v>0</v>
      </c>
      <c r="N89" s="24" t="b">
        <v>0</v>
      </c>
      <c r="O89" s="25" t="str">
        <f>HYPERLINK("https://www.cardmarket.com/en/Pokemon/Products/Singles?idCategory=1&amp;idProduct=sv4pt5-110", "CM")</f>
        <v>CM</v>
      </c>
    </row>
    <row r="90" ht="7.5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</row>
    <row r="91" ht="18.75" customHeight="1">
      <c r="A91" s="18" t="s">
        <v>647</v>
      </c>
      <c r="B91" s="19" t="s">
        <v>1760</v>
      </c>
      <c r="C91" s="20"/>
      <c r="D91" s="18" t="s">
        <v>649</v>
      </c>
      <c r="E91" s="19" t="s">
        <v>969</v>
      </c>
      <c r="F91" s="20"/>
      <c r="G91" s="18" t="s">
        <v>651</v>
      </c>
      <c r="H91" s="19" t="s">
        <v>1633</v>
      </c>
      <c r="I91" s="20"/>
      <c r="J91" s="18" t="s">
        <v>823</v>
      </c>
      <c r="K91" s="19" t="s">
        <v>1213</v>
      </c>
      <c r="L91" s="20"/>
      <c r="M91" s="18" t="s">
        <v>653</v>
      </c>
      <c r="N91" s="19" t="s">
        <v>1257</v>
      </c>
      <c r="O91" s="20"/>
    </row>
    <row r="92" ht="180.0" customHeight="1">
      <c r="A92" s="21" t="str">
        <f>IMAGE("https://assets.tcgdex.net/de/sv/sv04.5/111/low.jpg", 1)</f>
        <v/>
      </c>
      <c r="B92" s="22"/>
      <c r="C92" s="20"/>
      <c r="D92" s="21" t="str">
        <f>IMAGE("https://assets.tcgdex.net/de/sv/sv04.5/112/low.jpg", 1)</f>
        <v/>
      </c>
      <c r="E92" s="22"/>
      <c r="F92" s="20"/>
      <c r="G92" s="21" t="str">
        <f>IMAGE("https://assets.tcgdex.net/de/sv/sv04.5/113/low.jpg", 1)</f>
        <v/>
      </c>
      <c r="H92" s="22"/>
      <c r="I92" s="20"/>
      <c r="J92" s="21" t="str">
        <f>IMAGE("https://assets.tcgdex.net/de/sv/sv04.5/114/low.jpg", 1)</f>
        <v/>
      </c>
      <c r="K92" s="22"/>
      <c r="L92" s="20"/>
      <c r="M92" s="21" t="str">
        <f>IMAGE("https://assets.tcgdex.net/de/sv/sv04.5/115/low.jpg", 1)</f>
        <v/>
      </c>
      <c r="N92" s="22"/>
      <c r="O92" s="20"/>
    </row>
    <row r="93" ht="22.5" customHeight="1">
      <c r="A93" s="23" t="b">
        <v>0</v>
      </c>
      <c r="B93" s="24" t="b">
        <v>0</v>
      </c>
      <c r="C93" s="25" t="str">
        <f>HYPERLINK("https://www.cardmarket.com/en/Pokemon/Products/Singles?idCategory=1&amp;idProduct=sv4pt5-111", "CM")</f>
        <v>CM</v>
      </c>
      <c r="D93" s="23" t="b">
        <v>0</v>
      </c>
      <c r="E93" s="24" t="b">
        <v>0</v>
      </c>
      <c r="F93" s="25" t="str">
        <f>HYPERLINK("https://www.cardmarket.com/en/Pokemon/Products/Singles?idCategory=1&amp;idProduct=sv4pt5-112", "CM")</f>
        <v>CM</v>
      </c>
      <c r="G93" s="23" t="b">
        <v>0</v>
      </c>
      <c r="H93" s="24" t="b">
        <v>0</v>
      </c>
      <c r="I93" s="25" t="str">
        <f>HYPERLINK("https://www.cardmarket.com/en/Pokemon/Products/Singles?idCategory=1&amp;idProduct=sv4pt5-113", "CM")</f>
        <v>CM</v>
      </c>
      <c r="J93" s="23" t="b">
        <v>0</v>
      </c>
      <c r="K93" s="24" t="b">
        <v>0</v>
      </c>
      <c r="L93" s="25" t="str">
        <f>HYPERLINK("https://www.cardmarket.com/en/Pokemon/Products/Singles?idCategory=1&amp;idProduct=sv4pt5-114", "CM")</f>
        <v>CM</v>
      </c>
      <c r="M93" s="23" t="b">
        <v>0</v>
      </c>
      <c r="N93" s="24" t="b">
        <v>0</v>
      </c>
      <c r="O93" s="25" t="str">
        <f>HYPERLINK("https://www.cardmarket.com/en/Pokemon/Products/Singles?idCategory=1&amp;idProduct=sv4pt5-115", "CM")</f>
        <v>CM</v>
      </c>
    </row>
    <row r="94" ht="7.5" customHeigh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</row>
    <row r="95" ht="18.75" customHeight="1">
      <c r="A95" s="18" t="s">
        <v>825</v>
      </c>
      <c r="B95" s="19" t="s">
        <v>1242</v>
      </c>
      <c r="C95" s="20"/>
      <c r="D95" s="18" t="s">
        <v>655</v>
      </c>
      <c r="E95" s="19" t="s">
        <v>1258</v>
      </c>
      <c r="F95" s="20"/>
      <c r="G95" s="18" t="s">
        <v>827</v>
      </c>
      <c r="H95" s="19" t="s">
        <v>1558</v>
      </c>
      <c r="I95" s="20"/>
      <c r="J95" s="18" t="s">
        <v>657</v>
      </c>
      <c r="K95" s="19" t="s">
        <v>1559</v>
      </c>
      <c r="L95" s="20"/>
      <c r="M95" s="18" t="s">
        <v>659</v>
      </c>
      <c r="N95" s="19" t="s">
        <v>1760</v>
      </c>
      <c r="O95" s="20"/>
    </row>
    <row r="96" ht="180.0" customHeight="1">
      <c r="A96" s="21" t="str">
        <f>IMAGE("https://assets.tcgdex.net/de/sv/sv04.5/116/low.jpg", 1)</f>
        <v/>
      </c>
      <c r="B96" s="22"/>
      <c r="C96" s="20"/>
      <c r="D96" s="21" t="str">
        <f>IMAGE("https://assets.tcgdex.net/de/sv/sv04.5/117/low.jpg", 1)</f>
        <v/>
      </c>
      <c r="E96" s="22"/>
      <c r="F96" s="20"/>
      <c r="G96" s="21" t="str">
        <f>IMAGE("https://assets.tcgdex.net/de/sv/sv04.5/118/low.jpg", 1)</f>
        <v/>
      </c>
      <c r="H96" s="22"/>
      <c r="I96" s="20"/>
      <c r="J96" s="21" t="str">
        <f>IMAGE("https://assets.tcgdex.net/de/sv/sv04.5/119/low.jpg", 1)</f>
        <v/>
      </c>
      <c r="K96" s="22"/>
      <c r="L96" s="20"/>
      <c r="M96" s="21" t="str">
        <f>IMAGE("https://assets.tcgdex.net/de/sv/sv04.5/120/low.jpg", 1)</f>
        <v/>
      </c>
      <c r="N96" s="22"/>
      <c r="O96" s="20"/>
    </row>
    <row r="97" ht="22.5" customHeight="1">
      <c r="A97" s="23" t="b">
        <v>0</v>
      </c>
      <c r="B97" s="24" t="b">
        <v>0</v>
      </c>
      <c r="C97" s="25" t="str">
        <f>HYPERLINK("https://www.cardmarket.com/en/Pokemon/Products/Singles?idCategory=1&amp;idProduct=sv4pt5-116", "CM")</f>
        <v>CM</v>
      </c>
      <c r="D97" s="23" t="b">
        <v>0</v>
      </c>
      <c r="E97" s="24" t="b">
        <v>0</v>
      </c>
      <c r="F97" s="25" t="str">
        <f>HYPERLINK("https://www.cardmarket.com/en/Pokemon/Products/Singles?idCategory=1&amp;idProduct=sv4pt5-117", "CM")</f>
        <v>CM</v>
      </c>
      <c r="G97" s="23" t="b">
        <v>0</v>
      </c>
      <c r="H97" s="24" t="b">
        <v>0</v>
      </c>
      <c r="I97" s="25" t="str">
        <f>HYPERLINK("https://www.cardmarket.com/en/Pokemon/Products/Singles?idCategory=1&amp;idProduct=sv4pt5-118", "CM")</f>
        <v>CM</v>
      </c>
      <c r="J97" s="23" t="b">
        <v>0</v>
      </c>
      <c r="K97" s="24" t="b">
        <v>0</v>
      </c>
      <c r="L97" s="25" t="str">
        <f>HYPERLINK("https://www.cardmarket.com/en/Pokemon/Products/Singles?idCategory=1&amp;idProduct=sv4pt5-119", "CM")</f>
        <v>CM</v>
      </c>
      <c r="M97" s="23" t="b">
        <v>0</v>
      </c>
      <c r="N97" s="24" t="b">
        <v>0</v>
      </c>
      <c r="O97" s="25" t="str">
        <f>HYPERLINK("https://www.cardmarket.com/en/Pokemon/Products/Singles?idCategory=1&amp;idProduct=sv4pt5-120", "CM")</f>
        <v>CM</v>
      </c>
    </row>
    <row r="98" ht="7.5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</row>
    <row r="99" ht="18.75" customHeight="1">
      <c r="A99" s="18" t="s">
        <v>829</v>
      </c>
      <c r="B99" s="19" t="s">
        <v>1182</v>
      </c>
      <c r="C99" s="20"/>
      <c r="D99" s="18" t="s">
        <v>830</v>
      </c>
      <c r="E99" s="19" t="s">
        <v>1266</v>
      </c>
      <c r="F99" s="20"/>
      <c r="G99" s="18" t="s">
        <v>831</v>
      </c>
      <c r="H99" s="19" t="s">
        <v>1398</v>
      </c>
      <c r="I99" s="20"/>
      <c r="J99" s="18" t="s">
        <v>833</v>
      </c>
      <c r="K99" s="19" t="s">
        <v>568</v>
      </c>
      <c r="L99" s="20"/>
      <c r="M99" s="18" t="s">
        <v>661</v>
      </c>
      <c r="N99" s="19" t="s">
        <v>1623</v>
      </c>
      <c r="O99" s="20"/>
    </row>
    <row r="100" ht="180.0" customHeight="1">
      <c r="A100" s="21" t="str">
        <f>IMAGE("https://assets.tcgdex.net/de/sv/sv04.5/121/low.jpg", 1)</f>
        <v/>
      </c>
      <c r="B100" s="22"/>
      <c r="C100" s="20"/>
      <c r="D100" s="21" t="str">
        <f>IMAGE("https://assets.tcgdex.net/de/sv/sv04.5/122/low.jpg", 1)</f>
        <v/>
      </c>
      <c r="E100" s="22"/>
      <c r="F100" s="20"/>
      <c r="G100" s="21" t="str">
        <f>IMAGE("https://assets.tcgdex.net/de/sv/sv04.5/123/low.jpg", 1)</f>
        <v/>
      </c>
      <c r="H100" s="22"/>
      <c r="I100" s="20"/>
      <c r="J100" s="21" t="str">
        <f>IMAGE("https://assets.tcgdex.net/de/sv/sv04.5/124/low.jpg", 1)</f>
        <v/>
      </c>
      <c r="K100" s="22"/>
      <c r="L100" s="20"/>
      <c r="M100" s="21" t="str">
        <f>IMAGE("https://assets.tcgdex.net/de/sv/sv04.5/125/low.jpg", 1)</f>
        <v/>
      </c>
      <c r="N100" s="22"/>
      <c r="O100" s="20"/>
    </row>
    <row r="101" ht="22.5" customHeight="1">
      <c r="A101" s="23" t="b">
        <v>0</v>
      </c>
      <c r="B101" s="24" t="b">
        <v>0</v>
      </c>
      <c r="C101" s="25" t="str">
        <f>HYPERLINK("https://www.cardmarket.com/en/Pokemon/Products/Singles?idCategory=1&amp;idProduct=sv4pt5-121", "CM")</f>
        <v>CM</v>
      </c>
      <c r="D101" s="23" t="b">
        <v>0</v>
      </c>
      <c r="E101" s="24" t="b">
        <v>0</v>
      </c>
      <c r="F101" s="25" t="str">
        <f>HYPERLINK("https://www.cardmarket.com/en/Pokemon/Products/Singles?idCategory=1&amp;idProduct=sv4pt5-122", "CM")</f>
        <v>CM</v>
      </c>
      <c r="G101" s="23" t="b">
        <v>0</v>
      </c>
      <c r="H101" s="24" t="b">
        <v>0</v>
      </c>
      <c r="I101" s="25" t="str">
        <f>HYPERLINK("https://www.cardmarket.com/en/Pokemon/Products/Singles?idCategory=1&amp;idProduct=sv4pt5-123", "CM")</f>
        <v>CM</v>
      </c>
      <c r="J101" s="23" t="b">
        <v>0</v>
      </c>
      <c r="K101" s="24" t="b">
        <v>0</v>
      </c>
      <c r="L101" s="25" t="str">
        <f>HYPERLINK("https://www.cardmarket.com/en/Pokemon/Products/Singles?idCategory=1&amp;idProduct=sv4pt5-124", "CM")</f>
        <v>CM</v>
      </c>
      <c r="M101" s="23" t="b">
        <v>0</v>
      </c>
      <c r="N101" s="24" t="b">
        <v>0</v>
      </c>
      <c r="O101" s="25" t="str">
        <f>HYPERLINK("https://www.cardmarket.com/en/Pokemon/Products/Singles?idCategory=1&amp;idProduct=sv4pt5-125", "CM")</f>
        <v>CM</v>
      </c>
    </row>
    <row r="102" ht="7.5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</row>
    <row r="103" ht="18.75" customHeight="1">
      <c r="A103" s="18" t="s">
        <v>835</v>
      </c>
      <c r="B103" s="19" t="s">
        <v>753</v>
      </c>
      <c r="C103" s="20"/>
      <c r="D103" s="18" t="s">
        <v>662</v>
      </c>
      <c r="E103" s="19" t="s">
        <v>828</v>
      </c>
      <c r="F103" s="20"/>
      <c r="G103" s="18" t="s">
        <v>837</v>
      </c>
      <c r="H103" s="19" t="s">
        <v>1730</v>
      </c>
      <c r="I103" s="20"/>
      <c r="J103" s="18" t="s">
        <v>839</v>
      </c>
      <c r="K103" s="19" t="s">
        <v>787</v>
      </c>
      <c r="L103" s="20"/>
      <c r="M103" s="18" t="s">
        <v>841</v>
      </c>
      <c r="N103" s="19" t="s">
        <v>540</v>
      </c>
      <c r="O103" s="20"/>
    </row>
    <row r="104" ht="180.0" customHeight="1">
      <c r="A104" s="21" t="str">
        <f>IMAGE("https://assets.tcgdex.net/de/sv/sv04.5/126/low.jpg", 1)</f>
        <v/>
      </c>
      <c r="B104" s="22"/>
      <c r="C104" s="20"/>
      <c r="D104" s="21" t="str">
        <f>IMAGE("https://assets.tcgdex.net/de/sv/sv04.5/127/low.jpg", 1)</f>
        <v/>
      </c>
      <c r="E104" s="22"/>
      <c r="F104" s="20"/>
      <c r="G104" s="21" t="str">
        <f>IMAGE("https://assets.tcgdex.net/de/sv/sv04.5/128/low.jpg", 1)</f>
        <v/>
      </c>
      <c r="H104" s="22"/>
      <c r="I104" s="20"/>
      <c r="J104" s="21" t="str">
        <f>IMAGE("https://assets.tcgdex.net/de/sv/sv04.5/129/low.jpg", 1)</f>
        <v/>
      </c>
      <c r="K104" s="22"/>
      <c r="L104" s="20"/>
      <c r="M104" s="21" t="str">
        <f>IMAGE("https://assets.tcgdex.net/de/sv/sv04.5/130/low.jpg", 1)</f>
        <v/>
      </c>
      <c r="N104" s="22"/>
      <c r="O104" s="20"/>
    </row>
    <row r="105" ht="22.5" customHeight="1">
      <c r="A105" s="23" t="b">
        <v>0</v>
      </c>
      <c r="B105" s="24" t="b">
        <v>0</v>
      </c>
      <c r="C105" s="25" t="str">
        <f>HYPERLINK("https://www.cardmarket.com/en/Pokemon/Products/Singles?idCategory=1&amp;idProduct=sv4pt5-126", "CM")</f>
        <v>CM</v>
      </c>
      <c r="D105" s="23" t="b">
        <v>0</v>
      </c>
      <c r="E105" s="24" t="b">
        <v>0</v>
      </c>
      <c r="F105" s="25" t="str">
        <f>HYPERLINK("https://www.cardmarket.com/en/Pokemon/Products/Singles?idCategory=1&amp;idProduct=sv4pt5-127", "CM")</f>
        <v>CM</v>
      </c>
      <c r="G105" s="23" t="b">
        <v>0</v>
      </c>
      <c r="H105" s="24" t="b">
        <v>0</v>
      </c>
      <c r="I105" s="25" t="str">
        <f>HYPERLINK("https://www.cardmarket.com/en/Pokemon/Products/Singles?idCategory=1&amp;idProduct=sv4pt5-128", "CM")</f>
        <v>CM</v>
      </c>
      <c r="J105" s="23" t="b">
        <v>0</v>
      </c>
      <c r="K105" s="24" t="b">
        <v>0</v>
      </c>
      <c r="L105" s="25" t="str">
        <f>HYPERLINK("https://www.cardmarket.com/en/Pokemon/Products/Singles?idCategory=1&amp;idProduct=sv4pt5-129", "CM")</f>
        <v>CM</v>
      </c>
      <c r="M105" s="23" t="b">
        <v>0</v>
      </c>
      <c r="N105" s="24" t="b">
        <v>0</v>
      </c>
      <c r="O105" s="25" t="str">
        <f>HYPERLINK("https://www.cardmarket.com/en/Pokemon/Products/Singles?idCategory=1&amp;idProduct=sv4pt5-130", "CM")</f>
        <v>CM</v>
      </c>
    </row>
    <row r="106" ht="7.5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</row>
    <row r="107" ht="18.75" customHeight="1">
      <c r="A107" s="18" t="s">
        <v>842</v>
      </c>
      <c r="B107" s="19" t="s">
        <v>616</v>
      </c>
      <c r="C107" s="20"/>
      <c r="D107" s="18" t="s">
        <v>844</v>
      </c>
      <c r="E107" s="19" t="s">
        <v>1493</v>
      </c>
      <c r="F107" s="20"/>
      <c r="G107" s="18" t="s">
        <v>664</v>
      </c>
      <c r="H107" s="19" t="s">
        <v>1545</v>
      </c>
      <c r="I107" s="20"/>
      <c r="J107" s="18" t="s">
        <v>666</v>
      </c>
      <c r="K107" s="19" t="s">
        <v>1546</v>
      </c>
      <c r="L107" s="20"/>
      <c r="M107" s="18" t="s">
        <v>845</v>
      </c>
      <c r="N107" s="19" t="s">
        <v>921</v>
      </c>
      <c r="O107" s="20"/>
    </row>
    <row r="108" ht="180.0" customHeight="1">
      <c r="A108" s="21" t="str">
        <f>IMAGE("https://assets.tcgdex.net/de/sv/sv04.5/131/low.jpg", 1)</f>
        <v/>
      </c>
      <c r="B108" s="22"/>
      <c r="C108" s="20"/>
      <c r="D108" s="21" t="str">
        <f>IMAGE("https://assets.tcgdex.net/de/sv/sv04.5/132/low.jpg", 1)</f>
        <v/>
      </c>
      <c r="E108" s="22"/>
      <c r="F108" s="20"/>
      <c r="G108" s="21" t="str">
        <f>IMAGE("https://assets.tcgdex.net/de/sv/sv04.5/133/low.jpg", 1)</f>
        <v/>
      </c>
      <c r="H108" s="22"/>
      <c r="I108" s="20"/>
      <c r="J108" s="21" t="str">
        <f>IMAGE("https://assets.tcgdex.net/de/sv/sv04.5/134/low.jpg", 1)</f>
        <v/>
      </c>
      <c r="K108" s="22"/>
      <c r="L108" s="20"/>
      <c r="M108" s="21" t="str">
        <f>IMAGE("https://assets.tcgdex.net/de/sv/sv04.5/135/low.jpg", 1)</f>
        <v/>
      </c>
      <c r="N108" s="22"/>
      <c r="O108" s="20"/>
    </row>
    <row r="109" ht="22.5" customHeight="1">
      <c r="A109" s="23" t="b">
        <v>0</v>
      </c>
      <c r="B109" s="24" t="b">
        <v>0</v>
      </c>
      <c r="C109" s="25" t="str">
        <f>HYPERLINK("https://www.cardmarket.com/en/Pokemon/Products/Singles?idCategory=1&amp;idProduct=sv4pt5-131", "CM")</f>
        <v>CM</v>
      </c>
      <c r="D109" s="23" t="b">
        <v>0</v>
      </c>
      <c r="E109" s="24" t="b">
        <v>0</v>
      </c>
      <c r="F109" s="25" t="str">
        <f>HYPERLINK("https://www.cardmarket.com/en/Pokemon/Products/Singles?idCategory=1&amp;idProduct=sv4pt5-132", "CM")</f>
        <v>CM</v>
      </c>
      <c r="G109" s="23" t="b">
        <v>0</v>
      </c>
      <c r="H109" s="24" t="b">
        <v>0</v>
      </c>
      <c r="I109" s="25" t="str">
        <f>HYPERLINK("https://www.cardmarket.com/en/Pokemon/Products/Singles?idCategory=1&amp;idProduct=sv4pt5-133", "CM")</f>
        <v>CM</v>
      </c>
      <c r="J109" s="23" t="b">
        <v>0</v>
      </c>
      <c r="K109" s="24" t="b">
        <v>0</v>
      </c>
      <c r="L109" s="25" t="str">
        <f>HYPERLINK("https://www.cardmarket.com/en/Pokemon/Products/Singles?idCategory=1&amp;idProduct=sv4pt5-134", "CM")</f>
        <v>CM</v>
      </c>
      <c r="M109" s="23" t="b">
        <v>0</v>
      </c>
      <c r="N109" s="24" t="b">
        <v>0</v>
      </c>
      <c r="O109" s="25" t="str">
        <f>HYPERLINK("https://www.cardmarket.com/en/Pokemon/Products/Singles?idCategory=1&amp;idProduct=sv4pt5-135", "CM")</f>
        <v>CM</v>
      </c>
    </row>
    <row r="110" ht="7.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</row>
    <row r="111" ht="18.75" customHeight="1">
      <c r="A111" s="18" t="s">
        <v>668</v>
      </c>
      <c r="B111" s="19" t="s">
        <v>922</v>
      </c>
      <c r="C111" s="20"/>
      <c r="D111" s="18" t="s">
        <v>670</v>
      </c>
      <c r="E111" s="19" t="s">
        <v>923</v>
      </c>
      <c r="F111" s="20"/>
      <c r="G111" s="18" t="s">
        <v>672</v>
      </c>
      <c r="H111" s="19" t="s">
        <v>694</v>
      </c>
      <c r="I111" s="20"/>
      <c r="J111" s="18" t="s">
        <v>674</v>
      </c>
      <c r="K111" s="19" t="s">
        <v>1402</v>
      </c>
      <c r="L111" s="20"/>
      <c r="M111" s="18" t="s">
        <v>847</v>
      </c>
      <c r="N111" s="19" t="s">
        <v>658</v>
      </c>
      <c r="O111" s="20"/>
    </row>
    <row r="112" ht="180.0" customHeight="1">
      <c r="A112" s="21" t="str">
        <f>IMAGE("https://assets.tcgdex.net/de/sv/sv04.5/136/low.jpg", 1)</f>
        <v/>
      </c>
      <c r="B112" s="22"/>
      <c r="C112" s="20"/>
      <c r="D112" s="21" t="str">
        <f>IMAGE("https://assets.tcgdex.net/de/sv/sv04.5/137/low.jpg", 1)</f>
        <v/>
      </c>
      <c r="E112" s="22"/>
      <c r="F112" s="20"/>
      <c r="G112" s="21" t="str">
        <f>IMAGE("https://assets.tcgdex.net/de/sv/sv04.5/138/low.jpg", 1)</f>
        <v/>
      </c>
      <c r="H112" s="22"/>
      <c r="I112" s="20"/>
      <c r="J112" s="21" t="str">
        <f>IMAGE("https://assets.tcgdex.net/de/sv/sv04.5/139/low.jpg", 1)</f>
        <v/>
      </c>
      <c r="K112" s="22"/>
      <c r="L112" s="20"/>
      <c r="M112" s="21" t="str">
        <f>IMAGE("https://assets.tcgdex.net/de/sv/sv04.5/140/low.jpg", 1)</f>
        <v/>
      </c>
      <c r="N112" s="22"/>
      <c r="O112" s="20"/>
    </row>
    <row r="113" ht="22.5" customHeight="1">
      <c r="A113" s="23" t="b">
        <v>0</v>
      </c>
      <c r="B113" s="24" t="b">
        <v>0</v>
      </c>
      <c r="C113" s="25" t="str">
        <f>HYPERLINK("https://www.cardmarket.com/en/Pokemon/Products/Singles?idCategory=1&amp;idProduct=sv4pt5-136", "CM")</f>
        <v>CM</v>
      </c>
      <c r="D113" s="23" t="b">
        <v>0</v>
      </c>
      <c r="E113" s="24" t="b">
        <v>0</v>
      </c>
      <c r="F113" s="25" t="str">
        <f>HYPERLINK("https://www.cardmarket.com/en/Pokemon/Products/Singles?idCategory=1&amp;idProduct=sv4pt5-137", "CM")</f>
        <v>CM</v>
      </c>
      <c r="G113" s="23" t="b">
        <v>0</v>
      </c>
      <c r="H113" s="24" t="b">
        <v>0</v>
      </c>
      <c r="I113" s="25" t="str">
        <f>HYPERLINK("https://www.cardmarket.com/en/Pokemon/Products/Singles?idCategory=1&amp;idProduct=sv4pt5-138", "CM")</f>
        <v>CM</v>
      </c>
      <c r="J113" s="23" t="b">
        <v>0</v>
      </c>
      <c r="K113" s="24" t="b">
        <v>0</v>
      </c>
      <c r="L113" s="25" t="str">
        <f>HYPERLINK("https://www.cardmarket.com/en/Pokemon/Products/Singles?idCategory=1&amp;idProduct=sv4pt5-139", "CM")</f>
        <v>CM</v>
      </c>
      <c r="M113" s="23" t="b">
        <v>0</v>
      </c>
      <c r="N113" s="24" t="b">
        <v>0</v>
      </c>
      <c r="O113" s="25" t="str">
        <f>HYPERLINK("https://www.cardmarket.com/en/Pokemon/Products/Singles?idCategory=1&amp;idProduct=sv4pt5-140", "CM")</f>
        <v>CM</v>
      </c>
    </row>
    <row r="114" ht="7.5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</row>
    <row r="115" ht="18.75" customHeight="1">
      <c r="A115" s="18" t="s">
        <v>848</v>
      </c>
      <c r="B115" s="19" t="s">
        <v>1269</v>
      </c>
      <c r="C115" s="20"/>
      <c r="D115" s="18" t="s">
        <v>676</v>
      </c>
      <c r="E115" s="19" t="s">
        <v>576</v>
      </c>
      <c r="F115" s="20"/>
      <c r="G115" s="18" t="s">
        <v>678</v>
      </c>
      <c r="H115" s="19" t="s">
        <v>1270</v>
      </c>
      <c r="I115" s="20"/>
      <c r="J115" s="18" t="s">
        <v>679</v>
      </c>
      <c r="K115" s="19" t="s">
        <v>530</v>
      </c>
      <c r="L115" s="20"/>
      <c r="M115" s="18" t="s">
        <v>850</v>
      </c>
      <c r="N115" s="19" t="s">
        <v>1216</v>
      </c>
      <c r="O115" s="20"/>
    </row>
    <row r="116" ht="180.0" customHeight="1">
      <c r="A116" s="21" t="str">
        <f>IMAGE("https://assets.tcgdex.net/de/sv/sv04.5/141/low.jpg", 1)</f>
        <v/>
      </c>
      <c r="B116" s="22"/>
      <c r="C116" s="20"/>
      <c r="D116" s="21" t="str">
        <f>IMAGE("https://assets.tcgdex.net/de/sv/sv04.5/142/low.jpg", 1)</f>
        <v/>
      </c>
      <c r="E116" s="22"/>
      <c r="F116" s="20"/>
      <c r="G116" s="21" t="str">
        <f>IMAGE("https://assets.tcgdex.net/de/sv/sv04.5/143/low.jpg", 1)</f>
        <v/>
      </c>
      <c r="H116" s="22"/>
      <c r="I116" s="20"/>
      <c r="J116" s="21" t="str">
        <f>IMAGE("https://assets.tcgdex.net/de/sv/sv04.5/144/low.jpg", 1)</f>
        <v/>
      </c>
      <c r="K116" s="22"/>
      <c r="L116" s="20"/>
      <c r="M116" s="21" t="str">
        <f>IMAGE("https://assets.tcgdex.net/de/sv/sv04.5/145/low.jpg", 1)</f>
        <v/>
      </c>
      <c r="N116" s="22"/>
      <c r="O116" s="20"/>
    </row>
    <row r="117" ht="22.5" customHeight="1">
      <c r="A117" s="23" t="b">
        <v>0</v>
      </c>
      <c r="B117" s="24" t="b">
        <v>0</v>
      </c>
      <c r="C117" s="25" t="str">
        <f>HYPERLINK("https://www.cardmarket.com/en/Pokemon/Products/Singles?idCategory=1&amp;idProduct=sv4pt5-141", "CM")</f>
        <v>CM</v>
      </c>
      <c r="D117" s="23" t="b">
        <v>0</v>
      </c>
      <c r="E117" s="24" t="b">
        <v>0</v>
      </c>
      <c r="F117" s="25" t="str">
        <f>HYPERLINK("https://www.cardmarket.com/en/Pokemon/Products/Singles?idCategory=1&amp;idProduct=sv4pt5-142", "CM")</f>
        <v>CM</v>
      </c>
      <c r="G117" s="23" t="b">
        <v>0</v>
      </c>
      <c r="H117" s="24" t="b">
        <v>0</v>
      </c>
      <c r="I117" s="25" t="str">
        <f>HYPERLINK("https://www.cardmarket.com/en/Pokemon/Products/Singles?idCategory=1&amp;idProduct=sv4pt5-143", "CM")</f>
        <v>CM</v>
      </c>
      <c r="J117" s="23" t="b">
        <v>0</v>
      </c>
      <c r="K117" s="24" t="b">
        <v>0</v>
      </c>
      <c r="L117" s="25" t="str">
        <f>HYPERLINK("https://www.cardmarket.com/en/Pokemon/Products/Singles?idCategory=1&amp;idProduct=sv4pt5-144", "CM")</f>
        <v>CM</v>
      </c>
      <c r="M117" s="23" t="b">
        <v>0</v>
      </c>
      <c r="N117" s="24" t="b">
        <v>0</v>
      </c>
      <c r="O117" s="25" t="str">
        <f>HYPERLINK("https://www.cardmarket.com/en/Pokemon/Products/Singles?idCategory=1&amp;idProduct=sv4pt5-145", "CM")</f>
        <v>CM</v>
      </c>
    </row>
    <row r="118" ht="7.5" customHeigh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</row>
    <row r="119" ht="18.75" customHeight="1">
      <c r="A119" s="18" t="s">
        <v>681</v>
      </c>
      <c r="B119" s="19" t="s">
        <v>1271</v>
      </c>
      <c r="C119" s="20"/>
      <c r="D119" s="18" t="s">
        <v>683</v>
      </c>
      <c r="E119" s="19" t="s">
        <v>1761</v>
      </c>
      <c r="F119" s="20"/>
      <c r="G119" s="18" t="s">
        <v>685</v>
      </c>
      <c r="H119" s="19" t="s">
        <v>1519</v>
      </c>
      <c r="I119" s="20"/>
      <c r="J119" s="18" t="s">
        <v>852</v>
      </c>
      <c r="K119" s="19" t="s">
        <v>1520</v>
      </c>
      <c r="L119" s="20"/>
      <c r="M119" s="18" t="s">
        <v>686</v>
      </c>
      <c r="N119" s="19" t="s">
        <v>570</v>
      </c>
      <c r="O119" s="20"/>
    </row>
    <row r="120" ht="180.0" customHeight="1">
      <c r="A120" s="21" t="str">
        <f>IMAGE("https://assets.tcgdex.net/de/sv/sv04.5/146/low.jpg", 1)</f>
        <v/>
      </c>
      <c r="B120" s="22"/>
      <c r="C120" s="20"/>
      <c r="D120" s="21" t="str">
        <f>IMAGE("https://assets.tcgdex.net/de/sv/sv04.5/147/low.jpg", 1)</f>
        <v/>
      </c>
      <c r="E120" s="22"/>
      <c r="F120" s="20"/>
      <c r="G120" s="21" t="str">
        <f>IMAGE("https://assets.tcgdex.net/de/sv/sv04.5/148/low.jpg", 1)</f>
        <v/>
      </c>
      <c r="H120" s="22"/>
      <c r="I120" s="20"/>
      <c r="J120" s="21" t="str">
        <f>IMAGE("https://assets.tcgdex.net/de/sv/sv04.5/149/low.jpg", 1)</f>
        <v/>
      </c>
      <c r="K120" s="22"/>
      <c r="L120" s="20"/>
      <c r="M120" s="21" t="str">
        <f>IMAGE("https://assets.tcgdex.net/de/sv/sv04.5/150/low.jpg", 1)</f>
        <v/>
      </c>
      <c r="N120" s="22"/>
      <c r="O120" s="20"/>
    </row>
    <row r="121" ht="22.5" customHeight="1">
      <c r="A121" s="23" t="b">
        <v>0</v>
      </c>
      <c r="B121" s="24" t="b">
        <v>0</v>
      </c>
      <c r="C121" s="25" t="str">
        <f>HYPERLINK("https://www.cardmarket.com/en/Pokemon/Products/Singles?idCategory=1&amp;idProduct=sv4pt5-146", "CM")</f>
        <v>CM</v>
      </c>
      <c r="D121" s="23" t="b">
        <v>0</v>
      </c>
      <c r="E121" s="24" t="b">
        <v>0</v>
      </c>
      <c r="F121" s="25" t="str">
        <f>HYPERLINK("https://www.cardmarket.com/en/Pokemon/Products/Singles?idCategory=1&amp;idProduct=sv4pt5-147", "CM")</f>
        <v>CM</v>
      </c>
      <c r="G121" s="23" t="b">
        <v>0</v>
      </c>
      <c r="H121" s="24" t="b">
        <v>0</v>
      </c>
      <c r="I121" s="25" t="str">
        <f>HYPERLINK("https://www.cardmarket.com/en/Pokemon/Products/Singles?idCategory=1&amp;idProduct=sv4pt5-148", "CM")</f>
        <v>CM</v>
      </c>
      <c r="J121" s="23" t="b">
        <v>0</v>
      </c>
      <c r="K121" s="24" t="b">
        <v>0</v>
      </c>
      <c r="L121" s="25" t="str">
        <f>HYPERLINK("https://www.cardmarket.com/en/Pokemon/Products/Singles?idCategory=1&amp;idProduct=sv4pt5-149", "CM")</f>
        <v>CM</v>
      </c>
      <c r="M121" s="23" t="b">
        <v>0</v>
      </c>
      <c r="N121" s="24" t="b">
        <v>0</v>
      </c>
      <c r="O121" s="25" t="str">
        <f>HYPERLINK("https://www.cardmarket.com/en/Pokemon/Products/Singles?idCategory=1&amp;idProduct=sv4pt5-150", "CM")</f>
        <v>CM</v>
      </c>
    </row>
    <row r="122" ht="7.5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</row>
    <row r="123" ht="18.75" customHeight="1">
      <c r="A123" s="18" t="s">
        <v>853</v>
      </c>
      <c r="B123" s="19" t="s">
        <v>1636</v>
      </c>
      <c r="C123" s="20"/>
      <c r="D123" s="18" t="s">
        <v>855</v>
      </c>
      <c r="E123" s="19" t="s">
        <v>592</v>
      </c>
      <c r="F123" s="20"/>
      <c r="G123" s="18" t="s">
        <v>687</v>
      </c>
      <c r="H123" s="19" t="s">
        <v>1273</v>
      </c>
      <c r="I123" s="20"/>
      <c r="J123" s="18" t="s">
        <v>689</v>
      </c>
      <c r="K123" s="19" t="s">
        <v>1274</v>
      </c>
      <c r="L123" s="20"/>
      <c r="M123" s="18" t="s">
        <v>691</v>
      </c>
      <c r="N123" s="19" t="s">
        <v>1217</v>
      </c>
      <c r="O123" s="20"/>
    </row>
    <row r="124" ht="180.0" customHeight="1">
      <c r="A124" s="21" t="str">
        <f>IMAGE("https://assets.tcgdex.net/de/sv/sv04.5/151/low.jpg", 1)</f>
        <v/>
      </c>
      <c r="B124" s="22"/>
      <c r="C124" s="20"/>
      <c r="D124" s="21" t="str">
        <f>IMAGE("https://assets.tcgdex.net/de/sv/sv04.5/152/low.jpg", 1)</f>
        <v/>
      </c>
      <c r="E124" s="22"/>
      <c r="F124" s="20"/>
      <c r="G124" s="21" t="str">
        <f>IMAGE("https://assets.tcgdex.net/de/sv/sv04.5/153/low.jpg", 1)</f>
        <v/>
      </c>
      <c r="H124" s="22"/>
      <c r="I124" s="20"/>
      <c r="J124" s="21" t="str">
        <f>IMAGE("https://assets.tcgdex.net/de/sv/sv04.5/154/low.jpg", 1)</f>
        <v/>
      </c>
      <c r="K124" s="22"/>
      <c r="L124" s="20"/>
      <c r="M124" s="21" t="str">
        <f>IMAGE("https://assets.tcgdex.net/de/sv/sv04.5/155/low.jpg", 1)</f>
        <v/>
      </c>
      <c r="N124" s="22"/>
      <c r="O124" s="20"/>
    </row>
    <row r="125" ht="22.5" customHeight="1">
      <c r="A125" s="23" t="b">
        <v>0</v>
      </c>
      <c r="B125" s="24" t="b">
        <v>0</v>
      </c>
      <c r="C125" s="25" t="str">
        <f>HYPERLINK("https://www.cardmarket.com/en/Pokemon/Products/Singles?idCategory=1&amp;idProduct=sv4pt5-151", "CM")</f>
        <v>CM</v>
      </c>
      <c r="D125" s="23" t="b">
        <v>0</v>
      </c>
      <c r="E125" s="24" t="b">
        <v>0</v>
      </c>
      <c r="F125" s="25" t="str">
        <f>HYPERLINK("https://www.cardmarket.com/en/Pokemon/Products/Singles?idCategory=1&amp;idProduct=sv4pt5-152", "CM")</f>
        <v>CM</v>
      </c>
      <c r="G125" s="23" t="b">
        <v>0</v>
      </c>
      <c r="H125" s="24" t="b">
        <v>0</v>
      </c>
      <c r="I125" s="25" t="str">
        <f>HYPERLINK("https://www.cardmarket.com/en/Pokemon/Products/Singles?idCategory=1&amp;idProduct=sv4pt5-153", "CM")</f>
        <v>CM</v>
      </c>
      <c r="J125" s="23" t="b">
        <v>0</v>
      </c>
      <c r="K125" s="24" t="b">
        <v>0</v>
      </c>
      <c r="L125" s="25" t="str">
        <f>HYPERLINK("https://www.cardmarket.com/en/Pokemon/Products/Singles?idCategory=1&amp;idProduct=sv4pt5-154", "CM")</f>
        <v>CM</v>
      </c>
      <c r="M125" s="23" t="b">
        <v>0</v>
      </c>
      <c r="N125" s="24" t="b">
        <v>0</v>
      </c>
      <c r="O125" s="25" t="str">
        <f>HYPERLINK("https://www.cardmarket.com/en/Pokemon/Products/Singles?idCategory=1&amp;idProduct=sv4pt5-155", "CM")</f>
        <v>CM</v>
      </c>
    </row>
    <row r="126" ht="7.5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</row>
    <row r="127" ht="18.75" customHeight="1">
      <c r="A127" s="18" t="s">
        <v>857</v>
      </c>
      <c r="B127" s="19" t="s">
        <v>846</v>
      </c>
      <c r="C127" s="20"/>
      <c r="D127" s="18" t="s">
        <v>859</v>
      </c>
      <c r="E127" s="19" t="s">
        <v>1734</v>
      </c>
      <c r="F127" s="20"/>
      <c r="G127" s="18" t="s">
        <v>693</v>
      </c>
      <c r="H127" s="19" t="s">
        <v>1291</v>
      </c>
      <c r="I127" s="20"/>
      <c r="J127" s="18" t="s">
        <v>861</v>
      </c>
      <c r="K127" s="19" t="s">
        <v>1219</v>
      </c>
      <c r="L127" s="20"/>
      <c r="M127" s="18" t="s">
        <v>695</v>
      </c>
      <c r="N127" s="19" t="s">
        <v>807</v>
      </c>
      <c r="O127" s="20"/>
    </row>
    <row r="128" ht="180.0" customHeight="1">
      <c r="A128" s="21" t="str">
        <f>IMAGE("https://assets.tcgdex.net/de/sv/sv04.5/156/low.jpg", 1)</f>
        <v/>
      </c>
      <c r="B128" s="22"/>
      <c r="C128" s="20"/>
      <c r="D128" s="21" t="str">
        <f>IMAGE("https://assets.tcgdex.net/de/sv/sv04.5/157/low.jpg", 1)</f>
        <v/>
      </c>
      <c r="E128" s="22"/>
      <c r="F128" s="20"/>
      <c r="G128" s="21" t="str">
        <f>IMAGE("https://assets.tcgdex.net/de/sv/sv04.5/158/low.jpg", 1)</f>
        <v/>
      </c>
      <c r="H128" s="22"/>
      <c r="I128" s="20"/>
      <c r="J128" s="21" t="str">
        <f>IMAGE("https://assets.tcgdex.net/de/sv/sv04.5/159/low.jpg", 1)</f>
        <v/>
      </c>
      <c r="K128" s="22"/>
      <c r="L128" s="20"/>
      <c r="M128" s="21" t="str">
        <f>IMAGE("https://assets.tcgdex.net/de/sv/sv04.5/160/low.jpg", 1)</f>
        <v/>
      </c>
      <c r="N128" s="22"/>
      <c r="O128" s="20"/>
    </row>
    <row r="129" ht="22.5" customHeight="1">
      <c r="A129" s="23" t="b">
        <v>0</v>
      </c>
      <c r="B129" s="24" t="b">
        <v>0</v>
      </c>
      <c r="C129" s="25" t="str">
        <f>HYPERLINK("https://www.cardmarket.com/en/Pokemon/Products/Singles?idCategory=1&amp;idProduct=sv4pt5-156", "CM")</f>
        <v>CM</v>
      </c>
      <c r="D129" s="23" t="b">
        <v>0</v>
      </c>
      <c r="E129" s="24" t="b">
        <v>0</v>
      </c>
      <c r="F129" s="25" t="str">
        <f>HYPERLINK("https://www.cardmarket.com/en/Pokemon/Products/Singles?idCategory=1&amp;idProduct=sv4pt5-157", "CM")</f>
        <v>CM</v>
      </c>
      <c r="G129" s="23" t="b">
        <v>0</v>
      </c>
      <c r="H129" s="24" t="b">
        <v>0</v>
      </c>
      <c r="I129" s="25" t="str">
        <f>HYPERLINK("https://www.cardmarket.com/en/Pokemon/Products/Singles?idCategory=1&amp;idProduct=sv4pt5-158", "CM")</f>
        <v>CM</v>
      </c>
      <c r="J129" s="23" t="b">
        <v>0</v>
      </c>
      <c r="K129" s="24" t="b">
        <v>0</v>
      </c>
      <c r="L129" s="25" t="str">
        <f>HYPERLINK("https://www.cardmarket.com/en/Pokemon/Products/Singles?idCategory=1&amp;idProduct=sv4pt5-159", "CM")</f>
        <v>CM</v>
      </c>
      <c r="M129" s="23" t="b">
        <v>0</v>
      </c>
      <c r="N129" s="24" t="b">
        <v>0</v>
      </c>
      <c r="O129" s="25" t="str">
        <f>HYPERLINK("https://www.cardmarket.com/en/Pokemon/Products/Singles?idCategory=1&amp;idProduct=sv4pt5-160", "CM")</f>
        <v>CM</v>
      </c>
    </row>
    <row r="130" ht="7.5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</row>
    <row r="131" ht="18.75" customHeight="1">
      <c r="A131" s="18" t="s">
        <v>862</v>
      </c>
      <c r="B131" s="19" t="s">
        <v>1280</v>
      </c>
      <c r="C131" s="20"/>
      <c r="D131" s="18" t="s">
        <v>697</v>
      </c>
      <c r="E131" s="19" t="s">
        <v>1739</v>
      </c>
      <c r="F131" s="20"/>
      <c r="G131" s="18" t="s">
        <v>863</v>
      </c>
      <c r="H131" s="19" t="s">
        <v>1762</v>
      </c>
      <c r="I131" s="20"/>
      <c r="J131" s="18" t="s">
        <v>865</v>
      </c>
      <c r="K131" s="19" t="s">
        <v>1220</v>
      </c>
      <c r="L131" s="20"/>
      <c r="M131" s="18" t="s">
        <v>867</v>
      </c>
      <c r="N131" s="19" t="s">
        <v>759</v>
      </c>
      <c r="O131" s="20"/>
    </row>
    <row r="132" ht="180.0" customHeight="1">
      <c r="A132" s="21" t="str">
        <f>IMAGE("https://assets.tcgdex.net/de/sv/sv04.5/161/low.jpg", 1)</f>
        <v/>
      </c>
      <c r="B132" s="22"/>
      <c r="C132" s="20"/>
      <c r="D132" s="21" t="str">
        <f>IMAGE("https://assets.tcgdex.net/de/sv/sv04.5/162/low.jpg", 1)</f>
        <v/>
      </c>
      <c r="E132" s="22"/>
      <c r="F132" s="20"/>
      <c r="G132" s="21" t="str">
        <f>IMAGE("https://assets.tcgdex.net/de/sv/sv04.5/163/low.jpg", 1)</f>
        <v/>
      </c>
      <c r="H132" s="22"/>
      <c r="I132" s="20"/>
      <c r="J132" s="21" t="str">
        <f>IMAGE("https://assets.tcgdex.net/de/sv/sv04.5/164/low.jpg", 1)</f>
        <v/>
      </c>
      <c r="K132" s="22"/>
      <c r="L132" s="20"/>
      <c r="M132" s="21" t="str">
        <f>IMAGE("https://assets.tcgdex.net/de/sv/sv04.5/165/low.jpg", 1)</f>
        <v/>
      </c>
      <c r="N132" s="22"/>
      <c r="O132" s="20"/>
    </row>
    <row r="133" ht="22.5" customHeight="1">
      <c r="A133" s="23" t="b">
        <v>0</v>
      </c>
      <c r="B133" s="24" t="b">
        <v>0</v>
      </c>
      <c r="C133" s="25" t="str">
        <f>HYPERLINK("https://www.cardmarket.com/en/Pokemon/Products/Singles?idCategory=1&amp;idProduct=sv4pt5-161", "CM")</f>
        <v>CM</v>
      </c>
      <c r="D133" s="23" t="b">
        <v>0</v>
      </c>
      <c r="E133" s="24" t="b">
        <v>0</v>
      </c>
      <c r="F133" s="25" t="str">
        <f>HYPERLINK("https://www.cardmarket.com/en/Pokemon/Products/Singles?idCategory=1&amp;idProduct=sv4pt5-162", "CM")</f>
        <v>CM</v>
      </c>
      <c r="G133" s="23" t="b">
        <v>0</v>
      </c>
      <c r="H133" s="24" t="b">
        <v>0</v>
      </c>
      <c r="I133" s="25" t="str">
        <f>HYPERLINK("https://www.cardmarket.com/en/Pokemon/Products/Singles?idCategory=1&amp;idProduct=sv4pt5-163", "CM")</f>
        <v>CM</v>
      </c>
      <c r="J133" s="23" t="b">
        <v>0</v>
      </c>
      <c r="K133" s="24" t="b">
        <v>0</v>
      </c>
      <c r="L133" s="25" t="str">
        <f>HYPERLINK("https://www.cardmarket.com/en/Pokemon/Products/Singles?idCategory=1&amp;idProduct=sv4pt5-164", "CM")</f>
        <v>CM</v>
      </c>
      <c r="M133" s="23" t="b">
        <v>0</v>
      </c>
      <c r="N133" s="24" t="b">
        <v>0</v>
      </c>
      <c r="O133" s="25" t="str">
        <f>HYPERLINK("https://www.cardmarket.com/en/Pokemon/Products/Singles?idCategory=1&amp;idProduct=sv4pt5-165", "CM")</f>
        <v>CM</v>
      </c>
    </row>
    <row r="134" ht="7.5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</row>
    <row r="135" ht="18.75" customHeight="1">
      <c r="A135" s="18" t="s">
        <v>869</v>
      </c>
      <c r="B135" s="19" t="s">
        <v>1642</v>
      </c>
      <c r="C135" s="20"/>
      <c r="D135" s="18" t="s">
        <v>871</v>
      </c>
      <c r="E135" s="19" t="s">
        <v>542</v>
      </c>
      <c r="F135" s="20"/>
      <c r="G135" s="18" t="s">
        <v>873</v>
      </c>
      <c r="H135" s="19" t="s">
        <v>580</v>
      </c>
      <c r="I135" s="20"/>
      <c r="J135" s="18" t="s">
        <v>875</v>
      </c>
      <c r="K135" s="19" t="s">
        <v>1281</v>
      </c>
      <c r="L135" s="20"/>
      <c r="M135" s="18" t="s">
        <v>877</v>
      </c>
      <c r="N135" s="19" t="s">
        <v>1282</v>
      </c>
      <c r="O135" s="20"/>
    </row>
    <row r="136" ht="180.0" customHeight="1">
      <c r="A136" s="21" t="str">
        <f>IMAGE("https://assets.tcgdex.net/de/sv/sv04.5/166/low.jpg", 1)</f>
        <v/>
      </c>
      <c r="B136" s="22"/>
      <c r="C136" s="20"/>
      <c r="D136" s="21" t="str">
        <f>IMAGE("https://assets.tcgdex.net/de/sv/sv04.5/167/low.jpg", 1)</f>
        <v/>
      </c>
      <c r="E136" s="22"/>
      <c r="F136" s="20"/>
      <c r="G136" s="21" t="str">
        <f>IMAGE("https://assets.tcgdex.net/de/sv/sv04.5/168/low.jpg", 1)</f>
        <v/>
      </c>
      <c r="H136" s="22"/>
      <c r="I136" s="20"/>
      <c r="J136" s="21" t="str">
        <f>IMAGE("https://assets.tcgdex.net/de/sv/sv04.5/169/low.jpg", 1)</f>
        <v/>
      </c>
      <c r="K136" s="22"/>
      <c r="L136" s="20"/>
      <c r="M136" s="21" t="str">
        <f>IMAGE("https://assets.tcgdex.net/de/sv/sv04.5/170/low.jpg", 1)</f>
        <v/>
      </c>
      <c r="N136" s="22"/>
      <c r="O136" s="20"/>
    </row>
    <row r="137" ht="22.5" customHeight="1">
      <c r="A137" s="23" t="b">
        <v>0</v>
      </c>
      <c r="B137" s="24" t="b">
        <v>0</v>
      </c>
      <c r="C137" s="25" t="str">
        <f>HYPERLINK("https://www.cardmarket.com/en/Pokemon/Products/Singles?idCategory=1&amp;idProduct=sv4pt5-166", "CM")</f>
        <v>CM</v>
      </c>
      <c r="D137" s="23" t="b">
        <v>0</v>
      </c>
      <c r="E137" s="24" t="b">
        <v>0</v>
      </c>
      <c r="F137" s="25" t="str">
        <f>HYPERLINK("https://www.cardmarket.com/en/Pokemon/Products/Singles?idCategory=1&amp;idProduct=sv4pt5-167", "CM")</f>
        <v>CM</v>
      </c>
      <c r="G137" s="23" t="b">
        <v>0</v>
      </c>
      <c r="H137" s="24" t="b">
        <v>0</v>
      </c>
      <c r="I137" s="25" t="str">
        <f>HYPERLINK("https://www.cardmarket.com/en/Pokemon/Products/Singles?idCategory=1&amp;idProduct=sv4pt5-168", "CM")</f>
        <v>CM</v>
      </c>
      <c r="J137" s="23" t="b">
        <v>0</v>
      </c>
      <c r="K137" s="24" t="b">
        <v>0</v>
      </c>
      <c r="L137" s="25" t="str">
        <f>HYPERLINK("https://www.cardmarket.com/en/Pokemon/Products/Singles?idCategory=1&amp;idProduct=sv4pt5-169", "CM")</f>
        <v>CM</v>
      </c>
      <c r="M137" s="23" t="b">
        <v>0</v>
      </c>
      <c r="N137" s="24" t="b">
        <v>0</v>
      </c>
      <c r="O137" s="25" t="str">
        <f>HYPERLINK("https://www.cardmarket.com/en/Pokemon/Products/Singles?idCategory=1&amp;idProduct=sv4pt5-170", "CM")</f>
        <v>CM</v>
      </c>
    </row>
    <row r="138" ht="7.5" customHeight="1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</row>
    <row r="139" ht="18.75" customHeight="1">
      <c r="A139" s="18" t="s">
        <v>879</v>
      </c>
      <c r="B139" s="19" t="s">
        <v>1283</v>
      </c>
      <c r="C139" s="20"/>
      <c r="D139" s="18" t="s">
        <v>881</v>
      </c>
      <c r="E139" s="19" t="s">
        <v>1760</v>
      </c>
      <c r="F139" s="20"/>
      <c r="G139" s="18" t="s">
        <v>883</v>
      </c>
      <c r="H139" s="19" t="s">
        <v>998</v>
      </c>
      <c r="I139" s="20"/>
      <c r="J139" s="18" t="s">
        <v>699</v>
      </c>
      <c r="K139" s="19" t="s">
        <v>1222</v>
      </c>
      <c r="L139" s="20"/>
      <c r="M139" s="18" t="s">
        <v>1304</v>
      </c>
      <c r="N139" s="19" t="s">
        <v>745</v>
      </c>
      <c r="O139" s="20"/>
    </row>
    <row r="140" ht="180.0" customHeight="1">
      <c r="A140" s="21" t="str">
        <f>IMAGE("https://assets.tcgdex.net/de/sv/sv04.5/171/low.jpg", 1)</f>
        <v/>
      </c>
      <c r="B140" s="22"/>
      <c r="C140" s="20"/>
      <c r="D140" s="21" t="str">
        <f>IMAGE("https://assets.tcgdex.net/de/sv/sv04.5/172/low.jpg", 1)</f>
        <v/>
      </c>
      <c r="E140" s="22"/>
      <c r="F140" s="20"/>
      <c r="G140" s="21" t="str">
        <f>IMAGE("https://assets.tcgdex.net/de/sv/sv04.5/173/low.jpg", 1)</f>
        <v/>
      </c>
      <c r="H140" s="22"/>
      <c r="I140" s="20"/>
      <c r="J140" s="21" t="str">
        <f>IMAGE("https://assets.tcgdex.net/de/sv/sv04.5/174/low.jpg", 1)</f>
        <v/>
      </c>
      <c r="K140" s="22"/>
      <c r="L140" s="20"/>
      <c r="M140" s="21" t="str">
        <f>IMAGE("https://assets.tcgdex.net/de/sv/sv04.5/175/low.jpg", 1)</f>
        <v/>
      </c>
      <c r="N140" s="22"/>
      <c r="O140" s="20"/>
    </row>
    <row r="141" ht="22.5" customHeight="1">
      <c r="A141" s="23" t="b">
        <v>0</v>
      </c>
      <c r="B141" s="24" t="b">
        <v>0</v>
      </c>
      <c r="C141" s="25" t="str">
        <f>HYPERLINK("https://www.cardmarket.com/en/Pokemon/Products/Singles?idCategory=1&amp;idProduct=sv4pt5-171", "CM")</f>
        <v>CM</v>
      </c>
      <c r="D141" s="23" t="b">
        <v>0</v>
      </c>
      <c r="E141" s="24" t="b">
        <v>0</v>
      </c>
      <c r="F141" s="25" t="str">
        <f>HYPERLINK("https://www.cardmarket.com/en/Pokemon/Products/Singles?idCategory=1&amp;idProduct=sv4pt5-172", "CM")</f>
        <v>CM</v>
      </c>
      <c r="G141" s="23" t="b">
        <v>0</v>
      </c>
      <c r="H141" s="24" t="b">
        <v>0</v>
      </c>
      <c r="I141" s="25" t="str">
        <f>HYPERLINK("https://www.cardmarket.com/en/Pokemon/Products/Singles?idCategory=1&amp;idProduct=sv4pt5-173", "CM")</f>
        <v>CM</v>
      </c>
      <c r="J141" s="23" t="b">
        <v>0</v>
      </c>
      <c r="K141" s="24" t="b">
        <v>0</v>
      </c>
      <c r="L141" s="25" t="str">
        <f>HYPERLINK("https://www.cardmarket.com/en/Pokemon/Products/Singles?idCategory=1&amp;idProduct=sv4pt5-174", "CM")</f>
        <v>CM</v>
      </c>
      <c r="M141" s="23" t="b">
        <v>0</v>
      </c>
      <c r="N141" s="24" t="b">
        <v>0</v>
      </c>
      <c r="O141" s="25" t="str">
        <f>HYPERLINK("https://www.cardmarket.com/en/Pokemon/Products/Singles?idCategory=1&amp;idProduct=sv4pt5-175", "CM")</f>
        <v>CM</v>
      </c>
    </row>
    <row r="142" ht="7.5" customHeight="1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</row>
    <row r="143" ht="18.75" customHeight="1">
      <c r="A143" s="18" t="s">
        <v>1306</v>
      </c>
      <c r="B143" s="19" t="s">
        <v>1654</v>
      </c>
      <c r="C143" s="20"/>
      <c r="D143" s="18" t="s">
        <v>884</v>
      </c>
      <c r="E143" s="19" t="s">
        <v>1655</v>
      </c>
      <c r="F143" s="20"/>
      <c r="G143" s="18" t="s">
        <v>701</v>
      </c>
      <c r="H143" s="19" t="s">
        <v>1656</v>
      </c>
      <c r="I143" s="20"/>
      <c r="J143" s="18" t="s">
        <v>703</v>
      </c>
      <c r="K143" s="19" t="s">
        <v>1429</v>
      </c>
      <c r="L143" s="20"/>
      <c r="M143" s="18" t="s">
        <v>886</v>
      </c>
      <c r="N143" s="19" t="s">
        <v>578</v>
      </c>
      <c r="O143" s="20"/>
    </row>
    <row r="144" ht="180.0" customHeight="1">
      <c r="A144" s="21" t="str">
        <f>IMAGE("https://assets.tcgdex.net/de/sv/sv04.5/176/low.jpg", 1)</f>
        <v/>
      </c>
      <c r="B144" s="22"/>
      <c r="C144" s="20"/>
      <c r="D144" s="21" t="str">
        <f>IMAGE("https://assets.tcgdex.net/de/sv/sv04.5/177/low.jpg", 1)</f>
        <v/>
      </c>
      <c r="E144" s="22"/>
      <c r="F144" s="20"/>
      <c r="G144" s="21" t="str">
        <f>IMAGE("https://assets.tcgdex.net/de/sv/sv04.5/178/low.jpg", 1)</f>
        <v/>
      </c>
      <c r="H144" s="22"/>
      <c r="I144" s="20"/>
      <c r="J144" s="21" t="str">
        <f>IMAGE("https://assets.tcgdex.net/de/sv/sv04.5/179/low.jpg", 1)</f>
        <v/>
      </c>
      <c r="K144" s="22"/>
      <c r="L144" s="20"/>
      <c r="M144" s="21" t="str">
        <f>IMAGE("https://assets.tcgdex.net/de/sv/sv04.5/180/low.jpg", 1)</f>
        <v/>
      </c>
      <c r="N144" s="22"/>
      <c r="O144" s="20"/>
    </row>
    <row r="145" ht="22.5" customHeight="1">
      <c r="A145" s="23" t="b">
        <v>0</v>
      </c>
      <c r="B145" s="24" t="b">
        <v>0</v>
      </c>
      <c r="C145" s="25" t="str">
        <f>HYPERLINK("https://www.cardmarket.com/en/Pokemon/Products/Singles?idCategory=1&amp;idProduct=sv4pt5-176", "CM")</f>
        <v>CM</v>
      </c>
      <c r="D145" s="23" t="b">
        <v>0</v>
      </c>
      <c r="E145" s="24" t="b">
        <v>0</v>
      </c>
      <c r="F145" s="25" t="str">
        <f>HYPERLINK("https://www.cardmarket.com/en/Pokemon/Products/Singles?idCategory=1&amp;idProduct=sv4pt5-177", "CM")</f>
        <v>CM</v>
      </c>
      <c r="G145" s="23" t="b">
        <v>0</v>
      </c>
      <c r="H145" s="24" t="b">
        <v>0</v>
      </c>
      <c r="I145" s="25" t="str">
        <f>HYPERLINK("https://www.cardmarket.com/en/Pokemon/Products/Singles?idCategory=1&amp;idProduct=sv4pt5-178", "CM")</f>
        <v>CM</v>
      </c>
      <c r="J145" s="23" t="b">
        <v>0</v>
      </c>
      <c r="K145" s="24" t="b">
        <v>0</v>
      </c>
      <c r="L145" s="25" t="str">
        <f>HYPERLINK("https://www.cardmarket.com/en/Pokemon/Products/Singles?idCategory=1&amp;idProduct=sv4pt5-179", "CM")</f>
        <v>CM</v>
      </c>
      <c r="M145" s="23" t="b">
        <v>0</v>
      </c>
      <c r="N145" s="24" t="b">
        <v>0</v>
      </c>
      <c r="O145" s="25" t="str">
        <f>HYPERLINK("https://www.cardmarket.com/en/Pokemon/Products/Singles?idCategory=1&amp;idProduct=sv4pt5-180", "CM")</f>
        <v>CM</v>
      </c>
    </row>
    <row r="146" ht="7.5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</row>
    <row r="147" ht="18.75" customHeight="1">
      <c r="A147" s="18" t="s">
        <v>888</v>
      </c>
      <c r="B147" s="19" t="s">
        <v>544</v>
      </c>
      <c r="C147" s="20"/>
      <c r="D147" s="18" t="s">
        <v>705</v>
      </c>
      <c r="E147" s="19" t="s">
        <v>1763</v>
      </c>
      <c r="F147" s="20"/>
      <c r="G147" s="18" t="s">
        <v>890</v>
      </c>
      <c r="H147" s="19" t="s">
        <v>1764</v>
      </c>
      <c r="I147" s="20"/>
      <c r="J147" s="18" t="s">
        <v>707</v>
      </c>
      <c r="K147" s="19" t="s">
        <v>1765</v>
      </c>
      <c r="L147" s="20"/>
      <c r="M147" s="18" t="s">
        <v>709</v>
      </c>
      <c r="N147" s="19" t="s">
        <v>648</v>
      </c>
      <c r="O147" s="20"/>
    </row>
    <row r="148" ht="180.0" customHeight="1">
      <c r="A148" s="21" t="str">
        <f>IMAGE("https://assets.tcgdex.net/de/sv/sv04.5/181/low.jpg", 1)</f>
        <v/>
      </c>
      <c r="B148" s="22"/>
      <c r="C148" s="20"/>
      <c r="D148" s="21" t="str">
        <f>IMAGE("https://assets.tcgdex.net/de/sv/sv04.5/182/low.jpg", 1)</f>
        <v/>
      </c>
      <c r="E148" s="22"/>
      <c r="F148" s="20"/>
      <c r="G148" s="21" t="str">
        <f>IMAGE("https://assets.tcgdex.net/de/sv/sv04.5/183/low.jpg", 1)</f>
        <v/>
      </c>
      <c r="H148" s="22"/>
      <c r="I148" s="20"/>
      <c r="J148" s="21" t="str">
        <f>IMAGE("https://assets.tcgdex.net/de/sv/sv04.5/184/low.jpg", 1)</f>
        <v/>
      </c>
      <c r="K148" s="22"/>
      <c r="L148" s="20"/>
      <c r="M148" s="21" t="str">
        <f>IMAGE("https://assets.tcgdex.net/de/sv/sv04.5/185/low.jpg", 1)</f>
        <v/>
      </c>
      <c r="N148" s="22"/>
      <c r="O148" s="20"/>
    </row>
    <row r="149" ht="22.5" customHeight="1">
      <c r="A149" s="23" t="b">
        <v>0</v>
      </c>
      <c r="B149" s="24" t="b">
        <v>0</v>
      </c>
      <c r="C149" s="25" t="str">
        <f>HYPERLINK("https://www.cardmarket.com/en/Pokemon/Products/Singles?idCategory=1&amp;idProduct=sv4pt5-181", "CM")</f>
        <v>CM</v>
      </c>
      <c r="D149" s="23" t="b">
        <v>0</v>
      </c>
      <c r="E149" s="24" t="b">
        <v>0</v>
      </c>
      <c r="F149" s="25" t="str">
        <f>HYPERLINK("https://www.cardmarket.com/en/Pokemon/Products/Singles?idCategory=1&amp;idProduct=sv4pt5-182", "CM")</f>
        <v>CM</v>
      </c>
      <c r="G149" s="23" t="b">
        <v>0</v>
      </c>
      <c r="H149" s="24" t="b">
        <v>0</v>
      </c>
      <c r="I149" s="25" t="str">
        <f>HYPERLINK("https://www.cardmarket.com/en/Pokemon/Products/Singles?idCategory=1&amp;idProduct=sv4pt5-183", "CM")</f>
        <v>CM</v>
      </c>
      <c r="J149" s="23" t="b">
        <v>0</v>
      </c>
      <c r="K149" s="24" t="b">
        <v>0</v>
      </c>
      <c r="L149" s="25" t="str">
        <f>HYPERLINK("https://www.cardmarket.com/en/Pokemon/Products/Singles?idCategory=1&amp;idProduct=sv4pt5-184", "CM")</f>
        <v>CM</v>
      </c>
      <c r="M149" s="23" t="b">
        <v>0</v>
      </c>
      <c r="N149" s="24" t="b">
        <v>0</v>
      </c>
      <c r="O149" s="25" t="str">
        <f>HYPERLINK("https://www.cardmarket.com/en/Pokemon/Products/Singles?idCategory=1&amp;idProduct=sv4pt5-185", "CM")</f>
        <v>CM</v>
      </c>
    </row>
    <row r="150" ht="7.5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</row>
    <row r="151" ht="18.75" customHeight="1">
      <c r="A151" s="18" t="s">
        <v>711</v>
      </c>
      <c r="B151" s="19" t="s">
        <v>650</v>
      </c>
      <c r="C151" s="20"/>
      <c r="D151" s="18" t="s">
        <v>892</v>
      </c>
      <c r="E151" s="19" t="s">
        <v>652</v>
      </c>
      <c r="F151" s="20"/>
      <c r="G151" s="18" t="s">
        <v>894</v>
      </c>
      <c r="H151" s="19" t="s">
        <v>1294</v>
      </c>
      <c r="I151" s="20"/>
      <c r="J151" s="18" t="s">
        <v>896</v>
      </c>
      <c r="K151" s="19" t="s">
        <v>820</v>
      </c>
      <c r="L151" s="20"/>
      <c r="M151" s="18" t="s">
        <v>1312</v>
      </c>
      <c r="N151" s="19" t="s">
        <v>1766</v>
      </c>
      <c r="O151" s="20"/>
    </row>
    <row r="152" ht="180.0" customHeight="1">
      <c r="A152" s="21" t="str">
        <f>IMAGE("https://assets.tcgdex.net/de/sv/sv04.5/186/low.jpg", 1)</f>
        <v/>
      </c>
      <c r="B152" s="22"/>
      <c r="C152" s="20"/>
      <c r="D152" s="21" t="str">
        <f>IMAGE("https://assets.tcgdex.net/de/sv/sv04.5/187/low.jpg", 1)</f>
        <v/>
      </c>
      <c r="E152" s="22"/>
      <c r="F152" s="20"/>
      <c r="G152" s="21" t="str">
        <f>IMAGE("https://assets.tcgdex.net/de/sv/sv04.5/188/low.jpg", 1)</f>
        <v/>
      </c>
      <c r="H152" s="22"/>
      <c r="I152" s="20"/>
      <c r="J152" s="21" t="str">
        <f>IMAGE("https://assets.tcgdex.net/de/sv/sv04.5/189/low.jpg", 1)</f>
        <v/>
      </c>
      <c r="K152" s="22"/>
      <c r="L152" s="20"/>
      <c r="M152" s="21" t="str">
        <f>IMAGE("https://assets.tcgdex.net/de/sv/sv04.5/190/low.jpg", 1)</f>
        <v/>
      </c>
      <c r="N152" s="22"/>
      <c r="O152" s="20"/>
    </row>
    <row r="153" ht="22.5" customHeight="1">
      <c r="A153" s="23" t="b">
        <v>0</v>
      </c>
      <c r="B153" s="24" t="b">
        <v>0</v>
      </c>
      <c r="C153" s="25" t="str">
        <f>HYPERLINK("https://www.cardmarket.com/en/Pokemon/Products/Singles?idCategory=1&amp;idProduct=sv4pt5-186", "CM")</f>
        <v>CM</v>
      </c>
      <c r="D153" s="23" t="b">
        <v>0</v>
      </c>
      <c r="E153" s="24" t="b">
        <v>0</v>
      </c>
      <c r="F153" s="25" t="str">
        <f>HYPERLINK("https://www.cardmarket.com/en/Pokemon/Products/Singles?idCategory=1&amp;idProduct=sv4pt5-187", "CM")</f>
        <v>CM</v>
      </c>
      <c r="G153" s="23" t="b">
        <v>0</v>
      </c>
      <c r="H153" s="24" t="b">
        <v>0</v>
      </c>
      <c r="I153" s="25" t="str">
        <f>HYPERLINK("https://www.cardmarket.com/en/Pokemon/Products/Singles?idCategory=1&amp;idProduct=sv4pt5-188", "CM")</f>
        <v>CM</v>
      </c>
      <c r="J153" s="23" t="b">
        <v>0</v>
      </c>
      <c r="K153" s="24" t="b">
        <v>0</v>
      </c>
      <c r="L153" s="25" t="str">
        <f>HYPERLINK("https://www.cardmarket.com/en/Pokemon/Products/Singles?idCategory=1&amp;idProduct=sv4pt5-189", "CM")</f>
        <v>CM</v>
      </c>
      <c r="M153" s="23" t="b">
        <v>0</v>
      </c>
      <c r="N153" s="24" t="b">
        <v>0</v>
      </c>
      <c r="O153" s="25" t="str">
        <f>HYPERLINK("https://www.cardmarket.com/en/Pokemon/Products/Singles?idCategory=1&amp;idProduct=sv4pt5-190", "CM")</f>
        <v>CM</v>
      </c>
    </row>
    <row r="154" ht="7.5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</row>
    <row r="155" ht="18.75" customHeight="1">
      <c r="A155" s="18" t="s">
        <v>1240</v>
      </c>
      <c r="B155" s="19" t="s">
        <v>936</v>
      </c>
      <c r="C155" s="20"/>
      <c r="D155" s="18" t="s">
        <v>1313</v>
      </c>
      <c r="E155" s="19" t="s">
        <v>761</v>
      </c>
      <c r="F155" s="20"/>
      <c r="G155" s="18" t="s">
        <v>898</v>
      </c>
      <c r="H155" s="19" t="s">
        <v>532</v>
      </c>
      <c r="I155" s="20"/>
      <c r="J155" s="18" t="s">
        <v>713</v>
      </c>
      <c r="K155" s="19" t="s">
        <v>1746</v>
      </c>
      <c r="L155" s="20"/>
      <c r="M155" s="18" t="s">
        <v>715</v>
      </c>
      <c r="N155" s="19" t="s">
        <v>814</v>
      </c>
      <c r="O155" s="20"/>
    </row>
    <row r="156" ht="180.0" customHeight="1">
      <c r="A156" s="21" t="str">
        <f>IMAGE("https://assets.tcgdex.net/de/sv/sv04.5/191/low.jpg", 1)</f>
        <v/>
      </c>
      <c r="B156" s="22"/>
      <c r="C156" s="20"/>
      <c r="D156" s="21" t="str">
        <f>IMAGE("https://assets.tcgdex.net/de/sv/sv04.5/192/low.jpg", 1)</f>
        <v/>
      </c>
      <c r="E156" s="22"/>
      <c r="F156" s="20"/>
      <c r="G156" s="21" t="str">
        <f>IMAGE("https://assets.tcgdex.net/de/sv/sv04.5/193/low.jpg", 1)</f>
        <v/>
      </c>
      <c r="H156" s="22"/>
      <c r="I156" s="20"/>
      <c r="J156" s="21" t="str">
        <f>IMAGE("https://assets.tcgdex.net/de/sv/sv04.5/194/low.jpg", 1)</f>
        <v/>
      </c>
      <c r="K156" s="22"/>
      <c r="L156" s="20"/>
      <c r="M156" s="21" t="str">
        <f>IMAGE("https://assets.tcgdex.net/de/sv/sv04.5/195/low.jpg", 1)</f>
        <v/>
      </c>
      <c r="N156" s="22"/>
      <c r="O156" s="20"/>
    </row>
    <row r="157" ht="22.5" customHeight="1">
      <c r="A157" s="23" t="b">
        <v>0</v>
      </c>
      <c r="B157" s="24" t="b">
        <v>0</v>
      </c>
      <c r="C157" s="25" t="str">
        <f>HYPERLINK("https://www.cardmarket.com/en/Pokemon/Products/Singles?idCategory=1&amp;idProduct=sv4pt5-191", "CM")</f>
        <v>CM</v>
      </c>
      <c r="D157" s="23" t="b">
        <v>0</v>
      </c>
      <c r="E157" s="24" t="b">
        <v>0</v>
      </c>
      <c r="F157" s="25" t="str">
        <f>HYPERLINK("https://www.cardmarket.com/en/Pokemon/Products/Singles?idCategory=1&amp;idProduct=sv4pt5-192", "CM")</f>
        <v>CM</v>
      </c>
      <c r="G157" s="23" t="b">
        <v>0</v>
      </c>
      <c r="H157" s="24" t="b">
        <v>0</v>
      </c>
      <c r="I157" s="25" t="str">
        <f>HYPERLINK("https://www.cardmarket.com/en/Pokemon/Products/Singles?idCategory=1&amp;idProduct=sv4pt5-193", "CM")</f>
        <v>CM</v>
      </c>
      <c r="J157" s="23" t="b">
        <v>0</v>
      </c>
      <c r="K157" s="24" t="b">
        <v>0</v>
      </c>
      <c r="L157" s="25" t="str">
        <f>HYPERLINK("https://www.cardmarket.com/en/Pokemon/Products/Singles?idCategory=1&amp;idProduct=sv4pt5-194", "CM")</f>
        <v>CM</v>
      </c>
      <c r="M157" s="23" t="b">
        <v>0</v>
      </c>
      <c r="N157" s="24" t="b">
        <v>0</v>
      </c>
      <c r="O157" s="25" t="str">
        <f>HYPERLINK("https://www.cardmarket.com/en/Pokemon/Products/Singles?idCategory=1&amp;idProduct=sv4pt5-195", "CM")</f>
        <v>CM</v>
      </c>
    </row>
    <row r="158" ht="7.5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</row>
    <row r="159" ht="18.75" customHeight="1">
      <c r="A159" s="18" t="s">
        <v>717</v>
      </c>
      <c r="B159" s="19" t="s">
        <v>1449</v>
      </c>
      <c r="C159" s="20"/>
      <c r="D159" s="18" t="s">
        <v>719</v>
      </c>
      <c r="E159" s="19" t="s">
        <v>1450</v>
      </c>
      <c r="F159" s="20"/>
      <c r="G159" s="18" t="s">
        <v>720</v>
      </c>
      <c r="H159" s="19" t="s">
        <v>1504</v>
      </c>
      <c r="I159" s="20"/>
      <c r="J159" s="18" t="s">
        <v>722</v>
      </c>
      <c r="K159" s="19" t="s">
        <v>1534</v>
      </c>
      <c r="L159" s="20"/>
      <c r="M159" s="18" t="s">
        <v>724</v>
      </c>
      <c r="N159" s="19" t="s">
        <v>1535</v>
      </c>
      <c r="O159" s="20"/>
    </row>
    <row r="160" ht="180.0" customHeight="1">
      <c r="A160" s="21" t="str">
        <f>IMAGE("https://assets.tcgdex.net/de/sv/sv04.5/196/low.jpg", 1)</f>
        <v/>
      </c>
      <c r="B160" s="22"/>
      <c r="C160" s="20"/>
      <c r="D160" s="21" t="str">
        <f>IMAGE("https://assets.tcgdex.net/de/sv/sv04.5/197/low.jpg", 1)</f>
        <v/>
      </c>
      <c r="E160" s="22"/>
      <c r="F160" s="20"/>
      <c r="G160" s="21" t="str">
        <f>IMAGE("https://assets.tcgdex.net/de/sv/sv04.5/198/low.jpg", 1)</f>
        <v/>
      </c>
      <c r="H160" s="22"/>
      <c r="I160" s="20"/>
      <c r="J160" s="21" t="str">
        <f>IMAGE("https://assets.tcgdex.net/de/sv/sv04.5/199/low.jpg", 1)</f>
        <v/>
      </c>
      <c r="K160" s="22"/>
      <c r="L160" s="20"/>
      <c r="M160" s="21" t="str">
        <f>IMAGE("https://assets.tcgdex.net/de/sv/sv04.5/200/low.jpg", 1)</f>
        <v/>
      </c>
      <c r="N160" s="22"/>
      <c r="O160" s="20"/>
    </row>
    <row r="161" ht="22.5" customHeight="1">
      <c r="A161" s="23" t="b">
        <v>0</v>
      </c>
      <c r="B161" s="24" t="b">
        <v>0</v>
      </c>
      <c r="C161" s="25" t="str">
        <f>HYPERLINK("https://www.cardmarket.com/en/Pokemon/Products/Singles?idCategory=1&amp;idProduct=sv4pt5-196", "CM")</f>
        <v>CM</v>
      </c>
      <c r="D161" s="23" t="b">
        <v>0</v>
      </c>
      <c r="E161" s="24" t="b">
        <v>0</v>
      </c>
      <c r="F161" s="25" t="str">
        <f>HYPERLINK("https://www.cardmarket.com/en/Pokemon/Products/Singles?idCategory=1&amp;idProduct=sv4pt5-197", "CM")</f>
        <v>CM</v>
      </c>
      <c r="G161" s="23" t="b">
        <v>0</v>
      </c>
      <c r="H161" s="24" t="b">
        <v>0</v>
      </c>
      <c r="I161" s="25" t="str">
        <f>HYPERLINK("https://www.cardmarket.com/en/Pokemon/Products/Singles?idCategory=1&amp;idProduct=sv4pt5-198", "CM")</f>
        <v>CM</v>
      </c>
      <c r="J161" s="23" t="b">
        <v>0</v>
      </c>
      <c r="K161" s="24" t="b">
        <v>0</v>
      </c>
      <c r="L161" s="25" t="str">
        <f>HYPERLINK("https://www.cardmarket.com/en/Pokemon/Products/Singles?idCategory=1&amp;idProduct=sv4pt5-199", "CM")</f>
        <v>CM</v>
      </c>
      <c r="M161" s="23" t="b">
        <v>0</v>
      </c>
      <c r="N161" s="24" t="b">
        <v>0</v>
      </c>
      <c r="O161" s="25" t="str">
        <f>HYPERLINK("https://www.cardmarket.com/en/Pokemon/Products/Singles?idCategory=1&amp;idProduct=sv4pt5-200", "CM")</f>
        <v>CM</v>
      </c>
    </row>
    <row r="162" ht="7.5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</row>
    <row r="163" ht="18.75" customHeight="1">
      <c r="A163" s="18" t="s">
        <v>726</v>
      </c>
      <c r="B163" s="19" t="s">
        <v>941</v>
      </c>
      <c r="C163" s="20"/>
      <c r="D163" s="18" t="s">
        <v>728</v>
      </c>
      <c r="E163" s="19" t="s">
        <v>777</v>
      </c>
      <c r="F163" s="20"/>
      <c r="G163" s="18" t="s">
        <v>730</v>
      </c>
      <c r="H163" s="19" t="s">
        <v>1767</v>
      </c>
      <c r="I163" s="20"/>
      <c r="J163" s="18" t="s">
        <v>1241</v>
      </c>
      <c r="K163" s="19" t="s">
        <v>546</v>
      </c>
      <c r="L163" s="20"/>
      <c r="M163" s="18" t="s">
        <v>1319</v>
      </c>
      <c r="N163" s="19" t="s">
        <v>1188</v>
      </c>
      <c r="O163" s="20"/>
    </row>
    <row r="164" ht="180.0" customHeight="1">
      <c r="A164" s="21" t="str">
        <f>IMAGE("https://assets.tcgdex.net/de/sv/sv04.5/201/low.jpg", 1)</f>
        <v/>
      </c>
      <c r="B164" s="22"/>
      <c r="C164" s="20"/>
      <c r="D164" s="21" t="str">
        <f>IMAGE("https://assets.tcgdex.net/de/sv/sv04.5/202/low.jpg", 1)</f>
        <v/>
      </c>
      <c r="E164" s="22"/>
      <c r="F164" s="20"/>
      <c r="G164" s="21" t="str">
        <f>IMAGE("https://assets.tcgdex.net/de/sv/sv04.5/203/low.jpg", 1)</f>
        <v/>
      </c>
      <c r="H164" s="22"/>
      <c r="I164" s="20"/>
      <c r="J164" s="21" t="str">
        <f>IMAGE("https://assets.tcgdex.net/de/sv/sv04.5/204/low.jpg", 1)</f>
        <v/>
      </c>
      <c r="K164" s="22"/>
      <c r="L164" s="20"/>
      <c r="M164" s="21" t="str">
        <f>IMAGE("https://assets.tcgdex.net/de/sv/sv04.5/205/low.jpg", 1)</f>
        <v/>
      </c>
      <c r="N164" s="22"/>
      <c r="O164" s="20"/>
    </row>
    <row r="165" ht="22.5" customHeight="1">
      <c r="A165" s="23" t="b">
        <v>0</v>
      </c>
      <c r="B165" s="24" t="b">
        <v>0</v>
      </c>
      <c r="C165" s="25" t="str">
        <f>HYPERLINK("https://www.cardmarket.com/en/Pokemon/Products/Singles?idCategory=1&amp;idProduct=sv4pt5-201", "CM")</f>
        <v>CM</v>
      </c>
      <c r="D165" s="23" t="b">
        <v>0</v>
      </c>
      <c r="E165" s="24" t="b">
        <v>0</v>
      </c>
      <c r="F165" s="25" t="str">
        <f>HYPERLINK("https://www.cardmarket.com/en/Pokemon/Products/Singles?idCategory=1&amp;idProduct=sv4pt5-202", "CM")</f>
        <v>CM</v>
      </c>
      <c r="G165" s="23" t="b">
        <v>0</v>
      </c>
      <c r="H165" s="24" t="b">
        <v>0</v>
      </c>
      <c r="I165" s="25" t="str">
        <f>HYPERLINK("https://www.cardmarket.com/en/Pokemon/Products/Singles?idCategory=1&amp;idProduct=sv4pt5-203", "CM")</f>
        <v>CM</v>
      </c>
      <c r="J165" s="23" t="b">
        <v>0</v>
      </c>
      <c r="K165" s="24" t="b">
        <v>0</v>
      </c>
      <c r="L165" s="25" t="str">
        <f>HYPERLINK("https://www.cardmarket.com/en/Pokemon/Products/Singles?idCategory=1&amp;idProduct=sv4pt5-204", "CM")</f>
        <v>CM</v>
      </c>
      <c r="M165" s="23" t="b">
        <v>0</v>
      </c>
      <c r="N165" s="24" t="b">
        <v>0</v>
      </c>
      <c r="O165" s="25" t="str">
        <f>HYPERLINK("https://www.cardmarket.com/en/Pokemon/Products/Singles?idCategory=1&amp;idProduct=sv4pt5-205", "CM")</f>
        <v>CM</v>
      </c>
    </row>
    <row r="166" ht="7.5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</row>
    <row r="167" ht="18.75" customHeight="1">
      <c r="A167" s="18" t="s">
        <v>732</v>
      </c>
      <c r="B167" s="19" t="s">
        <v>1300</v>
      </c>
      <c r="C167" s="20"/>
      <c r="D167" s="18" t="s">
        <v>734</v>
      </c>
      <c r="E167" s="19" t="s">
        <v>1228</v>
      </c>
      <c r="F167" s="20"/>
      <c r="G167" s="18" t="s">
        <v>1183</v>
      </c>
      <c r="H167" s="19" t="s">
        <v>1229</v>
      </c>
      <c r="I167" s="20"/>
      <c r="J167" s="18" t="s">
        <v>1320</v>
      </c>
      <c r="K167" s="19" t="s">
        <v>1230</v>
      </c>
      <c r="L167" s="20"/>
      <c r="M167" s="18" t="s">
        <v>1184</v>
      </c>
      <c r="N167" s="19" t="s">
        <v>1231</v>
      </c>
      <c r="O167" s="20"/>
    </row>
    <row r="168" ht="180.0" customHeight="1">
      <c r="A168" s="21" t="str">
        <f>IMAGE("https://assets.tcgdex.net/de/sv/sv04.5/206/low.jpg", 1)</f>
        <v/>
      </c>
      <c r="B168" s="22"/>
      <c r="C168" s="20"/>
      <c r="D168" s="21" t="str">
        <f>IMAGE("https://assets.tcgdex.net/de/sv/sv04.5/207/low.jpg", 1)</f>
        <v/>
      </c>
      <c r="E168" s="22"/>
      <c r="F168" s="20"/>
      <c r="G168" s="21" t="str">
        <f>IMAGE("https://assets.tcgdex.net/de/sv/sv04.5/208/low.jpg", 1)</f>
        <v/>
      </c>
      <c r="H168" s="22"/>
      <c r="I168" s="20"/>
      <c r="J168" s="21" t="str">
        <f>IMAGE("https://assets.tcgdex.net/de/sv/sv04.5/209/low.jpg", 1)</f>
        <v/>
      </c>
      <c r="K168" s="22"/>
      <c r="L168" s="20"/>
      <c r="M168" s="21" t="str">
        <f>IMAGE("https://assets.tcgdex.net/de/sv/sv04.5/210/low.jpg", 1)</f>
        <v/>
      </c>
      <c r="N168" s="22"/>
      <c r="O168" s="20"/>
    </row>
    <row r="169" ht="22.5" customHeight="1">
      <c r="A169" s="23" t="b">
        <v>0</v>
      </c>
      <c r="B169" s="24" t="b">
        <v>0</v>
      </c>
      <c r="C169" s="25" t="str">
        <f>HYPERLINK("https://www.cardmarket.com/en/Pokemon/Products/Singles?idCategory=1&amp;idProduct=sv4pt5-206", "CM")</f>
        <v>CM</v>
      </c>
      <c r="D169" s="23" t="b">
        <v>0</v>
      </c>
      <c r="E169" s="24" t="b">
        <v>0</v>
      </c>
      <c r="F169" s="25" t="str">
        <f>HYPERLINK("https://www.cardmarket.com/en/Pokemon/Products/Singles?idCategory=1&amp;idProduct=sv4pt5-207", "CM")</f>
        <v>CM</v>
      </c>
      <c r="G169" s="23" t="b">
        <v>0</v>
      </c>
      <c r="H169" s="24" t="b">
        <v>0</v>
      </c>
      <c r="I169" s="25" t="str">
        <f>HYPERLINK("https://www.cardmarket.com/en/Pokemon/Products/Singles?idCategory=1&amp;idProduct=sv4pt5-208", "CM")</f>
        <v>CM</v>
      </c>
      <c r="J169" s="23" t="b">
        <v>0</v>
      </c>
      <c r="K169" s="24" t="b">
        <v>0</v>
      </c>
      <c r="L169" s="25" t="str">
        <f>HYPERLINK("https://www.cardmarket.com/en/Pokemon/Products/Singles?idCategory=1&amp;idProduct=sv4pt5-209", "CM")</f>
        <v>CM</v>
      </c>
      <c r="M169" s="23" t="b">
        <v>0</v>
      </c>
      <c r="N169" s="24" t="b">
        <v>0</v>
      </c>
      <c r="O169" s="25" t="str">
        <f>HYPERLINK("https://www.cardmarket.com/en/Pokemon/Products/Singles?idCategory=1&amp;idProduct=sv4pt5-210", "CM")</f>
        <v>CM</v>
      </c>
    </row>
    <row r="170" ht="7.5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</row>
    <row r="171" ht="18.75" customHeight="1">
      <c r="A171" s="18" t="s">
        <v>1321</v>
      </c>
      <c r="B171" s="19" t="s">
        <v>1233</v>
      </c>
      <c r="C171" s="20"/>
      <c r="D171" s="18" t="s">
        <v>1322</v>
      </c>
      <c r="E171" s="19" t="s">
        <v>1725</v>
      </c>
      <c r="F171" s="20"/>
      <c r="G171" s="18" t="s">
        <v>1323</v>
      </c>
      <c r="H171" s="19" t="s">
        <v>1376</v>
      </c>
      <c r="I171" s="20"/>
      <c r="J171" s="18" t="s">
        <v>1186</v>
      </c>
      <c r="K171" s="19" t="s">
        <v>1727</v>
      </c>
      <c r="L171" s="20"/>
      <c r="M171" s="18" t="s">
        <v>1324</v>
      </c>
      <c r="N171" s="19" t="s">
        <v>775</v>
      </c>
      <c r="O171" s="20"/>
    </row>
    <row r="172" ht="180.0" customHeight="1">
      <c r="A172" s="21" t="str">
        <f>IMAGE("https://assets.tcgdex.net/de/sv/sv04.5/211/low.jpg", 1)</f>
        <v/>
      </c>
      <c r="B172" s="22"/>
      <c r="C172" s="20"/>
      <c r="D172" s="21" t="str">
        <f>IMAGE("https://assets.tcgdex.net/de/sv/sv04.5/212/low.jpg", 1)</f>
        <v/>
      </c>
      <c r="E172" s="22"/>
      <c r="F172" s="20"/>
      <c r="G172" s="21" t="str">
        <f>IMAGE("https://assets.tcgdex.net/de/sv/sv04.5/213/low.jpg", 1)</f>
        <v/>
      </c>
      <c r="H172" s="22"/>
      <c r="I172" s="20"/>
      <c r="J172" s="21" t="str">
        <f>IMAGE("https://assets.tcgdex.net/de/sv/sv04.5/214/low.jpg", 1)</f>
        <v/>
      </c>
      <c r="K172" s="22"/>
      <c r="L172" s="20"/>
      <c r="M172" s="21" t="str">
        <f>IMAGE("https://assets.tcgdex.net/de/sv/sv04.5/215/low.jpg", 1)</f>
        <v/>
      </c>
      <c r="N172" s="22"/>
      <c r="O172" s="20"/>
    </row>
    <row r="173" ht="22.5" customHeight="1">
      <c r="A173" s="23" t="b">
        <v>0</v>
      </c>
      <c r="B173" s="24" t="b">
        <v>0</v>
      </c>
      <c r="C173" s="25" t="str">
        <f>HYPERLINK("https://www.cardmarket.com/en/Pokemon/Products/Singles?idCategory=1&amp;idProduct=sv4pt5-211", "CM")</f>
        <v>CM</v>
      </c>
      <c r="D173" s="23" t="b">
        <v>0</v>
      </c>
      <c r="E173" s="24" t="b">
        <v>0</v>
      </c>
      <c r="F173" s="25" t="str">
        <f>HYPERLINK("https://www.cardmarket.com/en/Pokemon/Products/Singles?idCategory=1&amp;idProduct=sv4pt5-212", "CM")</f>
        <v>CM</v>
      </c>
      <c r="G173" s="23" t="b">
        <v>0</v>
      </c>
      <c r="H173" s="24" t="b">
        <v>0</v>
      </c>
      <c r="I173" s="25" t="str">
        <f>HYPERLINK("https://www.cardmarket.com/en/Pokemon/Products/Singles?idCategory=1&amp;idProduct=sv4pt5-213", "CM")</f>
        <v>CM</v>
      </c>
      <c r="J173" s="23" t="b">
        <v>0</v>
      </c>
      <c r="K173" s="24" t="b">
        <v>0</v>
      </c>
      <c r="L173" s="25" t="str">
        <f>HYPERLINK("https://www.cardmarket.com/en/Pokemon/Products/Singles?idCategory=1&amp;idProduct=sv4pt5-214", "CM")</f>
        <v>CM</v>
      </c>
      <c r="M173" s="23" t="b">
        <v>0</v>
      </c>
      <c r="N173" s="24" t="b">
        <v>0</v>
      </c>
      <c r="O173" s="25" t="str">
        <f>HYPERLINK("https://www.cardmarket.com/en/Pokemon/Products/Singles?idCategory=1&amp;idProduct=sv4pt5-215", "CM")</f>
        <v>CM</v>
      </c>
    </row>
    <row r="174" ht="7.5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</row>
    <row r="175" ht="18.75" customHeight="1">
      <c r="A175" s="18" t="s">
        <v>1325</v>
      </c>
      <c r="B175" s="19" t="s">
        <v>781</v>
      </c>
      <c r="C175" s="20"/>
      <c r="D175" s="18" t="s">
        <v>1326</v>
      </c>
      <c r="E175" s="19" t="s">
        <v>1275</v>
      </c>
      <c r="F175" s="20"/>
      <c r="G175" s="18" t="s">
        <v>1327</v>
      </c>
      <c r="H175" s="19" t="s">
        <v>1430</v>
      </c>
      <c r="I175" s="20"/>
      <c r="J175" s="18" t="s">
        <v>1328</v>
      </c>
      <c r="K175" s="19" t="s">
        <v>1744</v>
      </c>
      <c r="L175" s="20"/>
      <c r="M175" s="18" t="s">
        <v>1329</v>
      </c>
      <c r="N175" s="19" t="s">
        <v>1747</v>
      </c>
      <c r="O175" s="20"/>
    </row>
    <row r="176" ht="180.0" customHeight="1">
      <c r="A176" s="21" t="str">
        <f>IMAGE("https://assets.tcgdex.net/de/sv/sv04.5/216/low.jpg", 1)</f>
        <v/>
      </c>
      <c r="B176" s="22"/>
      <c r="C176" s="20"/>
      <c r="D176" s="21" t="str">
        <f>IMAGE("https://assets.tcgdex.net/de/sv/sv04.5/217/low.jpg", 1)</f>
        <v/>
      </c>
      <c r="E176" s="22"/>
      <c r="F176" s="20"/>
      <c r="G176" s="21" t="str">
        <f>IMAGE("https://assets.tcgdex.net/de/sv/sv04.5/218/low.jpg", 1)</f>
        <v/>
      </c>
      <c r="H176" s="22"/>
      <c r="I176" s="20"/>
      <c r="J176" s="21" t="str">
        <f>IMAGE("https://assets.tcgdex.net/de/sv/sv04.5/219/low.jpg", 1)</f>
        <v/>
      </c>
      <c r="K176" s="22"/>
      <c r="L176" s="20"/>
      <c r="M176" s="21" t="str">
        <f>IMAGE("https://assets.tcgdex.net/de/sv/sv04.5/220/low.jpg", 1)</f>
        <v/>
      </c>
      <c r="N176" s="22"/>
      <c r="O176" s="20"/>
    </row>
    <row r="177" ht="22.5" customHeight="1">
      <c r="A177" s="23" t="b">
        <v>0</v>
      </c>
      <c r="B177" s="24" t="b">
        <v>0</v>
      </c>
      <c r="C177" s="25" t="str">
        <f>HYPERLINK("https://www.cardmarket.com/en/Pokemon/Products/Singles?idCategory=1&amp;idProduct=sv4pt5-216", "CM")</f>
        <v>CM</v>
      </c>
      <c r="D177" s="23" t="b">
        <v>0</v>
      </c>
      <c r="E177" s="24" t="b">
        <v>0</v>
      </c>
      <c r="F177" s="25" t="str">
        <f>HYPERLINK("https://www.cardmarket.com/en/Pokemon/Products/Singles?idCategory=1&amp;idProduct=sv4pt5-217", "CM")</f>
        <v>CM</v>
      </c>
      <c r="G177" s="23" t="b">
        <v>0</v>
      </c>
      <c r="H177" s="24" t="b">
        <v>0</v>
      </c>
      <c r="I177" s="25" t="str">
        <f>HYPERLINK("https://www.cardmarket.com/en/Pokemon/Products/Singles?idCategory=1&amp;idProduct=sv4pt5-218", "CM")</f>
        <v>CM</v>
      </c>
      <c r="J177" s="23" t="b">
        <v>0</v>
      </c>
      <c r="K177" s="24" t="b">
        <v>0</v>
      </c>
      <c r="L177" s="25" t="str">
        <f>HYPERLINK("https://www.cardmarket.com/en/Pokemon/Products/Singles?idCategory=1&amp;idProduct=sv4pt5-219", "CM")</f>
        <v>CM</v>
      </c>
      <c r="M177" s="23" t="b">
        <v>0</v>
      </c>
      <c r="N177" s="24" t="b">
        <v>0</v>
      </c>
      <c r="O177" s="25" t="str">
        <f>HYPERLINK("https://www.cardmarket.com/en/Pokemon/Products/Singles?idCategory=1&amp;idProduct=sv4pt5-220", "CM")</f>
        <v>CM</v>
      </c>
    </row>
    <row r="178" ht="7.5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</row>
    <row r="179" ht="18.75" customHeight="1">
      <c r="A179" s="18" t="s">
        <v>1330</v>
      </c>
      <c r="B179" s="19" t="s">
        <v>1451</v>
      </c>
      <c r="C179" s="20"/>
      <c r="D179" s="18" t="s">
        <v>1187</v>
      </c>
      <c r="E179" s="19" t="s">
        <v>1505</v>
      </c>
      <c r="F179" s="20"/>
      <c r="G179" s="18" t="s">
        <v>1331</v>
      </c>
      <c r="H179" s="19" t="s">
        <v>696</v>
      </c>
      <c r="I179" s="20"/>
      <c r="J179" s="18" t="s">
        <v>1332</v>
      </c>
      <c r="K179" s="19" t="s">
        <v>1266</v>
      </c>
      <c r="L179" s="20"/>
      <c r="M179" s="18" t="s">
        <v>1333</v>
      </c>
      <c r="N179" s="19" t="s">
        <v>568</v>
      </c>
      <c r="O179" s="20"/>
    </row>
    <row r="180" ht="180.0" customHeight="1">
      <c r="A180" s="21" t="str">
        <f>IMAGE("https://assets.tcgdex.net/de/sv/sv04.5/221/low.jpg", 1)</f>
        <v/>
      </c>
      <c r="B180" s="22"/>
      <c r="C180" s="20"/>
      <c r="D180" s="21" t="str">
        <f>IMAGE("https://assets.tcgdex.net/de/sv/sv04.5/222/low.jpg", 1)</f>
        <v/>
      </c>
      <c r="E180" s="22"/>
      <c r="F180" s="20"/>
      <c r="G180" s="21" t="str">
        <f>IMAGE("https://assets.tcgdex.net/de/sv/sv04.5/223/low.jpg", 1)</f>
        <v/>
      </c>
      <c r="H180" s="22"/>
      <c r="I180" s="20"/>
      <c r="J180" s="21" t="str">
        <f>IMAGE("https://assets.tcgdex.net/de/sv/sv04.5/224/low.jpg", 1)</f>
        <v/>
      </c>
      <c r="K180" s="22"/>
      <c r="L180" s="20"/>
      <c r="M180" s="21" t="str">
        <f>IMAGE("https://assets.tcgdex.net/de/sv/sv04.5/225/low.jpg", 1)</f>
        <v/>
      </c>
      <c r="N180" s="22"/>
      <c r="O180" s="20"/>
    </row>
    <row r="181" ht="22.5" customHeight="1">
      <c r="A181" s="23" t="b">
        <v>0</v>
      </c>
      <c r="B181" s="24" t="b">
        <v>0</v>
      </c>
      <c r="C181" s="25" t="str">
        <f>HYPERLINK("https://www.cardmarket.com/en/Pokemon/Products/Singles?idCategory=1&amp;idProduct=sv4pt5-221", "CM")</f>
        <v>CM</v>
      </c>
      <c r="D181" s="23" t="b">
        <v>0</v>
      </c>
      <c r="E181" s="24" t="b">
        <v>0</v>
      </c>
      <c r="F181" s="25" t="str">
        <f>HYPERLINK("https://www.cardmarket.com/en/Pokemon/Products/Singles?idCategory=1&amp;idProduct=sv4pt5-222", "CM")</f>
        <v>CM</v>
      </c>
      <c r="G181" s="23" t="b">
        <v>0</v>
      </c>
      <c r="H181" s="24" t="b">
        <v>0</v>
      </c>
      <c r="I181" s="25" t="str">
        <f>HYPERLINK("https://www.cardmarket.com/en/Pokemon/Products/Singles?idCategory=1&amp;idProduct=sv4pt5-223", "CM")</f>
        <v>CM</v>
      </c>
      <c r="J181" s="23" t="b">
        <v>0</v>
      </c>
      <c r="K181" s="24" t="b">
        <v>0</v>
      </c>
      <c r="L181" s="25" t="str">
        <f>HYPERLINK("https://www.cardmarket.com/en/Pokemon/Products/Singles?idCategory=1&amp;idProduct=sv4pt5-224", "CM")</f>
        <v>CM</v>
      </c>
      <c r="M181" s="23" t="b">
        <v>0</v>
      </c>
      <c r="N181" s="24" t="b">
        <v>0</v>
      </c>
      <c r="O181" s="25" t="str">
        <f>HYPERLINK("https://www.cardmarket.com/en/Pokemon/Products/Singles?idCategory=1&amp;idProduct=sv4pt5-225", "CM")</f>
        <v>CM</v>
      </c>
    </row>
    <row r="182" ht="7.5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</row>
    <row r="183" ht="18.75" customHeight="1">
      <c r="A183" s="18" t="s">
        <v>1189</v>
      </c>
      <c r="B183" s="19" t="s">
        <v>576</v>
      </c>
      <c r="C183" s="20"/>
      <c r="D183" s="18" t="s">
        <v>1334</v>
      </c>
      <c r="E183" s="19" t="s">
        <v>1749</v>
      </c>
      <c r="F183" s="20"/>
      <c r="G183" s="18" t="s">
        <v>1335</v>
      </c>
      <c r="H183" s="19" t="s">
        <v>1307</v>
      </c>
      <c r="I183" s="20"/>
      <c r="J183" s="18" t="s">
        <v>1191</v>
      </c>
      <c r="K183" s="19" t="s">
        <v>1309</v>
      </c>
      <c r="L183" s="20"/>
      <c r="M183" s="18" t="s">
        <v>1336</v>
      </c>
      <c r="N183" s="19" t="s">
        <v>1752</v>
      </c>
      <c r="O183" s="20"/>
    </row>
    <row r="184" ht="180.0" customHeight="1">
      <c r="A184" s="21" t="str">
        <f>IMAGE("https://assets.tcgdex.net/de/sv/sv04.5/226/low.jpg", 1)</f>
        <v/>
      </c>
      <c r="B184" s="22"/>
      <c r="C184" s="20"/>
      <c r="D184" s="21" t="str">
        <f>IMAGE("https://assets.tcgdex.net/de/sv/sv04.5/227/low.jpg", 1)</f>
        <v/>
      </c>
      <c r="E184" s="22"/>
      <c r="F184" s="20"/>
      <c r="G184" s="21" t="str">
        <f>IMAGE("https://assets.tcgdex.net/de/sv/sv04.5/228/low.jpg", 1)</f>
        <v/>
      </c>
      <c r="H184" s="22"/>
      <c r="I184" s="20"/>
      <c r="J184" s="21" t="str">
        <f>IMAGE("https://assets.tcgdex.net/de/sv/sv04.5/229/low.jpg", 1)</f>
        <v/>
      </c>
      <c r="K184" s="22"/>
      <c r="L184" s="20"/>
      <c r="M184" s="21" t="str">
        <f>IMAGE("https://assets.tcgdex.net/de/sv/sv04.5/230/low.jpg", 1)</f>
        <v/>
      </c>
      <c r="N184" s="22"/>
      <c r="O184" s="20"/>
    </row>
    <row r="185" ht="22.5" customHeight="1">
      <c r="A185" s="23" t="b">
        <v>0</v>
      </c>
      <c r="B185" s="24" t="b">
        <v>0</v>
      </c>
      <c r="C185" s="25" t="str">
        <f>HYPERLINK("https://www.cardmarket.com/en/Pokemon/Products/Singles?idCategory=1&amp;idProduct=sv4pt5-226", "CM")</f>
        <v>CM</v>
      </c>
      <c r="D185" s="23" t="b">
        <v>0</v>
      </c>
      <c r="E185" s="24" t="b">
        <v>0</v>
      </c>
      <c r="F185" s="25" t="str">
        <f>HYPERLINK("https://www.cardmarket.com/en/Pokemon/Products/Singles?idCategory=1&amp;idProduct=sv4pt5-227", "CM")</f>
        <v>CM</v>
      </c>
      <c r="G185" s="23" t="b">
        <v>0</v>
      </c>
      <c r="H185" s="24" t="b">
        <v>0</v>
      </c>
      <c r="I185" s="25" t="str">
        <f>HYPERLINK("https://www.cardmarket.com/en/Pokemon/Products/Singles?idCategory=1&amp;idProduct=sv4pt5-228", "CM")</f>
        <v>CM</v>
      </c>
      <c r="J185" s="23" t="b">
        <v>0</v>
      </c>
      <c r="K185" s="24" t="b">
        <v>0</v>
      </c>
      <c r="L185" s="25" t="str">
        <f>HYPERLINK("https://www.cardmarket.com/en/Pokemon/Products/Singles?idCategory=1&amp;idProduct=sv4pt5-229", "CM")</f>
        <v>CM</v>
      </c>
      <c r="M185" s="23" t="b">
        <v>0</v>
      </c>
      <c r="N185" s="24" t="b">
        <v>0</v>
      </c>
      <c r="O185" s="25" t="str">
        <f>HYPERLINK("https://www.cardmarket.com/en/Pokemon/Products/Singles?idCategory=1&amp;idProduct=sv4pt5-230", "CM")</f>
        <v>CM</v>
      </c>
    </row>
    <row r="186" ht="7.5" customHeigh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</row>
    <row r="187" ht="18.75" customHeight="1">
      <c r="A187" s="18" t="s">
        <v>1337</v>
      </c>
      <c r="B187" s="19" t="s">
        <v>1752</v>
      </c>
      <c r="C187" s="20"/>
      <c r="D187" s="18" t="s">
        <v>1338</v>
      </c>
      <c r="E187" s="19" t="s">
        <v>781</v>
      </c>
      <c r="F187" s="20"/>
      <c r="G187" s="18" t="s">
        <v>1339</v>
      </c>
      <c r="H187" s="19" t="s">
        <v>1275</v>
      </c>
      <c r="I187" s="20"/>
      <c r="J187" s="18" t="s">
        <v>1340</v>
      </c>
      <c r="K187" s="19" t="s">
        <v>783</v>
      </c>
      <c r="L187" s="20"/>
      <c r="M187" s="18" t="s">
        <v>1193</v>
      </c>
      <c r="N187" s="19" t="s">
        <v>1194</v>
      </c>
      <c r="O187" s="20"/>
    </row>
    <row r="188" ht="180.0" customHeight="1">
      <c r="A188" s="21" t="str">
        <f>IMAGE("https://assets.tcgdex.net/de/sv/sv04.5/231/low.jpg", 1)</f>
        <v/>
      </c>
      <c r="B188" s="22"/>
      <c r="C188" s="20"/>
      <c r="D188" s="21" t="str">
        <f>IMAGE("https://assets.tcgdex.net/de/sv/sv04.5/232/low.jpg", 1)</f>
        <v/>
      </c>
      <c r="E188" s="22"/>
      <c r="F188" s="20"/>
      <c r="G188" s="21" t="str">
        <f>IMAGE("https://assets.tcgdex.net/de/sv/sv04.5/233/low.jpg", 1)</f>
        <v/>
      </c>
      <c r="H188" s="22"/>
      <c r="I188" s="20"/>
      <c r="J188" s="21" t="str">
        <f>IMAGE("https://assets.tcgdex.net/de/sv/sv04.5/234/low.jpg", 1)</f>
        <v/>
      </c>
      <c r="K188" s="22"/>
      <c r="L188" s="20"/>
      <c r="M188" s="21" t="str">
        <f>IMAGE("https://assets.tcgdex.net/de/sv/sv04.5/235/low.jpg", 1)</f>
        <v/>
      </c>
      <c r="N188" s="22"/>
      <c r="O188" s="20"/>
    </row>
    <row r="189" ht="22.5" customHeight="1">
      <c r="A189" s="23" t="b">
        <v>0</v>
      </c>
      <c r="B189" s="24" t="b">
        <v>0</v>
      </c>
      <c r="C189" s="25" t="str">
        <f>HYPERLINK("https://www.cardmarket.com/en/Pokemon/Products/Singles?idCategory=1&amp;idProduct=sv4pt5-231", "CM")</f>
        <v>CM</v>
      </c>
      <c r="D189" s="23" t="b">
        <v>0</v>
      </c>
      <c r="E189" s="24" t="b">
        <v>0</v>
      </c>
      <c r="F189" s="25" t="str">
        <f>HYPERLINK("https://www.cardmarket.com/en/Pokemon/Products/Singles?idCategory=1&amp;idProduct=sv4pt5-232", "CM")</f>
        <v>CM</v>
      </c>
      <c r="G189" s="23" t="b">
        <v>0</v>
      </c>
      <c r="H189" s="24" t="b">
        <v>0</v>
      </c>
      <c r="I189" s="25" t="str">
        <f>HYPERLINK("https://www.cardmarket.com/en/Pokemon/Products/Singles?idCategory=1&amp;idProduct=sv4pt5-233", "CM")</f>
        <v>CM</v>
      </c>
      <c r="J189" s="23" t="b">
        <v>0</v>
      </c>
      <c r="K189" s="24" t="b">
        <v>0</v>
      </c>
      <c r="L189" s="25" t="str">
        <f>HYPERLINK("https://www.cardmarket.com/en/Pokemon/Products/Singles?idCategory=1&amp;idProduct=sv4pt5-234", "CM")</f>
        <v>CM</v>
      </c>
      <c r="M189" s="23" t="b">
        <v>0</v>
      </c>
      <c r="N189" s="24" t="b">
        <v>0</v>
      </c>
      <c r="O189" s="25" t="str">
        <f>HYPERLINK("https://www.cardmarket.com/en/Pokemon/Products/Singles?idCategory=1&amp;idProduct=sv4pt5-235", "CM")</f>
        <v>CM</v>
      </c>
    </row>
    <row r="190" ht="7.5" customHeight="1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</row>
    <row r="191" ht="18.75" customHeight="1">
      <c r="A191" s="18" t="s">
        <v>1341</v>
      </c>
      <c r="B191" s="19" t="s">
        <v>1749</v>
      </c>
      <c r="C191" s="20"/>
      <c r="D191" s="18" t="s">
        <v>1342</v>
      </c>
      <c r="E191" s="19" t="s">
        <v>834</v>
      </c>
      <c r="F191" s="20"/>
      <c r="G191" s="18" t="s">
        <v>1343</v>
      </c>
      <c r="H191" s="19" t="s">
        <v>1309</v>
      </c>
      <c r="I191" s="20"/>
      <c r="J191" s="18" t="s">
        <v>1195</v>
      </c>
      <c r="K191" s="19" t="s">
        <v>1196</v>
      </c>
      <c r="L191" s="20"/>
      <c r="M191" s="18" t="s">
        <v>1344</v>
      </c>
      <c r="N191" s="19" t="s">
        <v>1768</v>
      </c>
      <c r="O191" s="20"/>
    </row>
    <row r="192" ht="180.0" customHeight="1">
      <c r="A192" s="21" t="str">
        <f>IMAGE("https://assets.tcgdex.net/de/sv/sv04.5/236/low.jpg", 1)</f>
        <v/>
      </c>
      <c r="B192" s="22"/>
      <c r="C192" s="20"/>
      <c r="D192" s="21" t="str">
        <f>IMAGE("https://assets.tcgdex.net/de/sv/sv04.5/237/low.jpg", 1)</f>
        <v/>
      </c>
      <c r="E192" s="22"/>
      <c r="F192" s="20"/>
      <c r="G192" s="21" t="str">
        <f>IMAGE("https://assets.tcgdex.net/de/sv/sv04.5/238/low.jpg", 1)</f>
        <v/>
      </c>
      <c r="H192" s="22"/>
      <c r="I192" s="20"/>
      <c r="J192" s="21" t="str">
        <f>IMAGE("https://assets.tcgdex.net/de/sv/sv04.5/239/low.jpg", 1)</f>
        <v/>
      </c>
      <c r="K192" s="22"/>
      <c r="L192" s="20"/>
      <c r="M192" s="21" t="str">
        <f>IMAGE("https://assets.tcgdex.net/de/sv/sv04.5/240/low.jpg", 1)</f>
        <v/>
      </c>
      <c r="N192" s="22"/>
      <c r="O192" s="20"/>
    </row>
    <row r="193" ht="22.5" customHeight="1">
      <c r="A193" s="23" t="b">
        <v>0</v>
      </c>
      <c r="B193" s="24" t="b">
        <v>0</v>
      </c>
      <c r="C193" s="25" t="str">
        <f>HYPERLINK("https://www.cardmarket.com/en/Pokemon/Products/Singles?idCategory=1&amp;idProduct=sv4pt5-236", "CM")</f>
        <v>CM</v>
      </c>
      <c r="D193" s="23" t="b">
        <v>0</v>
      </c>
      <c r="E193" s="24" t="b">
        <v>0</v>
      </c>
      <c r="F193" s="25" t="str">
        <f>HYPERLINK("https://www.cardmarket.com/en/Pokemon/Products/Singles?idCategory=1&amp;idProduct=sv4pt5-237", "CM")</f>
        <v>CM</v>
      </c>
      <c r="G193" s="23" t="b">
        <v>0</v>
      </c>
      <c r="H193" s="24" t="b">
        <v>0</v>
      </c>
      <c r="I193" s="25" t="str">
        <f>HYPERLINK("https://www.cardmarket.com/en/Pokemon/Products/Singles?idCategory=1&amp;idProduct=sv4pt5-238", "CM")</f>
        <v>CM</v>
      </c>
      <c r="J193" s="23" t="b">
        <v>0</v>
      </c>
      <c r="K193" s="24" t="b">
        <v>0</v>
      </c>
      <c r="L193" s="25" t="str">
        <f>HYPERLINK("https://www.cardmarket.com/en/Pokemon/Products/Singles?idCategory=1&amp;idProduct=sv4pt5-239", "CM")</f>
        <v>CM</v>
      </c>
      <c r="M193" s="23" t="b">
        <v>0</v>
      </c>
      <c r="N193" s="24" t="b">
        <v>0</v>
      </c>
      <c r="O193" s="25" t="str">
        <f>HYPERLINK("https://www.cardmarket.com/en/Pokemon/Products/Singles?idCategory=1&amp;idProduct=sv4pt5-240", "CM")</f>
        <v>CM</v>
      </c>
    </row>
    <row r="194" ht="7.5" customHeight="1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</row>
    <row r="195" ht="18.75" customHeight="1">
      <c r="A195" s="18" t="s">
        <v>1345</v>
      </c>
      <c r="B195" s="19" t="s">
        <v>1769</v>
      </c>
      <c r="C195" s="20"/>
      <c r="D195" s="18" t="s">
        <v>1346</v>
      </c>
      <c r="E195" s="19" t="s">
        <v>556</v>
      </c>
      <c r="F195" s="20"/>
      <c r="G195" s="18" t="s">
        <v>1347</v>
      </c>
      <c r="H195" s="19" t="s">
        <v>552</v>
      </c>
      <c r="I195" s="20"/>
      <c r="J195" s="18" t="s">
        <v>1197</v>
      </c>
      <c r="K195" s="19" t="s">
        <v>1770</v>
      </c>
      <c r="L195" s="20"/>
      <c r="M195" s="18" t="s">
        <v>1348</v>
      </c>
      <c r="N195" s="19" t="s">
        <v>554</v>
      </c>
      <c r="O195" s="20"/>
    </row>
    <row r="196" ht="180.0" customHeight="1">
      <c r="A196" s="21" t="str">
        <f>IMAGE("https://assets.tcgdex.net/de/sv/sv04.5/241/low.jpg", 1)</f>
        <v/>
      </c>
      <c r="B196" s="22"/>
      <c r="C196" s="20"/>
      <c r="D196" s="21" t="str">
        <f>IMAGE("https://assets.tcgdex.net/de/sv/sv04.5/242/low.jpg", 1)</f>
        <v/>
      </c>
      <c r="E196" s="22"/>
      <c r="F196" s="20"/>
      <c r="G196" s="21" t="str">
        <f>IMAGE("https://assets.tcgdex.net/de/sv/sv04.5/243/low.jpg", 1)</f>
        <v/>
      </c>
      <c r="H196" s="22"/>
      <c r="I196" s="20"/>
      <c r="J196" s="21" t="str">
        <f>IMAGE("https://assets.tcgdex.net/de/sv/sv04.5/244/low.jpg", 1)</f>
        <v/>
      </c>
      <c r="K196" s="22"/>
      <c r="L196" s="20"/>
      <c r="M196" s="21" t="str">
        <f>IMAGE("https://assets.tcgdex.net/de/sv/sv04.5/245/low.jpg", 1)</f>
        <v/>
      </c>
      <c r="N196" s="22"/>
      <c r="O196" s="20"/>
    </row>
    <row r="197" ht="22.5" customHeight="1">
      <c r="A197" s="23" t="b">
        <v>0</v>
      </c>
      <c r="B197" s="24" t="b">
        <v>0</v>
      </c>
      <c r="C197" s="25" t="str">
        <f>HYPERLINK("https://www.cardmarket.com/en/Pokemon/Products/Singles?idCategory=1&amp;idProduct=sv4pt5-241", "CM")</f>
        <v>CM</v>
      </c>
      <c r="D197" s="23" t="b">
        <v>0</v>
      </c>
      <c r="E197" s="24" t="b">
        <v>0</v>
      </c>
      <c r="F197" s="25" t="str">
        <f>HYPERLINK("https://www.cardmarket.com/en/Pokemon/Products/Singles?idCategory=1&amp;idProduct=sv4pt5-242", "CM")</f>
        <v>CM</v>
      </c>
      <c r="G197" s="23" t="b">
        <v>0</v>
      </c>
      <c r="H197" s="24" t="b">
        <v>0</v>
      </c>
      <c r="I197" s="25" t="str">
        <f>HYPERLINK("https://www.cardmarket.com/en/Pokemon/Products/Singles?idCategory=1&amp;idProduct=sv4pt5-243", "CM")</f>
        <v>CM</v>
      </c>
      <c r="J197" s="23" t="b">
        <v>0</v>
      </c>
      <c r="K197" s="24" t="b">
        <v>0</v>
      </c>
      <c r="L197" s="25" t="str">
        <f>HYPERLINK("https://www.cardmarket.com/en/Pokemon/Products/Singles?idCategory=1&amp;idProduct=sv4pt5-244", "CM")</f>
        <v>CM</v>
      </c>
      <c r="M197" s="23" t="b">
        <v>0</v>
      </c>
      <c r="N197" s="24" t="b">
        <v>0</v>
      </c>
      <c r="O197" s="25" t="str">
        <f>HYPERLINK("https://www.cardmarket.com/en/Pokemon/Products/Singles?idCategory=1&amp;idProduct=sv4pt5-245", "CM")</f>
        <v>CM</v>
      </c>
    </row>
    <row r="198" ht="7.5" customHeight="1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</row>
  </sheetData>
  <mergeCells count="492">
    <mergeCell ref="H3:I3"/>
    <mergeCell ref="K3:L3"/>
    <mergeCell ref="J4:L4"/>
    <mergeCell ref="N3:O3"/>
    <mergeCell ref="M4:O4"/>
    <mergeCell ref="A1:N1"/>
    <mergeCell ref="A2:O2"/>
    <mergeCell ref="B3:C3"/>
    <mergeCell ref="A4:C4"/>
    <mergeCell ref="E3:F3"/>
    <mergeCell ref="D4:F4"/>
    <mergeCell ref="G4:I4"/>
    <mergeCell ref="K7:L7"/>
    <mergeCell ref="N7:O7"/>
    <mergeCell ref="M8:O8"/>
    <mergeCell ref="B7:C7"/>
    <mergeCell ref="A8:C8"/>
    <mergeCell ref="E7:F7"/>
    <mergeCell ref="D8:F8"/>
    <mergeCell ref="H7:I7"/>
    <mergeCell ref="G8:I8"/>
    <mergeCell ref="J8:L8"/>
    <mergeCell ref="K11:L11"/>
    <mergeCell ref="N11:O11"/>
    <mergeCell ref="M12:O12"/>
    <mergeCell ref="B11:C11"/>
    <mergeCell ref="A12:C12"/>
    <mergeCell ref="E11:F11"/>
    <mergeCell ref="D12:F12"/>
    <mergeCell ref="H11:I11"/>
    <mergeCell ref="G12:I12"/>
    <mergeCell ref="J12:L12"/>
    <mergeCell ref="K27:L27"/>
    <mergeCell ref="N27:O27"/>
    <mergeCell ref="M28:O28"/>
    <mergeCell ref="B27:C27"/>
    <mergeCell ref="A28:C28"/>
    <mergeCell ref="E27:F27"/>
    <mergeCell ref="D28:F28"/>
    <mergeCell ref="H27:I27"/>
    <mergeCell ref="G28:I28"/>
    <mergeCell ref="J28:L28"/>
    <mergeCell ref="K31:L31"/>
    <mergeCell ref="N31:O31"/>
    <mergeCell ref="M32:O32"/>
    <mergeCell ref="B31:C31"/>
    <mergeCell ref="A32:C32"/>
    <mergeCell ref="E31:F31"/>
    <mergeCell ref="D32:F32"/>
    <mergeCell ref="H31:I31"/>
    <mergeCell ref="G32:I32"/>
    <mergeCell ref="J32:L32"/>
    <mergeCell ref="K35:L35"/>
    <mergeCell ref="N35:O35"/>
    <mergeCell ref="M36:O36"/>
    <mergeCell ref="B35:C35"/>
    <mergeCell ref="A36:C36"/>
    <mergeCell ref="E35:F35"/>
    <mergeCell ref="D36:F36"/>
    <mergeCell ref="H35:I35"/>
    <mergeCell ref="G36:I36"/>
    <mergeCell ref="J36:L36"/>
    <mergeCell ref="K39:L39"/>
    <mergeCell ref="N39:O39"/>
    <mergeCell ref="M40:O40"/>
    <mergeCell ref="B39:C39"/>
    <mergeCell ref="A40:C40"/>
    <mergeCell ref="E39:F39"/>
    <mergeCell ref="D40:F40"/>
    <mergeCell ref="H39:I39"/>
    <mergeCell ref="G40:I40"/>
    <mergeCell ref="J40:L40"/>
    <mergeCell ref="K43:L43"/>
    <mergeCell ref="N43:O43"/>
    <mergeCell ref="M44:O44"/>
    <mergeCell ref="B43:C43"/>
    <mergeCell ref="A44:C44"/>
    <mergeCell ref="E43:F43"/>
    <mergeCell ref="D44:F44"/>
    <mergeCell ref="H43:I43"/>
    <mergeCell ref="G44:I44"/>
    <mergeCell ref="J44:L44"/>
    <mergeCell ref="K47:L47"/>
    <mergeCell ref="N47:O47"/>
    <mergeCell ref="M48:O48"/>
    <mergeCell ref="B47:C47"/>
    <mergeCell ref="A48:C48"/>
    <mergeCell ref="E47:F47"/>
    <mergeCell ref="D48:F48"/>
    <mergeCell ref="H47:I47"/>
    <mergeCell ref="G48:I48"/>
    <mergeCell ref="J48:L48"/>
    <mergeCell ref="K51:L51"/>
    <mergeCell ref="N51:O51"/>
    <mergeCell ref="M52:O52"/>
    <mergeCell ref="B51:C51"/>
    <mergeCell ref="A52:C52"/>
    <mergeCell ref="E51:F51"/>
    <mergeCell ref="D52:F52"/>
    <mergeCell ref="H51:I51"/>
    <mergeCell ref="G52:I52"/>
    <mergeCell ref="J52:L52"/>
    <mergeCell ref="K55:L55"/>
    <mergeCell ref="N55:O55"/>
    <mergeCell ref="M56:O56"/>
    <mergeCell ref="B55:C55"/>
    <mergeCell ref="A56:C56"/>
    <mergeCell ref="E55:F55"/>
    <mergeCell ref="D56:F56"/>
    <mergeCell ref="H55:I55"/>
    <mergeCell ref="G56:I56"/>
    <mergeCell ref="J56:L56"/>
    <mergeCell ref="K59:L59"/>
    <mergeCell ref="N59:O59"/>
    <mergeCell ref="M60:O60"/>
    <mergeCell ref="B59:C59"/>
    <mergeCell ref="A60:C60"/>
    <mergeCell ref="E59:F59"/>
    <mergeCell ref="D60:F60"/>
    <mergeCell ref="H59:I59"/>
    <mergeCell ref="G60:I60"/>
    <mergeCell ref="J60:L60"/>
    <mergeCell ref="K63:L63"/>
    <mergeCell ref="N63:O63"/>
    <mergeCell ref="M64:O64"/>
    <mergeCell ref="B63:C63"/>
    <mergeCell ref="A64:C64"/>
    <mergeCell ref="E63:F63"/>
    <mergeCell ref="D64:F64"/>
    <mergeCell ref="H63:I63"/>
    <mergeCell ref="G64:I64"/>
    <mergeCell ref="J64:L64"/>
    <mergeCell ref="K67:L67"/>
    <mergeCell ref="N67:O67"/>
    <mergeCell ref="M68:O68"/>
    <mergeCell ref="B67:C67"/>
    <mergeCell ref="A68:C68"/>
    <mergeCell ref="E67:F67"/>
    <mergeCell ref="D68:F68"/>
    <mergeCell ref="H67:I67"/>
    <mergeCell ref="G68:I68"/>
    <mergeCell ref="J68:L68"/>
    <mergeCell ref="K71:L71"/>
    <mergeCell ref="N71:O71"/>
    <mergeCell ref="M72:O72"/>
    <mergeCell ref="B71:C71"/>
    <mergeCell ref="A72:C72"/>
    <mergeCell ref="E71:F71"/>
    <mergeCell ref="D72:F72"/>
    <mergeCell ref="H71:I71"/>
    <mergeCell ref="G72:I72"/>
    <mergeCell ref="J72:L72"/>
    <mergeCell ref="K75:L75"/>
    <mergeCell ref="N75:O75"/>
    <mergeCell ref="M76:O76"/>
    <mergeCell ref="B75:C75"/>
    <mergeCell ref="A76:C76"/>
    <mergeCell ref="E75:F75"/>
    <mergeCell ref="D76:F76"/>
    <mergeCell ref="H75:I75"/>
    <mergeCell ref="G76:I76"/>
    <mergeCell ref="J76:L76"/>
    <mergeCell ref="K79:L79"/>
    <mergeCell ref="N79:O79"/>
    <mergeCell ref="M80:O80"/>
    <mergeCell ref="B79:C79"/>
    <mergeCell ref="A80:C80"/>
    <mergeCell ref="E79:F79"/>
    <mergeCell ref="D80:F80"/>
    <mergeCell ref="H79:I79"/>
    <mergeCell ref="G80:I80"/>
    <mergeCell ref="J80:L80"/>
    <mergeCell ref="K83:L83"/>
    <mergeCell ref="N83:O83"/>
    <mergeCell ref="M84:O84"/>
    <mergeCell ref="B83:C83"/>
    <mergeCell ref="A84:C84"/>
    <mergeCell ref="E83:F83"/>
    <mergeCell ref="D84:F84"/>
    <mergeCell ref="H83:I83"/>
    <mergeCell ref="G84:I84"/>
    <mergeCell ref="J84:L84"/>
    <mergeCell ref="K87:L87"/>
    <mergeCell ref="N87:O87"/>
    <mergeCell ref="M88:O88"/>
    <mergeCell ref="B87:C87"/>
    <mergeCell ref="A88:C88"/>
    <mergeCell ref="E87:F87"/>
    <mergeCell ref="D88:F88"/>
    <mergeCell ref="H87:I87"/>
    <mergeCell ref="G88:I88"/>
    <mergeCell ref="J88:L88"/>
    <mergeCell ref="K91:L91"/>
    <mergeCell ref="N91:O91"/>
    <mergeCell ref="M92:O92"/>
    <mergeCell ref="B91:C91"/>
    <mergeCell ref="A92:C92"/>
    <mergeCell ref="E91:F91"/>
    <mergeCell ref="D92:F92"/>
    <mergeCell ref="H91:I91"/>
    <mergeCell ref="G92:I92"/>
    <mergeCell ref="J92:L92"/>
    <mergeCell ref="K95:L95"/>
    <mergeCell ref="N95:O95"/>
    <mergeCell ref="M96:O96"/>
    <mergeCell ref="B95:C95"/>
    <mergeCell ref="A96:C96"/>
    <mergeCell ref="E95:F95"/>
    <mergeCell ref="D96:F96"/>
    <mergeCell ref="H95:I95"/>
    <mergeCell ref="G96:I96"/>
    <mergeCell ref="J96:L96"/>
    <mergeCell ref="K99:L99"/>
    <mergeCell ref="N99:O99"/>
    <mergeCell ref="M100:O100"/>
    <mergeCell ref="B99:C99"/>
    <mergeCell ref="A100:C100"/>
    <mergeCell ref="E99:F99"/>
    <mergeCell ref="D100:F100"/>
    <mergeCell ref="H99:I99"/>
    <mergeCell ref="G100:I100"/>
    <mergeCell ref="J100:L100"/>
    <mergeCell ref="K103:L103"/>
    <mergeCell ref="N103:O103"/>
    <mergeCell ref="M104:O104"/>
    <mergeCell ref="B103:C103"/>
    <mergeCell ref="A104:C104"/>
    <mergeCell ref="E103:F103"/>
    <mergeCell ref="D104:F104"/>
    <mergeCell ref="H103:I103"/>
    <mergeCell ref="G104:I104"/>
    <mergeCell ref="J104:L104"/>
    <mergeCell ref="K107:L107"/>
    <mergeCell ref="N107:O107"/>
    <mergeCell ref="M108:O108"/>
    <mergeCell ref="B107:C107"/>
    <mergeCell ref="A108:C108"/>
    <mergeCell ref="E107:F107"/>
    <mergeCell ref="D108:F108"/>
    <mergeCell ref="H107:I107"/>
    <mergeCell ref="G108:I108"/>
    <mergeCell ref="J108:L108"/>
    <mergeCell ref="K111:L111"/>
    <mergeCell ref="N111:O111"/>
    <mergeCell ref="M112:O112"/>
    <mergeCell ref="B111:C111"/>
    <mergeCell ref="A112:C112"/>
    <mergeCell ref="E111:F111"/>
    <mergeCell ref="D112:F112"/>
    <mergeCell ref="H111:I111"/>
    <mergeCell ref="G112:I112"/>
    <mergeCell ref="J112:L112"/>
    <mergeCell ref="K115:L115"/>
    <mergeCell ref="N115:O115"/>
    <mergeCell ref="M116:O116"/>
    <mergeCell ref="B115:C115"/>
    <mergeCell ref="A116:C116"/>
    <mergeCell ref="E115:F115"/>
    <mergeCell ref="D116:F116"/>
    <mergeCell ref="H115:I115"/>
    <mergeCell ref="G116:I116"/>
    <mergeCell ref="J116:L116"/>
    <mergeCell ref="K119:L119"/>
    <mergeCell ref="N119:O119"/>
    <mergeCell ref="M120:O120"/>
    <mergeCell ref="B119:C119"/>
    <mergeCell ref="A120:C120"/>
    <mergeCell ref="E119:F119"/>
    <mergeCell ref="D120:F120"/>
    <mergeCell ref="H119:I119"/>
    <mergeCell ref="G120:I120"/>
    <mergeCell ref="J120:L120"/>
    <mergeCell ref="K123:L123"/>
    <mergeCell ref="N123:O123"/>
    <mergeCell ref="M124:O124"/>
    <mergeCell ref="B123:C123"/>
    <mergeCell ref="A124:C124"/>
    <mergeCell ref="E123:F123"/>
    <mergeCell ref="D124:F124"/>
    <mergeCell ref="H123:I123"/>
    <mergeCell ref="G124:I124"/>
    <mergeCell ref="J124:L124"/>
    <mergeCell ref="K127:L127"/>
    <mergeCell ref="N127:O127"/>
    <mergeCell ref="M128:O128"/>
    <mergeCell ref="B127:C127"/>
    <mergeCell ref="A128:C128"/>
    <mergeCell ref="E127:F127"/>
    <mergeCell ref="D128:F128"/>
    <mergeCell ref="H127:I127"/>
    <mergeCell ref="G128:I128"/>
    <mergeCell ref="J128:L128"/>
    <mergeCell ref="K131:L131"/>
    <mergeCell ref="N131:O131"/>
    <mergeCell ref="M132:O132"/>
    <mergeCell ref="B131:C131"/>
    <mergeCell ref="A132:C132"/>
    <mergeCell ref="E131:F131"/>
    <mergeCell ref="D132:F132"/>
    <mergeCell ref="H131:I131"/>
    <mergeCell ref="G132:I132"/>
    <mergeCell ref="J132:L132"/>
    <mergeCell ref="K135:L135"/>
    <mergeCell ref="N135:O135"/>
    <mergeCell ref="M136:O136"/>
    <mergeCell ref="B135:C135"/>
    <mergeCell ref="A136:C136"/>
    <mergeCell ref="E135:F135"/>
    <mergeCell ref="D136:F136"/>
    <mergeCell ref="H135:I135"/>
    <mergeCell ref="G136:I136"/>
    <mergeCell ref="J136:L136"/>
    <mergeCell ref="K139:L139"/>
    <mergeCell ref="N139:O139"/>
    <mergeCell ref="M140:O140"/>
    <mergeCell ref="B139:C139"/>
    <mergeCell ref="A140:C140"/>
    <mergeCell ref="E139:F139"/>
    <mergeCell ref="D140:F140"/>
    <mergeCell ref="H139:I139"/>
    <mergeCell ref="G140:I140"/>
    <mergeCell ref="J140:L140"/>
    <mergeCell ref="K143:L143"/>
    <mergeCell ref="N143:O143"/>
    <mergeCell ref="M144:O144"/>
    <mergeCell ref="B143:C143"/>
    <mergeCell ref="A144:C144"/>
    <mergeCell ref="E143:F143"/>
    <mergeCell ref="D144:F144"/>
    <mergeCell ref="H143:I143"/>
    <mergeCell ref="G144:I144"/>
    <mergeCell ref="J144:L144"/>
    <mergeCell ref="K147:L147"/>
    <mergeCell ref="N147:O147"/>
    <mergeCell ref="M148:O148"/>
    <mergeCell ref="B147:C147"/>
    <mergeCell ref="A148:C148"/>
    <mergeCell ref="E147:F147"/>
    <mergeCell ref="D148:F148"/>
    <mergeCell ref="H147:I147"/>
    <mergeCell ref="G148:I148"/>
    <mergeCell ref="J148:L148"/>
    <mergeCell ref="K151:L151"/>
    <mergeCell ref="N151:O151"/>
    <mergeCell ref="M152:O152"/>
    <mergeCell ref="B151:C151"/>
    <mergeCell ref="A152:C152"/>
    <mergeCell ref="E151:F151"/>
    <mergeCell ref="D152:F152"/>
    <mergeCell ref="H151:I151"/>
    <mergeCell ref="G152:I152"/>
    <mergeCell ref="J152:L152"/>
    <mergeCell ref="K155:L155"/>
    <mergeCell ref="N155:O155"/>
    <mergeCell ref="M156:O156"/>
    <mergeCell ref="B155:C155"/>
    <mergeCell ref="A156:C156"/>
    <mergeCell ref="E155:F155"/>
    <mergeCell ref="D156:F156"/>
    <mergeCell ref="H155:I155"/>
    <mergeCell ref="G156:I156"/>
    <mergeCell ref="J156:L156"/>
    <mergeCell ref="K159:L159"/>
    <mergeCell ref="N159:O159"/>
    <mergeCell ref="M160:O160"/>
    <mergeCell ref="B159:C159"/>
    <mergeCell ref="A160:C160"/>
    <mergeCell ref="E159:F159"/>
    <mergeCell ref="D160:F160"/>
    <mergeCell ref="H159:I159"/>
    <mergeCell ref="G160:I160"/>
    <mergeCell ref="J160:L160"/>
    <mergeCell ref="K191:L191"/>
    <mergeCell ref="N191:O191"/>
    <mergeCell ref="M192:O192"/>
    <mergeCell ref="B191:C191"/>
    <mergeCell ref="A192:C192"/>
    <mergeCell ref="E191:F191"/>
    <mergeCell ref="D192:F192"/>
    <mergeCell ref="H191:I191"/>
    <mergeCell ref="G192:I192"/>
    <mergeCell ref="J192:L192"/>
    <mergeCell ref="K15:L15"/>
    <mergeCell ref="N15:O15"/>
    <mergeCell ref="M16:O16"/>
    <mergeCell ref="B15:C15"/>
    <mergeCell ref="A16:C16"/>
    <mergeCell ref="E15:F15"/>
    <mergeCell ref="D16:F16"/>
    <mergeCell ref="H15:I15"/>
    <mergeCell ref="G16:I16"/>
    <mergeCell ref="J16:L16"/>
    <mergeCell ref="K19:L19"/>
    <mergeCell ref="N19:O19"/>
    <mergeCell ref="M20:O20"/>
    <mergeCell ref="B19:C19"/>
    <mergeCell ref="A20:C20"/>
    <mergeCell ref="E19:F19"/>
    <mergeCell ref="D20:F20"/>
    <mergeCell ref="H19:I19"/>
    <mergeCell ref="G20:I20"/>
    <mergeCell ref="J20:L20"/>
    <mergeCell ref="K23:L23"/>
    <mergeCell ref="N23:O23"/>
    <mergeCell ref="M24:O24"/>
    <mergeCell ref="B23:C23"/>
    <mergeCell ref="A24:C24"/>
    <mergeCell ref="E23:F23"/>
    <mergeCell ref="D24:F24"/>
    <mergeCell ref="H23:I23"/>
    <mergeCell ref="G24:I24"/>
    <mergeCell ref="J24:L24"/>
    <mergeCell ref="K195:L195"/>
    <mergeCell ref="N195:O195"/>
    <mergeCell ref="M196:O196"/>
    <mergeCell ref="B195:C195"/>
    <mergeCell ref="A196:C196"/>
    <mergeCell ref="E195:F195"/>
    <mergeCell ref="D196:F196"/>
    <mergeCell ref="H195:I195"/>
    <mergeCell ref="G196:I196"/>
    <mergeCell ref="J196:L196"/>
    <mergeCell ref="K163:L163"/>
    <mergeCell ref="N163:O163"/>
    <mergeCell ref="M164:O164"/>
    <mergeCell ref="B163:C163"/>
    <mergeCell ref="A164:C164"/>
    <mergeCell ref="E163:F163"/>
    <mergeCell ref="D164:F164"/>
    <mergeCell ref="H163:I163"/>
    <mergeCell ref="G164:I164"/>
    <mergeCell ref="J164:L164"/>
    <mergeCell ref="K167:L167"/>
    <mergeCell ref="N167:O167"/>
    <mergeCell ref="M168:O168"/>
    <mergeCell ref="B167:C167"/>
    <mergeCell ref="A168:C168"/>
    <mergeCell ref="E167:F167"/>
    <mergeCell ref="D168:F168"/>
    <mergeCell ref="H167:I167"/>
    <mergeCell ref="G168:I168"/>
    <mergeCell ref="J168:L168"/>
    <mergeCell ref="K171:L171"/>
    <mergeCell ref="N171:O171"/>
    <mergeCell ref="M172:O172"/>
    <mergeCell ref="B171:C171"/>
    <mergeCell ref="A172:C172"/>
    <mergeCell ref="E171:F171"/>
    <mergeCell ref="D172:F172"/>
    <mergeCell ref="H171:I171"/>
    <mergeCell ref="G172:I172"/>
    <mergeCell ref="J172:L172"/>
    <mergeCell ref="K175:L175"/>
    <mergeCell ref="N175:O175"/>
    <mergeCell ref="M176:O176"/>
    <mergeCell ref="B175:C175"/>
    <mergeCell ref="A176:C176"/>
    <mergeCell ref="E175:F175"/>
    <mergeCell ref="D176:F176"/>
    <mergeCell ref="H175:I175"/>
    <mergeCell ref="G176:I176"/>
    <mergeCell ref="J176:L176"/>
    <mergeCell ref="K179:L179"/>
    <mergeCell ref="N179:O179"/>
    <mergeCell ref="M180:O180"/>
    <mergeCell ref="B179:C179"/>
    <mergeCell ref="A180:C180"/>
    <mergeCell ref="E179:F179"/>
    <mergeCell ref="D180:F180"/>
    <mergeCell ref="H179:I179"/>
    <mergeCell ref="G180:I180"/>
    <mergeCell ref="J180:L180"/>
    <mergeCell ref="K183:L183"/>
    <mergeCell ref="N183:O183"/>
    <mergeCell ref="M184:O184"/>
    <mergeCell ref="B183:C183"/>
    <mergeCell ref="A184:C184"/>
    <mergeCell ref="E183:F183"/>
    <mergeCell ref="D184:F184"/>
    <mergeCell ref="H183:I183"/>
    <mergeCell ref="G184:I184"/>
    <mergeCell ref="J184:L184"/>
    <mergeCell ref="K187:L187"/>
    <mergeCell ref="N187:O187"/>
    <mergeCell ref="M188:O188"/>
    <mergeCell ref="B187:C187"/>
    <mergeCell ref="A188:C188"/>
    <mergeCell ref="E187:F187"/>
    <mergeCell ref="D188:F188"/>
    <mergeCell ref="H187:I187"/>
    <mergeCell ref="G188:I188"/>
    <mergeCell ref="J188:L188"/>
  </mergeCells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.13"/>
    <col customWidth="1" min="3" max="3" width="12.63"/>
    <col customWidth="1" min="4" max="5" width="5.13"/>
    <col customWidth="1" min="6" max="6" width="12.63"/>
    <col customWidth="1" min="7" max="8" width="5.13"/>
    <col customWidth="1" min="9" max="9" width="12.63"/>
    <col customWidth="1" min="10" max="11" width="5.13"/>
    <col customWidth="1" min="12" max="12" width="12.63"/>
    <col customWidth="1" min="13" max="14" width="5.13"/>
    <col customWidth="1" min="15" max="15" width="12.63"/>
  </cols>
  <sheetData>
    <row r="1" ht="18.75" customHeight="1">
      <c r="A1" s="16" t="s">
        <v>1771</v>
      </c>
      <c r="O1" s="17" t="b">
        <v>0</v>
      </c>
    </row>
    <row r="2" ht="18.75" customHeight="1">
      <c r="A2" s="3" t="s">
        <v>1772</v>
      </c>
    </row>
    <row r="3" ht="18.75" customHeight="1">
      <c r="A3" s="18" t="s">
        <v>736</v>
      </c>
      <c r="B3" s="19" t="s">
        <v>911</v>
      </c>
      <c r="C3" s="20"/>
      <c r="D3" s="18" t="s">
        <v>739</v>
      </c>
      <c r="E3" s="19" t="s">
        <v>1773</v>
      </c>
      <c r="F3" s="20"/>
      <c r="G3" s="18" t="s">
        <v>740</v>
      </c>
      <c r="H3" s="19" t="s">
        <v>1774</v>
      </c>
      <c r="I3" s="20"/>
      <c r="J3" s="18" t="s">
        <v>742</v>
      </c>
      <c r="K3" s="19" t="s">
        <v>1775</v>
      </c>
      <c r="L3" s="20"/>
      <c r="M3" s="18" t="s">
        <v>529</v>
      </c>
      <c r="N3" s="19" t="s">
        <v>1243</v>
      </c>
      <c r="O3" s="20"/>
    </row>
    <row r="4" ht="180.0" customHeight="1">
      <c r="A4" s="21" t="str">
        <f>IMAGE("https://assets.tcgdex.net/de/sv/sv05/001/low.jpg", 1)</f>
        <v/>
      </c>
      <c r="B4" s="22"/>
      <c r="C4" s="20"/>
      <c r="D4" s="21" t="str">
        <f>IMAGE("https://assets.tcgdex.net/de/sv/sv05/003/low.jpg", 1)</f>
        <v/>
      </c>
      <c r="E4" s="22"/>
      <c r="F4" s="20"/>
      <c r="G4" s="21" t="str">
        <f>IMAGE("https://assets.tcgdex.net/de/sv/sv05/004/low.jpg", 1)</f>
        <v/>
      </c>
      <c r="H4" s="22"/>
      <c r="I4" s="20"/>
      <c r="J4" s="21" t="str">
        <f>IMAGE("https://assets.tcgdex.net/de/sv/sv05/005/low.jpg", 1)</f>
        <v/>
      </c>
      <c r="K4" s="22"/>
      <c r="L4" s="20"/>
      <c r="M4" s="21" t="str">
        <f>IMAGE("https://assets.tcgdex.net/de/sv/sv05/006/low.jpg", 1)</f>
        <v/>
      </c>
      <c r="N4" s="22"/>
      <c r="O4" s="20"/>
    </row>
    <row r="5" ht="22.5" customHeight="1">
      <c r="A5" s="23" t="b">
        <v>0</v>
      </c>
      <c r="B5" s="24" t="b">
        <v>0</v>
      </c>
      <c r="C5" s="25" t="str">
        <f>HYPERLINK("https://www.cardmarket.com/en/Pokemon/Products/Singles?idCategory=1&amp;idProduct=sv5-1", "CM")</f>
        <v>CM</v>
      </c>
      <c r="D5" s="23" t="b">
        <v>0</v>
      </c>
      <c r="E5" s="24" t="b">
        <v>0</v>
      </c>
      <c r="F5" s="25" t="str">
        <f>HYPERLINK("https://www.cardmarket.com/en/Pokemon/Products/Singles?idCategory=1&amp;idProduct=sv5-3", "CM")</f>
        <v>CM</v>
      </c>
      <c r="G5" s="23" t="b">
        <v>0</v>
      </c>
      <c r="H5" s="24" t="b">
        <v>0</v>
      </c>
      <c r="I5" s="25" t="str">
        <f>HYPERLINK("https://www.cardmarket.com/en/Pokemon/Products/Singles?idCategory=1&amp;idProduct=sv5-4", "CM")</f>
        <v>CM</v>
      </c>
      <c r="J5" s="23" t="b">
        <v>0</v>
      </c>
      <c r="K5" s="24" t="b">
        <v>0</v>
      </c>
      <c r="L5" s="25" t="str">
        <f>HYPERLINK("https://www.cardmarket.com/en/Pokemon/Products/Singles?idCategory=1&amp;idProduct=sv5-5", "CM")</f>
        <v>CM</v>
      </c>
      <c r="M5" s="23" t="b">
        <v>0</v>
      </c>
      <c r="N5" s="24" t="b">
        <v>0</v>
      </c>
      <c r="O5" s="25" t="str">
        <f>HYPERLINK("https://www.cardmarket.com/en/Pokemon/Products/Singles?idCategory=1&amp;idProduct=sv5-6", "CM")</f>
        <v>CM</v>
      </c>
    </row>
    <row r="6" ht="7.5" customHeight="1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</row>
    <row r="7" ht="18.75" customHeight="1">
      <c r="A7" s="18" t="s">
        <v>744</v>
      </c>
      <c r="B7" s="19" t="s">
        <v>1244</v>
      </c>
      <c r="C7" s="20"/>
      <c r="D7" s="18" t="s">
        <v>531</v>
      </c>
      <c r="E7" s="19" t="s">
        <v>1776</v>
      </c>
      <c r="F7" s="20"/>
      <c r="G7" s="18" t="s">
        <v>746</v>
      </c>
      <c r="H7" s="19" t="s">
        <v>1777</v>
      </c>
      <c r="I7" s="20"/>
      <c r="J7" s="18" t="s">
        <v>748</v>
      </c>
      <c r="K7" s="19" t="s">
        <v>1778</v>
      </c>
      <c r="L7" s="20"/>
      <c r="M7" s="18" t="s">
        <v>750</v>
      </c>
      <c r="N7" s="19" t="s">
        <v>1779</v>
      </c>
      <c r="O7" s="20"/>
    </row>
    <row r="8" ht="180.0" customHeight="1">
      <c r="A8" s="21" t="str">
        <f>IMAGE("https://assets.tcgdex.net/de/sv/sv05/007/low.jpg", 1)</f>
        <v/>
      </c>
      <c r="B8" s="22"/>
      <c r="C8" s="20"/>
      <c r="D8" s="21" t="str">
        <f>IMAGE("https://assets.tcgdex.net/de/sv/sv05/008/low.jpg", 1)</f>
        <v/>
      </c>
      <c r="E8" s="22"/>
      <c r="F8" s="20"/>
      <c r="G8" s="21" t="str">
        <f>IMAGE("https://assets.tcgdex.net/de/sv/sv05/009/low.jpg", 1)</f>
        <v/>
      </c>
      <c r="H8" s="22"/>
      <c r="I8" s="20"/>
      <c r="J8" s="21" t="str">
        <f>IMAGE("https://assets.tcgdex.net/de/sv/sv05/010/low.jpg", 1)</f>
        <v/>
      </c>
      <c r="K8" s="22"/>
      <c r="L8" s="20"/>
      <c r="M8" s="21" t="str">
        <f>IMAGE("https://assets.tcgdex.net/de/sv/sv05/011/low.jpg", 1)</f>
        <v/>
      </c>
      <c r="N8" s="22"/>
      <c r="O8" s="20"/>
    </row>
    <row r="9" ht="22.5" customHeight="1">
      <c r="A9" s="23" t="b">
        <v>0</v>
      </c>
      <c r="B9" s="24" t="b">
        <v>0</v>
      </c>
      <c r="C9" s="25" t="str">
        <f>HYPERLINK("https://www.cardmarket.com/en/Pokemon/Products/Singles?idCategory=1&amp;idProduct=sv5-7", "CM")</f>
        <v>CM</v>
      </c>
      <c r="D9" s="23" t="b">
        <v>0</v>
      </c>
      <c r="E9" s="24" t="b">
        <v>0</v>
      </c>
      <c r="F9" s="25" t="str">
        <f>HYPERLINK("https://www.cardmarket.com/en/Pokemon/Products/Singles?idCategory=1&amp;idProduct=sv5-8", "CM")</f>
        <v>CM</v>
      </c>
      <c r="G9" s="23" t="b">
        <v>0</v>
      </c>
      <c r="H9" s="24" t="b">
        <v>0</v>
      </c>
      <c r="I9" s="25" t="str">
        <f>HYPERLINK("https://www.cardmarket.com/en/Pokemon/Products/Singles?idCategory=1&amp;idProduct=sv5-9", "CM")</f>
        <v>CM</v>
      </c>
      <c r="J9" s="23" t="b">
        <v>0</v>
      </c>
      <c r="K9" s="24" t="b">
        <v>0</v>
      </c>
      <c r="L9" s="25" t="str">
        <f>HYPERLINK("https://www.cardmarket.com/en/Pokemon/Products/Singles?idCategory=1&amp;idProduct=sv5-10", "CM")</f>
        <v>CM</v>
      </c>
      <c r="M9" s="23" t="b">
        <v>0</v>
      </c>
      <c r="N9" s="24" t="b">
        <v>0</v>
      </c>
      <c r="O9" s="25" t="str">
        <f>HYPERLINK("https://www.cardmarket.com/en/Pokemon/Products/Singles?idCategory=1&amp;idProduct=sv5-11", "CM")</f>
        <v>CM</v>
      </c>
    </row>
    <row r="10" ht="7.5" customHeight="1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</row>
    <row r="11" ht="18.75" customHeight="1">
      <c r="A11" s="18" t="s">
        <v>752</v>
      </c>
      <c r="B11" s="19" t="s">
        <v>1780</v>
      </c>
      <c r="C11" s="20"/>
      <c r="D11" s="18" t="s">
        <v>754</v>
      </c>
      <c r="E11" s="19" t="s">
        <v>1024</v>
      </c>
      <c r="F11" s="20"/>
      <c r="G11" s="18" t="s">
        <v>755</v>
      </c>
      <c r="H11" s="19" t="s">
        <v>1737</v>
      </c>
      <c r="I11" s="20"/>
      <c r="J11" s="18" t="s">
        <v>533</v>
      </c>
      <c r="K11" s="19" t="s">
        <v>1738</v>
      </c>
      <c r="L11" s="20"/>
      <c r="M11" s="18" t="s">
        <v>535</v>
      </c>
      <c r="N11" s="19" t="s">
        <v>1781</v>
      </c>
      <c r="O11" s="20"/>
    </row>
    <row r="12" ht="180.0" customHeight="1">
      <c r="A12" s="21" t="str">
        <f>IMAGE("https://assets.tcgdex.net/de/sv/sv05/012/low.jpg", 1)</f>
        <v/>
      </c>
      <c r="B12" s="22"/>
      <c r="C12" s="20"/>
      <c r="D12" s="21" t="str">
        <f>IMAGE("https://assets.tcgdex.net/de/sv/sv05/013/low.jpg", 1)</f>
        <v/>
      </c>
      <c r="E12" s="22"/>
      <c r="F12" s="20"/>
      <c r="G12" s="21" t="str">
        <f>IMAGE("https://assets.tcgdex.net/de/sv/sv05/014/low.jpg", 1)</f>
        <v/>
      </c>
      <c r="H12" s="22"/>
      <c r="I12" s="20"/>
      <c r="J12" s="21" t="str">
        <f>IMAGE("https://assets.tcgdex.net/de/sv/sv05/015/low.jpg", 1)</f>
        <v/>
      </c>
      <c r="K12" s="22"/>
      <c r="L12" s="20"/>
      <c r="M12" s="21" t="str">
        <f>IMAGE("https://assets.tcgdex.net/de/sv/sv05/016/low.jpg", 1)</f>
        <v/>
      </c>
      <c r="N12" s="22"/>
      <c r="O12" s="20"/>
    </row>
    <row r="13" ht="22.5" customHeight="1">
      <c r="A13" s="23" t="b">
        <v>0</v>
      </c>
      <c r="B13" s="24" t="b">
        <v>0</v>
      </c>
      <c r="C13" s="25" t="str">
        <f>HYPERLINK("https://www.cardmarket.com/en/Pokemon/Products/Singles?idCategory=1&amp;idProduct=sv5-12", "CM")</f>
        <v>CM</v>
      </c>
      <c r="D13" s="23" t="b">
        <v>0</v>
      </c>
      <c r="E13" s="24" t="b">
        <v>0</v>
      </c>
      <c r="F13" s="25" t="str">
        <f>HYPERLINK("https://www.cardmarket.com/en/Pokemon/Products/Singles?idCategory=1&amp;idProduct=sv5-13", "CM")</f>
        <v>CM</v>
      </c>
      <c r="G13" s="23" t="b">
        <v>0</v>
      </c>
      <c r="H13" s="24" t="b">
        <v>0</v>
      </c>
      <c r="I13" s="25" t="str">
        <f>HYPERLINK("https://www.cardmarket.com/en/Pokemon/Products/Singles?idCategory=1&amp;idProduct=sv5-14", "CM")</f>
        <v>CM</v>
      </c>
      <c r="J13" s="23" t="b">
        <v>0</v>
      </c>
      <c r="K13" s="24" t="b">
        <v>0</v>
      </c>
      <c r="L13" s="25" t="str">
        <f>HYPERLINK("https://www.cardmarket.com/en/Pokemon/Products/Singles?idCategory=1&amp;idProduct=sv5-15", "CM")</f>
        <v>CM</v>
      </c>
      <c r="M13" s="23" t="b">
        <v>0</v>
      </c>
      <c r="N13" s="24" t="b">
        <v>0</v>
      </c>
      <c r="O13" s="25" t="str">
        <f>HYPERLINK("https://www.cardmarket.com/en/Pokemon/Products/Singles?idCategory=1&amp;idProduct=sv5-16", "CM")</f>
        <v>CM</v>
      </c>
    </row>
    <row r="14" ht="7.5" customHeight="1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</row>
    <row r="15" ht="18.75" customHeight="1">
      <c r="A15" s="18" t="s">
        <v>537</v>
      </c>
      <c r="B15" s="19" t="s">
        <v>1782</v>
      </c>
      <c r="C15" s="20"/>
      <c r="D15" s="18" t="s">
        <v>756</v>
      </c>
      <c r="E15" s="19" t="s">
        <v>965</v>
      </c>
      <c r="F15" s="20"/>
      <c r="G15" s="18" t="s">
        <v>539</v>
      </c>
      <c r="H15" s="19" t="s">
        <v>1783</v>
      </c>
      <c r="I15" s="20"/>
      <c r="J15" s="18" t="s">
        <v>541</v>
      </c>
      <c r="K15" s="19" t="s">
        <v>1784</v>
      </c>
      <c r="L15" s="20"/>
      <c r="M15" s="18" t="s">
        <v>543</v>
      </c>
      <c r="N15" s="19" t="s">
        <v>1785</v>
      </c>
      <c r="O15" s="20"/>
    </row>
    <row r="16" ht="180.0" customHeight="1">
      <c r="A16" s="21" t="str">
        <f>IMAGE("https://assets.tcgdex.net/de/sv/sv05/017/low.jpg", 1)</f>
        <v/>
      </c>
      <c r="B16" s="22"/>
      <c r="C16" s="20"/>
      <c r="D16" s="21" t="str">
        <f>IMAGE("https://assets.tcgdex.net/de/sv/sv05/018/low.jpg", 1)</f>
        <v/>
      </c>
      <c r="E16" s="22"/>
      <c r="F16" s="20"/>
      <c r="G16" s="21" t="str">
        <f>IMAGE("https://assets.tcgdex.net/de/sv/sv05/019/low.jpg", 1)</f>
        <v/>
      </c>
      <c r="H16" s="22"/>
      <c r="I16" s="20"/>
      <c r="J16" s="21" t="str">
        <f>IMAGE("https://assets.tcgdex.net/de/sv/sv05/020/low.jpg", 1)</f>
        <v/>
      </c>
      <c r="K16" s="22"/>
      <c r="L16" s="20"/>
      <c r="M16" s="21" t="str">
        <f>IMAGE("https://assets.tcgdex.net/de/sv/sv05/021/low.jpg", 1)</f>
        <v/>
      </c>
      <c r="N16" s="22"/>
      <c r="O16" s="20"/>
    </row>
    <row r="17" ht="22.5" customHeight="1">
      <c r="A17" s="23" t="b">
        <v>0</v>
      </c>
      <c r="B17" s="24" t="b">
        <v>0</v>
      </c>
      <c r="C17" s="25" t="str">
        <f>HYPERLINK("https://www.cardmarket.com/en/Pokemon/Products/Singles?idCategory=1&amp;idProduct=sv5-17", "CM")</f>
        <v>CM</v>
      </c>
      <c r="D17" s="23" t="b">
        <v>0</v>
      </c>
      <c r="E17" s="24" t="b">
        <v>0</v>
      </c>
      <c r="F17" s="25" t="str">
        <f>HYPERLINK("https://www.cardmarket.com/en/Pokemon/Products/Singles?idCategory=1&amp;idProduct=sv5-18", "CM")</f>
        <v>CM</v>
      </c>
      <c r="G17" s="23" t="b">
        <v>0</v>
      </c>
      <c r="H17" s="24" t="b">
        <v>0</v>
      </c>
      <c r="I17" s="25" t="str">
        <f>HYPERLINK("https://www.cardmarket.com/en/Pokemon/Products/Singles?idCategory=1&amp;idProduct=sv5-19", "CM")</f>
        <v>CM</v>
      </c>
      <c r="J17" s="23" t="b">
        <v>0</v>
      </c>
      <c r="K17" s="24" t="b">
        <v>0</v>
      </c>
      <c r="L17" s="25" t="str">
        <f>HYPERLINK("https://www.cardmarket.com/en/Pokemon/Products/Singles?idCategory=1&amp;idProduct=sv5-20", "CM")</f>
        <v>CM</v>
      </c>
      <c r="M17" s="23" t="b">
        <v>0</v>
      </c>
      <c r="N17" s="24" t="b">
        <v>0</v>
      </c>
      <c r="O17" s="25" t="str">
        <f>HYPERLINK("https://www.cardmarket.com/en/Pokemon/Products/Singles?idCategory=1&amp;idProduct=sv5-21", "CM")</f>
        <v>CM</v>
      </c>
    </row>
    <row r="18" ht="7.5" customHeight="1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</row>
    <row r="19" ht="18.75" customHeight="1">
      <c r="A19" s="18" t="s">
        <v>545</v>
      </c>
      <c r="B19" s="19" t="s">
        <v>1786</v>
      </c>
      <c r="C19" s="20"/>
      <c r="D19" s="18" t="s">
        <v>547</v>
      </c>
      <c r="E19" s="19" t="s">
        <v>1759</v>
      </c>
      <c r="F19" s="20"/>
      <c r="G19" s="18" t="s">
        <v>549</v>
      </c>
      <c r="H19" s="19" t="s">
        <v>1762</v>
      </c>
      <c r="I19" s="20"/>
      <c r="J19" s="18" t="s">
        <v>758</v>
      </c>
      <c r="K19" s="19" t="s">
        <v>838</v>
      </c>
      <c r="L19" s="20"/>
      <c r="M19" s="18" t="s">
        <v>760</v>
      </c>
      <c r="N19" s="19" t="s">
        <v>1531</v>
      </c>
      <c r="O19" s="20"/>
    </row>
    <row r="20" ht="180.0" customHeight="1">
      <c r="A20" s="21" t="str">
        <f>IMAGE("https://assets.tcgdex.net/de/sv/sv05/022/low.jpg", 1)</f>
        <v/>
      </c>
      <c r="B20" s="22"/>
      <c r="C20" s="20"/>
      <c r="D20" s="21" t="str">
        <f>IMAGE("https://assets.tcgdex.net/de/sv/sv05/023/low.jpg", 1)</f>
        <v/>
      </c>
      <c r="E20" s="22"/>
      <c r="F20" s="20"/>
      <c r="G20" s="21" t="str">
        <f>IMAGE("https://assets.tcgdex.net/de/sv/sv05/024/low.jpg", 1)</f>
        <v/>
      </c>
      <c r="H20" s="22"/>
      <c r="I20" s="20"/>
      <c r="J20" s="21" t="str">
        <f>IMAGE("https://assets.tcgdex.net/de/sv/sv05/025/low.jpg", 1)</f>
        <v/>
      </c>
      <c r="K20" s="22"/>
      <c r="L20" s="20"/>
      <c r="M20" s="21" t="str">
        <f>IMAGE("https://assets.tcgdex.net/de/sv/sv05/026/low.jpg", 1)</f>
        <v/>
      </c>
      <c r="N20" s="22"/>
      <c r="O20" s="20"/>
    </row>
    <row r="21" ht="22.5" customHeight="1">
      <c r="A21" s="23" t="b">
        <v>0</v>
      </c>
      <c r="B21" s="24" t="b">
        <v>0</v>
      </c>
      <c r="C21" s="25" t="str">
        <f>HYPERLINK("https://www.cardmarket.com/en/Pokemon/Products/Singles?idCategory=1&amp;idProduct=sv5-22", "CM")</f>
        <v>CM</v>
      </c>
      <c r="D21" s="23" t="b">
        <v>0</v>
      </c>
      <c r="E21" s="24" t="b">
        <v>0</v>
      </c>
      <c r="F21" s="25" t="str">
        <f>HYPERLINK("https://www.cardmarket.com/en/Pokemon/Products/Singles?idCategory=1&amp;idProduct=sv5-23", "CM")</f>
        <v>CM</v>
      </c>
      <c r="G21" s="23" t="b">
        <v>0</v>
      </c>
      <c r="H21" s="24" t="b">
        <v>0</v>
      </c>
      <c r="I21" s="25" t="str">
        <f>HYPERLINK("https://www.cardmarket.com/en/Pokemon/Products/Singles?idCategory=1&amp;idProduct=sv5-24", "CM")</f>
        <v>CM</v>
      </c>
      <c r="J21" s="23" t="b">
        <v>0</v>
      </c>
      <c r="K21" s="24" t="b">
        <v>0</v>
      </c>
      <c r="L21" s="25" t="str">
        <f>HYPERLINK("https://www.cardmarket.com/en/Pokemon/Products/Singles?idCategory=1&amp;idProduct=sv5-25", "CM")</f>
        <v>CM</v>
      </c>
      <c r="M21" s="23" t="b">
        <v>0</v>
      </c>
      <c r="N21" s="24" t="b">
        <v>0</v>
      </c>
      <c r="O21" s="25" t="str">
        <f>HYPERLINK("https://www.cardmarket.com/en/Pokemon/Products/Singles?idCategory=1&amp;idProduct=sv5-26", "CM")</f>
        <v>CM</v>
      </c>
    </row>
    <row r="22" ht="7.5" customHeight="1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</row>
    <row r="23" ht="18.75" customHeight="1">
      <c r="A23" s="18" t="s">
        <v>762</v>
      </c>
      <c r="B23" s="19" t="s">
        <v>1532</v>
      </c>
      <c r="C23" s="20"/>
      <c r="D23" s="18" t="s">
        <v>551</v>
      </c>
      <c r="E23" s="19" t="s">
        <v>1787</v>
      </c>
      <c r="F23" s="20"/>
      <c r="G23" s="18" t="s">
        <v>553</v>
      </c>
      <c r="H23" s="19" t="s">
        <v>1788</v>
      </c>
      <c r="I23" s="20"/>
      <c r="J23" s="18" t="s">
        <v>555</v>
      </c>
      <c r="K23" s="19" t="s">
        <v>1789</v>
      </c>
      <c r="L23" s="20"/>
      <c r="M23" s="18" t="s">
        <v>557</v>
      </c>
      <c r="N23" s="19" t="s">
        <v>1387</v>
      </c>
      <c r="O23" s="20"/>
    </row>
    <row r="24" ht="180.0" customHeight="1">
      <c r="A24" s="21" t="str">
        <f>IMAGE("https://assets.tcgdex.net/de/sv/sv05/027/low.jpg", 1)</f>
        <v/>
      </c>
      <c r="B24" s="22"/>
      <c r="C24" s="20"/>
      <c r="D24" s="21" t="str">
        <f>IMAGE("https://assets.tcgdex.net/de/sv/sv05/028/low.jpg", 1)</f>
        <v/>
      </c>
      <c r="E24" s="22"/>
      <c r="F24" s="20"/>
      <c r="G24" s="21" t="str">
        <f>IMAGE("https://assets.tcgdex.net/de/sv/sv05/029/low.jpg", 1)</f>
        <v/>
      </c>
      <c r="H24" s="22"/>
      <c r="I24" s="20"/>
      <c r="J24" s="21" t="str">
        <f>IMAGE("https://assets.tcgdex.net/de/sv/sv05/030/low.jpg", 1)</f>
        <v/>
      </c>
      <c r="K24" s="22"/>
      <c r="L24" s="20"/>
      <c r="M24" s="21" t="str">
        <f>IMAGE("https://assets.tcgdex.net/de/sv/sv05/031/low.jpg", 1)</f>
        <v/>
      </c>
      <c r="N24" s="22"/>
      <c r="O24" s="20"/>
    </row>
    <row r="25" ht="22.5" customHeight="1">
      <c r="A25" s="23" t="b">
        <v>0</v>
      </c>
      <c r="B25" s="24" t="b">
        <v>0</v>
      </c>
      <c r="C25" s="25" t="str">
        <f>HYPERLINK("https://www.cardmarket.com/en/Pokemon/Products/Singles?idCategory=1&amp;idProduct=sv5-27", "CM")</f>
        <v>CM</v>
      </c>
      <c r="D25" s="23" t="b">
        <v>0</v>
      </c>
      <c r="E25" s="24" t="b">
        <v>0</v>
      </c>
      <c r="F25" s="25" t="str">
        <f>HYPERLINK("https://www.cardmarket.com/en/Pokemon/Products/Singles?idCategory=1&amp;idProduct=sv5-28", "CM")</f>
        <v>CM</v>
      </c>
      <c r="G25" s="23" t="b">
        <v>0</v>
      </c>
      <c r="H25" s="24" t="b">
        <v>0</v>
      </c>
      <c r="I25" s="25" t="str">
        <f>HYPERLINK("https://www.cardmarket.com/en/Pokemon/Products/Singles?idCategory=1&amp;idProduct=sv5-29", "CM")</f>
        <v>CM</v>
      </c>
      <c r="J25" s="23" t="b">
        <v>0</v>
      </c>
      <c r="K25" s="24" t="b">
        <v>0</v>
      </c>
      <c r="L25" s="25" t="str">
        <f>HYPERLINK("https://www.cardmarket.com/en/Pokemon/Products/Singles?idCategory=1&amp;idProduct=sv5-30", "CM")</f>
        <v>CM</v>
      </c>
      <c r="M25" s="23" t="b">
        <v>0</v>
      </c>
      <c r="N25" s="24" t="b">
        <v>0</v>
      </c>
      <c r="O25" s="25" t="str">
        <f>HYPERLINK("https://www.cardmarket.com/en/Pokemon/Products/Singles?idCategory=1&amp;idProduct=sv5-31", "CM")</f>
        <v>CM</v>
      </c>
    </row>
    <row r="26" ht="7.5" customHeight="1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</row>
    <row r="27" ht="18.75" customHeight="1">
      <c r="A27" s="18" t="s">
        <v>559</v>
      </c>
      <c r="B27" s="19" t="s">
        <v>1790</v>
      </c>
      <c r="C27" s="20"/>
      <c r="D27" s="18" t="s">
        <v>561</v>
      </c>
      <c r="E27" s="19" t="s">
        <v>1791</v>
      </c>
      <c r="F27" s="20"/>
      <c r="G27" s="18" t="s">
        <v>563</v>
      </c>
      <c r="H27" s="19" t="s">
        <v>1792</v>
      </c>
      <c r="I27" s="20"/>
      <c r="J27" s="18" t="s">
        <v>565</v>
      </c>
      <c r="K27" s="19" t="s">
        <v>1793</v>
      </c>
      <c r="L27" s="20"/>
      <c r="M27" s="18" t="s">
        <v>567</v>
      </c>
      <c r="N27" s="19" t="s">
        <v>1794</v>
      </c>
      <c r="O27" s="20"/>
    </row>
    <row r="28" ht="180.0" customHeight="1">
      <c r="A28" s="21" t="str">
        <f>IMAGE("https://assets.tcgdex.net/de/sv/sv05/032/low.jpg", 1)</f>
        <v/>
      </c>
      <c r="B28" s="22"/>
      <c r="C28" s="20"/>
      <c r="D28" s="21" t="str">
        <f>IMAGE("https://assets.tcgdex.net/de/sv/sv05/033/low.jpg", 1)</f>
        <v/>
      </c>
      <c r="E28" s="22"/>
      <c r="F28" s="20"/>
      <c r="G28" s="21" t="str">
        <f>IMAGE("https://assets.tcgdex.net/de/sv/sv05/034/low.jpg", 1)</f>
        <v/>
      </c>
      <c r="H28" s="22"/>
      <c r="I28" s="20"/>
      <c r="J28" s="21" t="str">
        <f>IMAGE("https://assets.tcgdex.net/de/sv/sv05/035/low.jpg", 1)</f>
        <v/>
      </c>
      <c r="K28" s="22"/>
      <c r="L28" s="20"/>
      <c r="M28" s="21" t="str">
        <f>IMAGE("https://assets.tcgdex.net/de/sv/sv05/036/low.jpg", 1)</f>
        <v/>
      </c>
      <c r="N28" s="22"/>
      <c r="O28" s="20"/>
    </row>
    <row r="29" ht="22.5" customHeight="1">
      <c r="A29" s="23" t="b">
        <v>0</v>
      </c>
      <c r="B29" s="24" t="b">
        <v>0</v>
      </c>
      <c r="C29" s="25" t="str">
        <f>HYPERLINK("https://www.cardmarket.com/en/Pokemon/Products/Singles?idCategory=1&amp;idProduct=sv5-32", "CM")</f>
        <v>CM</v>
      </c>
      <c r="D29" s="23" t="b">
        <v>0</v>
      </c>
      <c r="E29" s="24" t="b">
        <v>0</v>
      </c>
      <c r="F29" s="25" t="str">
        <f>HYPERLINK("https://www.cardmarket.com/en/Pokemon/Products/Singles?idCategory=1&amp;idProduct=sv5-33", "CM")</f>
        <v>CM</v>
      </c>
      <c r="G29" s="23" t="b">
        <v>0</v>
      </c>
      <c r="H29" s="24" t="b">
        <v>0</v>
      </c>
      <c r="I29" s="25" t="str">
        <f>HYPERLINK("https://www.cardmarket.com/en/Pokemon/Products/Singles?idCategory=1&amp;idProduct=sv5-34", "CM")</f>
        <v>CM</v>
      </c>
      <c r="J29" s="23" t="b">
        <v>0</v>
      </c>
      <c r="K29" s="24" t="b">
        <v>0</v>
      </c>
      <c r="L29" s="25" t="str">
        <f>HYPERLINK("https://www.cardmarket.com/en/Pokemon/Products/Singles?idCategory=1&amp;idProduct=sv5-35", "CM")</f>
        <v>CM</v>
      </c>
      <c r="M29" s="23" t="b">
        <v>0</v>
      </c>
      <c r="N29" s="24" t="b">
        <v>0</v>
      </c>
      <c r="O29" s="25" t="str">
        <f>HYPERLINK("https://www.cardmarket.com/en/Pokemon/Products/Singles?idCategory=1&amp;idProduct=sv5-36", "CM")</f>
        <v>CM</v>
      </c>
    </row>
    <row r="30" ht="7.5" customHeight="1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</row>
    <row r="31" ht="18.75" customHeight="1">
      <c r="A31" s="18" t="s">
        <v>569</v>
      </c>
      <c r="B31" s="19" t="s">
        <v>1795</v>
      </c>
      <c r="C31" s="20"/>
      <c r="D31" s="18" t="s">
        <v>571</v>
      </c>
      <c r="E31" s="19" t="s">
        <v>680</v>
      </c>
      <c r="F31" s="20"/>
      <c r="G31" s="18" t="s">
        <v>573</v>
      </c>
      <c r="H31" s="19" t="s">
        <v>1796</v>
      </c>
      <c r="I31" s="20"/>
      <c r="J31" s="18" t="s">
        <v>575</v>
      </c>
      <c r="K31" s="19" t="s">
        <v>1797</v>
      </c>
      <c r="L31" s="20"/>
      <c r="M31" s="18" t="s">
        <v>577</v>
      </c>
      <c r="N31" s="19" t="s">
        <v>618</v>
      </c>
      <c r="O31" s="20"/>
    </row>
    <row r="32" ht="180.0" customHeight="1">
      <c r="A32" s="21" t="str">
        <f>IMAGE("https://assets.tcgdex.net/de/sv/sv05/037/low.jpg", 1)</f>
        <v/>
      </c>
      <c r="B32" s="22"/>
      <c r="C32" s="20"/>
      <c r="D32" s="21" t="str">
        <f>IMAGE("https://assets.tcgdex.net/de/sv/sv05/038/low.jpg", 1)</f>
        <v/>
      </c>
      <c r="E32" s="22"/>
      <c r="F32" s="20"/>
      <c r="G32" s="21" t="str">
        <f>IMAGE("https://assets.tcgdex.net/de/sv/sv05/039/low.jpg", 1)</f>
        <v/>
      </c>
      <c r="H32" s="22"/>
      <c r="I32" s="20"/>
      <c r="J32" s="21" t="str">
        <f>IMAGE("https://assets.tcgdex.net/de/sv/sv05/040/low.jpg", 1)</f>
        <v/>
      </c>
      <c r="K32" s="22"/>
      <c r="L32" s="20"/>
      <c r="M32" s="21" t="str">
        <f>IMAGE("https://assets.tcgdex.net/de/sv/sv05/041/low.jpg", 1)</f>
        <v/>
      </c>
      <c r="N32" s="22"/>
      <c r="O32" s="20"/>
    </row>
    <row r="33" ht="22.5" customHeight="1">
      <c r="A33" s="23" t="b">
        <v>0</v>
      </c>
      <c r="B33" s="24" t="b">
        <v>0</v>
      </c>
      <c r="C33" s="25" t="str">
        <f>HYPERLINK("https://www.cardmarket.com/en/Pokemon/Products/Singles?idCategory=1&amp;idProduct=sv5-37", "CM")</f>
        <v>CM</v>
      </c>
      <c r="D33" s="23" t="b">
        <v>0</v>
      </c>
      <c r="E33" s="24" t="b">
        <v>0</v>
      </c>
      <c r="F33" s="25" t="str">
        <f>HYPERLINK("https://www.cardmarket.com/en/Pokemon/Products/Singles?idCategory=1&amp;idProduct=sv5-38", "CM")</f>
        <v>CM</v>
      </c>
      <c r="G33" s="23" t="b">
        <v>0</v>
      </c>
      <c r="H33" s="24" t="b">
        <v>0</v>
      </c>
      <c r="I33" s="25" t="str">
        <f>HYPERLINK("https://www.cardmarket.com/en/Pokemon/Products/Singles?idCategory=1&amp;idProduct=sv5-39", "CM")</f>
        <v>CM</v>
      </c>
      <c r="J33" s="23" t="b">
        <v>0</v>
      </c>
      <c r="K33" s="24" t="b">
        <v>0</v>
      </c>
      <c r="L33" s="25" t="str">
        <f>HYPERLINK("https://www.cardmarket.com/en/Pokemon/Products/Singles?idCategory=1&amp;idProduct=sv5-40", "CM")</f>
        <v>CM</v>
      </c>
      <c r="M33" s="23" t="b">
        <v>0</v>
      </c>
      <c r="N33" s="24" t="b">
        <v>0</v>
      </c>
      <c r="O33" s="25" t="str">
        <f>HYPERLINK("https://www.cardmarket.com/en/Pokemon/Products/Singles?idCategory=1&amp;idProduct=sv5-41", "CM")</f>
        <v>CM</v>
      </c>
    </row>
    <row r="34" ht="7.5" customHeight="1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</row>
    <row r="35" ht="18.75" customHeight="1">
      <c r="A35" s="18" t="s">
        <v>579</v>
      </c>
      <c r="B35" s="19" t="s">
        <v>626</v>
      </c>
      <c r="C35" s="20"/>
      <c r="D35" s="18" t="s">
        <v>763</v>
      </c>
      <c r="E35" s="19" t="s">
        <v>1389</v>
      </c>
      <c r="F35" s="20"/>
      <c r="G35" s="18" t="s">
        <v>765</v>
      </c>
      <c r="H35" s="19" t="s">
        <v>1076</v>
      </c>
      <c r="I35" s="20"/>
      <c r="J35" s="18" t="s">
        <v>581</v>
      </c>
      <c r="K35" s="19" t="s">
        <v>1798</v>
      </c>
      <c r="L35" s="20"/>
      <c r="M35" s="18" t="s">
        <v>767</v>
      </c>
      <c r="N35" s="19" t="s">
        <v>1799</v>
      </c>
      <c r="O35" s="20"/>
    </row>
    <row r="36" ht="180.0" customHeight="1">
      <c r="A36" s="21" t="str">
        <f>IMAGE("https://assets.tcgdex.net/de/sv/sv05/042/low.jpg", 1)</f>
        <v/>
      </c>
      <c r="B36" s="22"/>
      <c r="C36" s="20"/>
      <c r="D36" s="21" t="str">
        <f>IMAGE("https://assets.tcgdex.net/de/sv/sv05/043/low.jpg", 1)</f>
        <v/>
      </c>
      <c r="E36" s="22"/>
      <c r="F36" s="20"/>
      <c r="G36" s="21" t="str">
        <f>IMAGE("https://assets.tcgdex.net/de/sv/sv05/044/low.jpg", 1)</f>
        <v/>
      </c>
      <c r="H36" s="22"/>
      <c r="I36" s="20"/>
      <c r="J36" s="21" t="str">
        <f>IMAGE("https://assets.tcgdex.net/de/sv/sv05/045/low.jpg", 1)</f>
        <v/>
      </c>
      <c r="K36" s="22"/>
      <c r="L36" s="20"/>
      <c r="M36" s="21" t="str">
        <f>IMAGE("https://assets.tcgdex.net/de/sv/sv05/046/low.jpg", 1)</f>
        <v/>
      </c>
      <c r="N36" s="22"/>
      <c r="O36" s="20"/>
    </row>
    <row r="37" ht="22.5" customHeight="1">
      <c r="A37" s="23" t="b">
        <v>0</v>
      </c>
      <c r="B37" s="24" t="b">
        <v>0</v>
      </c>
      <c r="C37" s="25" t="str">
        <f>HYPERLINK("https://www.cardmarket.com/en/Pokemon/Products/Singles?idCategory=1&amp;idProduct=sv5-42", "CM")</f>
        <v>CM</v>
      </c>
      <c r="D37" s="23" t="b">
        <v>0</v>
      </c>
      <c r="E37" s="24" t="b">
        <v>0</v>
      </c>
      <c r="F37" s="25" t="str">
        <f>HYPERLINK("https://www.cardmarket.com/en/Pokemon/Products/Singles?idCategory=1&amp;idProduct=sv5-43", "CM")</f>
        <v>CM</v>
      </c>
      <c r="G37" s="23" t="b">
        <v>0</v>
      </c>
      <c r="H37" s="24" t="b">
        <v>0</v>
      </c>
      <c r="I37" s="25" t="str">
        <f>HYPERLINK("https://www.cardmarket.com/en/Pokemon/Products/Singles?idCategory=1&amp;idProduct=sv5-44", "CM")</f>
        <v>CM</v>
      </c>
      <c r="J37" s="23" t="b">
        <v>0</v>
      </c>
      <c r="K37" s="24" t="b">
        <v>0</v>
      </c>
      <c r="L37" s="25" t="str">
        <f>HYPERLINK("https://www.cardmarket.com/en/Pokemon/Products/Singles?idCategory=1&amp;idProduct=sv5-45", "CM")</f>
        <v>CM</v>
      </c>
      <c r="M37" s="23" t="b">
        <v>0</v>
      </c>
      <c r="N37" s="24" t="b">
        <v>0</v>
      </c>
      <c r="O37" s="25" t="str">
        <f>HYPERLINK("https://www.cardmarket.com/en/Pokemon/Products/Singles?idCategory=1&amp;idProduct=sv5-46", "CM")</f>
        <v>CM</v>
      </c>
    </row>
    <row r="38" ht="7.5" customHeight="1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</row>
    <row r="39" ht="18.75" customHeight="1">
      <c r="A39" s="18" t="s">
        <v>769</v>
      </c>
      <c r="B39" s="19" t="s">
        <v>1182</v>
      </c>
      <c r="C39" s="20"/>
      <c r="D39" s="18" t="s">
        <v>770</v>
      </c>
      <c r="E39" s="19" t="s">
        <v>1398</v>
      </c>
      <c r="F39" s="20"/>
      <c r="G39" s="18" t="s">
        <v>772</v>
      </c>
      <c r="H39" s="19" t="s">
        <v>568</v>
      </c>
      <c r="I39" s="20"/>
      <c r="J39" s="18" t="s">
        <v>774</v>
      </c>
      <c r="K39" s="19" t="s">
        <v>663</v>
      </c>
      <c r="L39" s="20"/>
      <c r="M39" s="18" t="s">
        <v>776</v>
      </c>
      <c r="N39" s="19" t="s">
        <v>616</v>
      </c>
      <c r="O39" s="20"/>
    </row>
    <row r="40" ht="180.0" customHeight="1">
      <c r="A40" s="21" t="str">
        <f>IMAGE("https://assets.tcgdex.net/de/sv/sv05/047/low.jpg", 1)</f>
        <v/>
      </c>
      <c r="B40" s="22"/>
      <c r="C40" s="20"/>
      <c r="D40" s="21" t="str">
        <f>IMAGE("https://assets.tcgdex.net/de/sv/sv05/048/low.jpg", 1)</f>
        <v/>
      </c>
      <c r="E40" s="22"/>
      <c r="F40" s="20"/>
      <c r="G40" s="21" t="str">
        <f>IMAGE("https://assets.tcgdex.net/de/sv/sv05/049/low.jpg", 1)</f>
        <v/>
      </c>
      <c r="H40" s="22"/>
      <c r="I40" s="20"/>
      <c r="J40" s="21" t="str">
        <f>IMAGE("https://assets.tcgdex.net/de/sv/sv05/050/low.jpg", 1)</f>
        <v/>
      </c>
      <c r="K40" s="22"/>
      <c r="L40" s="20"/>
      <c r="M40" s="21" t="str">
        <f>IMAGE("https://assets.tcgdex.net/de/sv/sv05/051/low.jpg", 1)</f>
        <v/>
      </c>
      <c r="N40" s="22"/>
      <c r="O40" s="20"/>
    </row>
    <row r="41" ht="22.5" customHeight="1">
      <c r="A41" s="23" t="b">
        <v>0</v>
      </c>
      <c r="B41" s="24" t="b">
        <v>0</v>
      </c>
      <c r="C41" s="25" t="str">
        <f>HYPERLINK("https://www.cardmarket.com/en/Pokemon/Products/Singles?idCategory=1&amp;idProduct=sv5-47", "CM")</f>
        <v>CM</v>
      </c>
      <c r="D41" s="23" t="b">
        <v>0</v>
      </c>
      <c r="E41" s="24" t="b">
        <v>0</v>
      </c>
      <c r="F41" s="25" t="str">
        <f>HYPERLINK("https://www.cardmarket.com/en/Pokemon/Products/Singles?idCategory=1&amp;idProduct=sv5-48", "CM")</f>
        <v>CM</v>
      </c>
      <c r="G41" s="23" t="b">
        <v>0</v>
      </c>
      <c r="H41" s="24" t="b">
        <v>0</v>
      </c>
      <c r="I41" s="25" t="str">
        <f>HYPERLINK("https://www.cardmarket.com/en/Pokemon/Products/Singles?idCategory=1&amp;idProduct=sv5-49", "CM")</f>
        <v>CM</v>
      </c>
      <c r="J41" s="23" t="b">
        <v>0</v>
      </c>
      <c r="K41" s="24" t="b">
        <v>0</v>
      </c>
      <c r="L41" s="25" t="str">
        <f>HYPERLINK("https://www.cardmarket.com/en/Pokemon/Products/Singles?idCategory=1&amp;idProduct=sv5-50", "CM")</f>
        <v>CM</v>
      </c>
      <c r="M41" s="23" t="b">
        <v>0</v>
      </c>
      <c r="N41" s="24" t="b">
        <v>0</v>
      </c>
      <c r="O41" s="25" t="str">
        <f>HYPERLINK("https://www.cardmarket.com/en/Pokemon/Products/Singles?idCategory=1&amp;idProduct=sv5-51", "CM")</f>
        <v>CM</v>
      </c>
    </row>
    <row r="42" ht="7.5" customHeight="1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</row>
    <row r="43" ht="18.75" customHeight="1">
      <c r="A43" s="18" t="s">
        <v>778</v>
      </c>
      <c r="B43" s="19" t="s">
        <v>1493</v>
      </c>
      <c r="C43" s="20"/>
      <c r="D43" s="18" t="s">
        <v>780</v>
      </c>
      <c r="E43" s="19" t="s">
        <v>1562</v>
      </c>
      <c r="F43" s="20"/>
      <c r="G43" s="18" t="s">
        <v>583</v>
      </c>
      <c r="H43" s="19" t="s">
        <v>1800</v>
      </c>
      <c r="I43" s="20"/>
      <c r="J43" s="18" t="s">
        <v>585</v>
      </c>
      <c r="K43" s="19" t="s">
        <v>1801</v>
      </c>
      <c r="L43" s="20"/>
      <c r="M43" s="18" t="s">
        <v>782</v>
      </c>
      <c r="N43" s="19" t="s">
        <v>1802</v>
      </c>
      <c r="O43" s="20"/>
    </row>
    <row r="44" ht="180.0" customHeight="1">
      <c r="A44" s="21" t="str">
        <f>IMAGE("https://assets.tcgdex.net/de/sv/sv05/052/low.jpg", 1)</f>
        <v/>
      </c>
      <c r="B44" s="22"/>
      <c r="C44" s="20"/>
      <c r="D44" s="21" t="str">
        <f>IMAGE("https://assets.tcgdex.net/de/sv/sv05/053/low.jpg", 1)</f>
        <v/>
      </c>
      <c r="E44" s="22"/>
      <c r="F44" s="20"/>
      <c r="G44" s="21" t="str">
        <f>IMAGE("https://assets.tcgdex.net/de/sv/sv05/054/low.jpg", 1)</f>
        <v/>
      </c>
      <c r="H44" s="22"/>
      <c r="I44" s="20"/>
      <c r="J44" s="21" t="str">
        <f>IMAGE("https://assets.tcgdex.net/de/sv/sv05/055/low.jpg", 1)</f>
        <v/>
      </c>
      <c r="K44" s="22"/>
      <c r="L44" s="20"/>
      <c r="M44" s="21" t="str">
        <f>IMAGE("https://assets.tcgdex.net/de/sv/sv05/056/low.jpg", 1)</f>
        <v/>
      </c>
      <c r="N44" s="22"/>
      <c r="O44" s="20"/>
    </row>
    <row r="45" ht="22.5" customHeight="1">
      <c r="A45" s="23" t="b">
        <v>0</v>
      </c>
      <c r="B45" s="24" t="b">
        <v>0</v>
      </c>
      <c r="C45" s="25" t="str">
        <f>HYPERLINK("https://www.cardmarket.com/en/Pokemon/Products/Singles?idCategory=1&amp;idProduct=sv5-52", "CM")</f>
        <v>CM</v>
      </c>
      <c r="D45" s="23" t="b">
        <v>0</v>
      </c>
      <c r="E45" s="24" t="b">
        <v>0</v>
      </c>
      <c r="F45" s="25" t="str">
        <f>HYPERLINK("https://www.cardmarket.com/en/Pokemon/Products/Singles?idCategory=1&amp;idProduct=sv5-53", "CM")</f>
        <v>CM</v>
      </c>
      <c r="G45" s="23" t="b">
        <v>0</v>
      </c>
      <c r="H45" s="24" t="b">
        <v>0</v>
      </c>
      <c r="I45" s="25" t="str">
        <f>HYPERLINK("https://www.cardmarket.com/en/Pokemon/Products/Singles?idCategory=1&amp;idProduct=sv5-54", "CM")</f>
        <v>CM</v>
      </c>
      <c r="J45" s="23" t="b">
        <v>0</v>
      </c>
      <c r="K45" s="24" t="b">
        <v>0</v>
      </c>
      <c r="L45" s="25" t="str">
        <f>HYPERLINK("https://www.cardmarket.com/en/Pokemon/Products/Singles?idCategory=1&amp;idProduct=sv5-55", "CM")</f>
        <v>CM</v>
      </c>
      <c r="M45" s="23" t="b">
        <v>0</v>
      </c>
      <c r="N45" s="24" t="b">
        <v>0</v>
      </c>
      <c r="O45" s="25" t="str">
        <f>HYPERLINK("https://www.cardmarket.com/en/Pokemon/Products/Singles?idCategory=1&amp;idProduct=sv5-56", "CM")</f>
        <v>CM</v>
      </c>
    </row>
    <row r="46" ht="7.5" customHeight="1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</row>
    <row r="47" ht="18.75" customHeight="1">
      <c r="A47" s="18" t="s">
        <v>587</v>
      </c>
      <c r="B47" s="19" t="s">
        <v>925</v>
      </c>
      <c r="C47" s="20"/>
      <c r="D47" s="18" t="s">
        <v>589</v>
      </c>
      <c r="E47" s="19" t="s">
        <v>1803</v>
      </c>
      <c r="F47" s="20"/>
      <c r="G47" s="18" t="s">
        <v>591</v>
      </c>
      <c r="H47" s="19" t="s">
        <v>1804</v>
      </c>
      <c r="I47" s="20"/>
      <c r="J47" s="18" t="s">
        <v>593</v>
      </c>
      <c r="K47" s="19" t="s">
        <v>1805</v>
      </c>
      <c r="L47" s="20"/>
      <c r="M47" s="18" t="s">
        <v>595</v>
      </c>
      <c r="N47" s="19" t="s">
        <v>1806</v>
      </c>
      <c r="O47" s="20"/>
    </row>
    <row r="48" ht="180.0" customHeight="1">
      <c r="A48" s="21" t="str">
        <f>IMAGE("https://assets.tcgdex.net/de/sv/sv05/057/low.jpg", 1)</f>
        <v/>
      </c>
      <c r="B48" s="22"/>
      <c r="C48" s="20"/>
      <c r="D48" s="21" t="str">
        <f>IMAGE("https://assets.tcgdex.net/de/sv/sv05/058/low.jpg", 1)</f>
        <v/>
      </c>
      <c r="E48" s="22"/>
      <c r="F48" s="20"/>
      <c r="G48" s="21" t="str">
        <f>IMAGE("https://assets.tcgdex.net/de/sv/sv05/059/low.jpg", 1)</f>
        <v/>
      </c>
      <c r="H48" s="22"/>
      <c r="I48" s="20"/>
      <c r="J48" s="21" t="str">
        <f>IMAGE("https://assets.tcgdex.net/de/sv/sv05/060/low.jpg", 1)</f>
        <v/>
      </c>
      <c r="K48" s="22"/>
      <c r="L48" s="20"/>
      <c r="M48" s="21" t="str">
        <f>IMAGE("https://assets.tcgdex.net/de/sv/sv05/061/low.jpg", 1)</f>
        <v/>
      </c>
      <c r="N48" s="22"/>
      <c r="O48" s="20"/>
    </row>
    <row r="49" ht="22.5" customHeight="1">
      <c r="A49" s="23" t="b">
        <v>0</v>
      </c>
      <c r="B49" s="24" t="b">
        <v>0</v>
      </c>
      <c r="C49" s="25" t="str">
        <f>HYPERLINK("https://www.cardmarket.com/en/Pokemon/Products/Singles?idCategory=1&amp;idProduct=sv5-57", "CM")</f>
        <v>CM</v>
      </c>
      <c r="D49" s="23" t="b">
        <v>0</v>
      </c>
      <c r="E49" s="24" t="b">
        <v>0</v>
      </c>
      <c r="F49" s="25" t="str">
        <f>HYPERLINK("https://www.cardmarket.com/en/Pokemon/Products/Singles?idCategory=1&amp;idProduct=sv5-58", "CM")</f>
        <v>CM</v>
      </c>
      <c r="G49" s="23" t="b">
        <v>0</v>
      </c>
      <c r="H49" s="24" t="b">
        <v>0</v>
      </c>
      <c r="I49" s="25" t="str">
        <f>HYPERLINK("https://www.cardmarket.com/en/Pokemon/Products/Singles?idCategory=1&amp;idProduct=sv5-59", "CM")</f>
        <v>CM</v>
      </c>
      <c r="J49" s="23" t="b">
        <v>0</v>
      </c>
      <c r="K49" s="24" t="b">
        <v>0</v>
      </c>
      <c r="L49" s="25" t="str">
        <f>HYPERLINK("https://www.cardmarket.com/en/Pokemon/Products/Singles?idCategory=1&amp;idProduct=sv5-60", "CM")</f>
        <v>CM</v>
      </c>
      <c r="M49" s="23" t="b">
        <v>0</v>
      </c>
      <c r="N49" s="24" t="b">
        <v>0</v>
      </c>
      <c r="O49" s="25" t="str">
        <f>HYPERLINK("https://www.cardmarket.com/en/Pokemon/Products/Singles?idCategory=1&amp;idProduct=sv5-61", "CM")</f>
        <v>CM</v>
      </c>
    </row>
    <row r="50" ht="7.5" customHeight="1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</row>
    <row r="51" ht="18.75" customHeight="1">
      <c r="A51" s="18" t="s">
        <v>597</v>
      </c>
      <c r="B51" s="19" t="s">
        <v>818</v>
      </c>
      <c r="C51" s="20"/>
      <c r="D51" s="18" t="s">
        <v>784</v>
      </c>
      <c r="E51" s="19" t="s">
        <v>1560</v>
      </c>
      <c r="F51" s="20"/>
      <c r="G51" s="18" t="s">
        <v>786</v>
      </c>
      <c r="H51" s="19" t="s">
        <v>1807</v>
      </c>
      <c r="I51" s="20"/>
      <c r="J51" s="18" t="s">
        <v>788</v>
      </c>
      <c r="K51" s="19" t="s">
        <v>1808</v>
      </c>
      <c r="L51" s="20"/>
      <c r="M51" s="18" t="s">
        <v>790</v>
      </c>
      <c r="N51" s="19" t="s">
        <v>928</v>
      </c>
      <c r="O51" s="20"/>
    </row>
    <row r="52" ht="180.0" customHeight="1">
      <c r="A52" s="21" t="str">
        <f>IMAGE("https://assets.tcgdex.net/de/sv/sv05/062/low.jpg", 1)</f>
        <v/>
      </c>
      <c r="B52" s="22"/>
      <c r="C52" s="20"/>
      <c r="D52" s="21" t="str">
        <f>IMAGE("https://assets.tcgdex.net/de/sv/sv05/063/low.jpg", 1)</f>
        <v/>
      </c>
      <c r="E52" s="22"/>
      <c r="F52" s="20"/>
      <c r="G52" s="21" t="str">
        <f>IMAGE("https://assets.tcgdex.net/de/sv/sv05/064/low.jpg", 1)</f>
        <v/>
      </c>
      <c r="H52" s="22"/>
      <c r="I52" s="20"/>
      <c r="J52" s="21" t="str">
        <f>IMAGE("https://assets.tcgdex.net/de/sv/sv05/065/low.jpg", 1)</f>
        <v/>
      </c>
      <c r="K52" s="22"/>
      <c r="L52" s="20"/>
      <c r="M52" s="21" t="str">
        <f>IMAGE("https://assets.tcgdex.net/de/sv/sv05/066/low.jpg", 1)</f>
        <v/>
      </c>
      <c r="N52" s="22"/>
      <c r="O52" s="20"/>
    </row>
    <row r="53" ht="22.5" customHeight="1">
      <c r="A53" s="23" t="b">
        <v>0</v>
      </c>
      <c r="B53" s="24" t="b">
        <v>0</v>
      </c>
      <c r="C53" s="25" t="str">
        <f>HYPERLINK("https://www.cardmarket.com/en/Pokemon/Products/Singles?idCategory=1&amp;idProduct=sv5-62", "CM")</f>
        <v>CM</v>
      </c>
      <c r="D53" s="23" t="b">
        <v>0</v>
      </c>
      <c r="E53" s="24" t="b">
        <v>0</v>
      </c>
      <c r="F53" s="25" t="str">
        <f>HYPERLINK("https://www.cardmarket.com/en/Pokemon/Products/Singles?idCategory=1&amp;idProduct=sv5-63", "CM")</f>
        <v>CM</v>
      </c>
      <c r="G53" s="23" t="b">
        <v>0</v>
      </c>
      <c r="H53" s="24" t="b">
        <v>0</v>
      </c>
      <c r="I53" s="25" t="str">
        <f>HYPERLINK("https://www.cardmarket.com/en/Pokemon/Products/Singles?idCategory=1&amp;idProduct=sv5-64", "CM")</f>
        <v>CM</v>
      </c>
      <c r="J53" s="23" t="b">
        <v>0</v>
      </c>
      <c r="K53" s="24" t="b">
        <v>0</v>
      </c>
      <c r="L53" s="25" t="str">
        <f>HYPERLINK("https://www.cardmarket.com/en/Pokemon/Products/Singles?idCategory=1&amp;idProduct=sv5-65", "CM")</f>
        <v>CM</v>
      </c>
      <c r="M53" s="23" t="b">
        <v>0</v>
      </c>
      <c r="N53" s="24" t="b">
        <v>0</v>
      </c>
      <c r="O53" s="25" t="str">
        <f>HYPERLINK("https://www.cardmarket.com/en/Pokemon/Products/Singles?idCategory=1&amp;idProduct=sv5-66", "CM")</f>
        <v>CM</v>
      </c>
    </row>
    <row r="54" ht="7.5" customHeight="1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</row>
    <row r="55" ht="18.75" customHeight="1">
      <c r="A55" s="18" t="s">
        <v>791</v>
      </c>
      <c r="B55" s="19" t="s">
        <v>675</v>
      </c>
      <c r="C55" s="20"/>
      <c r="D55" s="18" t="s">
        <v>793</v>
      </c>
      <c r="E55" s="19" t="s">
        <v>1438</v>
      </c>
      <c r="F55" s="20"/>
      <c r="G55" s="18" t="s">
        <v>795</v>
      </c>
      <c r="H55" s="19" t="s">
        <v>1439</v>
      </c>
      <c r="I55" s="20"/>
      <c r="J55" s="18" t="s">
        <v>797</v>
      </c>
      <c r="K55" s="19" t="s">
        <v>1809</v>
      </c>
      <c r="L55" s="20"/>
      <c r="M55" s="18" t="s">
        <v>799</v>
      </c>
      <c r="N55" s="19" t="s">
        <v>1810</v>
      </c>
      <c r="O55" s="20"/>
    </row>
    <row r="56" ht="180.0" customHeight="1">
      <c r="A56" s="21" t="str">
        <f>IMAGE("https://assets.tcgdex.net/de/sv/sv05/067/low.jpg", 1)</f>
        <v/>
      </c>
      <c r="B56" s="22"/>
      <c r="C56" s="20"/>
      <c r="D56" s="21" t="str">
        <f>IMAGE("https://assets.tcgdex.net/de/sv/sv05/068/low.jpg", 1)</f>
        <v/>
      </c>
      <c r="E56" s="22"/>
      <c r="F56" s="20"/>
      <c r="G56" s="21" t="str">
        <f>IMAGE("https://assets.tcgdex.net/de/sv/sv05/069/low.jpg", 1)</f>
        <v/>
      </c>
      <c r="H56" s="22"/>
      <c r="I56" s="20"/>
      <c r="J56" s="21" t="str">
        <f>IMAGE("https://assets.tcgdex.net/de/sv/sv05/070/low.jpg", 1)</f>
        <v/>
      </c>
      <c r="K56" s="22"/>
      <c r="L56" s="20"/>
      <c r="M56" s="21" t="str">
        <f>IMAGE("https://assets.tcgdex.net/de/sv/sv05/071/low.jpg", 1)</f>
        <v/>
      </c>
      <c r="N56" s="22"/>
      <c r="O56" s="20"/>
    </row>
    <row r="57" ht="22.5" customHeight="1">
      <c r="A57" s="23" t="b">
        <v>0</v>
      </c>
      <c r="B57" s="24" t="b">
        <v>0</v>
      </c>
      <c r="C57" s="25" t="str">
        <f>HYPERLINK("https://www.cardmarket.com/en/Pokemon/Products/Singles?idCategory=1&amp;idProduct=sv5-67", "CM")</f>
        <v>CM</v>
      </c>
      <c r="D57" s="23" t="b">
        <v>0</v>
      </c>
      <c r="E57" s="24" t="b">
        <v>0</v>
      </c>
      <c r="F57" s="25" t="str">
        <f>HYPERLINK("https://www.cardmarket.com/en/Pokemon/Products/Singles?idCategory=1&amp;idProduct=sv5-68", "CM")</f>
        <v>CM</v>
      </c>
      <c r="G57" s="23" t="b">
        <v>0</v>
      </c>
      <c r="H57" s="24" t="b">
        <v>0</v>
      </c>
      <c r="I57" s="25" t="str">
        <f>HYPERLINK("https://www.cardmarket.com/en/Pokemon/Products/Singles?idCategory=1&amp;idProduct=sv5-69", "CM")</f>
        <v>CM</v>
      </c>
      <c r="J57" s="23" t="b">
        <v>0</v>
      </c>
      <c r="K57" s="24" t="b">
        <v>0</v>
      </c>
      <c r="L57" s="25" t="str">
        <f>HYPERLINK("https://www.cardmarket.com/en/Pokemon/Products/Singles?idCategory=1&amp;idProduct=sv5-70", "CM")</f>
        <v>CM</v>
      </c>
      <c r="M57" s="23" t="b">
        <v>0</v>
      </c>
      <c r="N57" s="24" t="b">
        <v>0</v>
      </c>
      <c r="O57" s="25" t="str">
        <f>HYPERLINK("https://www.cardmarket.com/en/Pokemon/Products/Singles?idCategory=1&amp;idProduct=sv5-71", "CM")</f>
        <v>CM</v>
      </c>
    </row>
    <row r="58" ht="7.5" customHeight="1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</row>
    <row r="59" ht="18.75" customHeight="1">
      <c r="A59" s="18" t="s">
        <v>801</v>
      </c>
      <c r="B59" s="19" t="s">
        <v>1811</v>
      </c>
      <c r="C59" s="20"/>
      <c r="D59" s="18" t="s">
        <v>803</v>
      </c>
      <c r="E59" s="19" t="s">
        <v>1812</v>
      </c>
      <c r="F59" s="20"/>
      <c r="G59" s="18" t="s">
        <v>805</v>
      </c>
      <c r="H59" s="19" t="s">
        <v>1813</v>
      </c>
      <c r="I59" s="20"/>
      <c r="J59" s="18" t="s">
        <v>806</v>
      </c>
      <c r="K59" s="19" t="s">
        <v>1814</v>
      </c>
      <c r="L59" s="20"/>
      <c r="M59" s="18" t="s">
        <v>808</v>
      </c>
      <c r="N59" s="19" t="s">
        <v>1815</v>
      </c>
      <c r="O59" s="20"/>
    </row>
    <row r="60" ht="180.0" customHeight="1">
      <c r="A60" s="21" t="str">
        <f>IMAGE("https://assets.tcgdex.net/de/sv/sv05/072/low.jpg", 1)</f>
        <v/>
      </c>
      <c r="B60" s="22"/>
      <c r="C60" s="20"/>
      <c r="D60" s="21" t="str">
        <f>IMAGE("https://assets.tcgdex.net/de/sv/sv05/073/low.jpg", 1)</f>
        <v/>
      </c>
      <c r="E60" s="22"/>
      <c r="F60" s="20"/>
      <c r="G60" s="21" t="str">
        <f>IMAGE("https://assets.tcgdex.net/de/sv/sv05/074/low.jpg", 1)</f>
        <v/>
      </c>
      <c r="H60" s="22"/>
      <c r="I60" s="20"/>
      <c r="J60" s="21" t="str">
        <f>IMAGE("https://assets.tcgdex.net/de/sv/sv05/075/low.jpg", 1)</f>
        <v/>
      </c>
      <c r="K60" s="22"/>
      <c r="L60" s="20"/>
      <c r="M60" s="21" t="str">
        <f>IMAGE("https://assets.tcgdex.net/de/sv/sv05/076/low.jpg", 1)</f>
        <v/>
      </c>
      <c r="N60" s="22"/>
      <c r="O60" s="20"/>
    </row>
    <row r="61" ht="22.5" customHeight="1">
      <c r="A61" s="23" t="b">
        <v>0</v>
      </c>
      <c r="B61" s="24" t="b">
        <v>0</v>
      </c>
      <c r="C61" s="25" t="str">
        <f>HYPERLINK("https://www.cardmarket.com/en/Pokemon/Products/Singles?idCategory=1&amp;idProduct=sv5-72", "CM")</f>
        <v>CM</v>
      </c>
      <c r="D61" s="23" t="b">
        <v>0</v>
      </c>
      <c r="E61" s="24" t="b">
        <v>0</v>
      </c>
      <c r="F61" s="25" t="str">
        <f>HYPERLINK("https://www.cardmarket.com/en/Pokemon/Products/Singles?idCategory=1&amp;idProduct=sv5-73", "CM")</f>
        <v>CM</v>
      </c>
      <c r="G61" s="23" t="b">
        <v>0</v>
      </c>
      <c r="H61" s="24" t="b">
        <v>0</v>
      </c>
      <c r="I61" s="25" t="str">
        <f>HYPERLINK("https://www.cardmarket.com/en/Pokemon/Products/Singles?idCategory=1&amp;idProduct=sv5-74", "CM")</f>
        <v>CM</v>
      </c>
      <c r="J61" s="23" t="b">
        <v>0</v>
      </c>
      <c r="K61" s="24" t="b">
        <v>0</v>
      </c>
      <c r="L61" s="25" t="str">
        <f>HYPERLINK("https://www.cardmarket.com/en/Pokemon/Products/Singles?idCategory=1&amp;idProduct=sv5-75", "CM")</f>
        <v>CM</v>
      </c>
      <c r="M61" s="23" t="b">
        <v>0</v>
      </c>
      <c r="N61" s="24" t="b">
        <v>0</v>
      </c>
      <c r="O61" s="25" t="str">
        <f>HYPERLINK("https://www.cardmarket.com/en/Pokemon/Products/Singles?idCategory=1&amp;idProduct=sv5-76", "CM")</f>
        <v>CM</v>
      </c>
    </row>
    <row r="62" ht="7.5" customHeight="1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</row>
    <row r="63" ht="18.75" customHeight="1">
      <c r="A63" s="18" t="s">
        <v>809</v>
      </c>
      <c r="B63" s="19" t="s">
        <v>789</v>
      </c>
      <c r="C63" s="20"/>
      <c r="D63" s="18" t="s">
        <v>811</v>
      </c>
      <c r="E63" s="19" t="s">
        <v>816</v>
      </c>
      <c r="F63" s="20"/>
      <c r="G63" s="18" t="s">
        <v>599</v>
      </c>
      <c r="H63" s="19" t="s">
        <v>1816</v>
      </c>
      <c r="I63" s="20"/>
      <c r="J63" s="18" t="s">
        <v>601</v>
      </c>
      <c r="K63" s="19" t="s">
        <v>1816</v>
      </c>
      <c r="L63" s="20"/>
      <c r="M63" s="18" t="s">
        <v>603</v>
      </c>
      <c r="N63" s="19" t="s">
        <v>682</v>
      </c>
      <c r="O63" s="20"/>
    </row>
    <row r="64" ht="180.0" customHeight="1">
      <c r="A64" s="21" t="str">
        <f>IMAGE("https://assets.tcgdex.net/de/sv/sv05/077/low.jpg", 1)</f>
        <v/>
      </c>
      <c r="B64" s="22"/>
      <c r="C64" s="20"/>
      <c r="D64" s="21" t="str">
        <f>IMAGE("https://assets.tcgdex.net/de/sv/sv05/078/low.jpg", 1)</f>
        <v/>
      </c>
      <c r="E64" s="22"/>
      <c r="F64" s="20"/>
      <c r="G64" s="21" t="str">
        <f>IMAGE("https://assets.tcgdex.net/de/sv/sv05/079/low.jpg", 1)</f>
        <v/>
      </c>
      <c r="H64" s="22"/>
      <c r="I64" s="20"/>
      <c r="J64" s="21" t="str">
        <f>IMAGE("https://assets.tcgdex.net/de/sv/sv05/080/low.jpg", 1)</f>
        <v/>
      </c>
      <c r="K64" s="22"/>
      <c r="L64" s="20"/>
      <c r="M64" s="21" t="str">
        <f>IMAGE("https://assets.tcgdex.net/de/sv/sv05/081/low.jpg", 1)</f>
        <v/>
      </c>
      <c r="N64" s="22"/>
      <c r="O64" s="20"/>
    </row>
    <row r="65" ht="22.5" customHeight="1">
      <c r="A65" s="23" t="b">
        <v>0</v>
      </c>
      <c r="B65" s="24" t="b">
        <v>0</v>
      </c>
      <c r="C65" s="25" t="str">
        <f>HYPERLINK("https://www.cardmarket.com/en/Pokemon/Products/Singles?idCategory=1&amp;idProduct=sv5-77", "CM")</f>
        <v>CM</v>
      </c>
      <c r="D65" s="23" t="b">
        <v>0</v>
      </c>
      <c r="E65" s="24" t="b">
        <v>0</v>
      </c>
      <c r="F65" s="25" t="str">
        <f>HYPERLINK("https://www.cardmarket.com/en/Pokemon/Products/Singles?idCategory=1&amp;idProduct=sv5-78", "CM")</f>
        <v>CM</v>
      </c>
      <c r="G65" s="23" t="b">
        <v>0</v>
      </c>
      <c r="H65" s="24" t="b">
        <v>0</v>
      </c>
      <c r="I65" s="25" t="str">
        <f>HYPERLINK("https://www.cardmarket.com/en/Pokemon/Products/Singles?idCategory=1&amp;idProduct=sv5-79", "CM")</f>
        <v>CM</v>
      </c>
      <c r="J65" s="23" t="b">
        <v>0</v>
      </c>
      <c r="K65" s="24" t="b">
        <v>0</v>
      </c>
      <c r="L65" s="25" t="str">
        <f>HYPERLINK("https://www.cardmarket.com/en/Pokemon/Products/Singles?idCategory=1&amp;idProduct=sv5-80", "CM")</f>
        <v>CM</v>
      </c>
      <c r="M65" s="23" t="b">
        <v>0</v>
      </c>
      <c r="N65" s="24" t="b">
        <v>0</v>
      </c>
      <c r="O65" s="25" t="str">
        <f>HYPERLINK("https://www.cardmarket.com/en/Pokemon/Products/Singles?idCategory=1&amp;idProduct=sv5-81", "CM")</f>
        <v>CM</v>
      </c>
    </row>
    <row r="66" ht="7.5" customHeight="1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</row>
    <row r="67" ht="18.75" customHeight="1">
      <c r="A67" s="18" t="s">
        <v>604</v>
      </c>
      <c r="B67" s="19" t="s">
        <v>1284</v>
      </c>
      <c r="C67" s="20"/>
      <c r="D67" s="18" t="s">
        <v>606</v>
      </c>
      <c r="E67" s="19" t="s">
        <v>1221</v>
      </c>
      <c r="F67" s="20"/>
      <c r="G67" s="18" t="s">
        <v>608</v>
      </c>
      <c r="H67" s="19" t="s">
        <v>1817</v>
      </c>
      <c r="I67" s="20"/>
      <c r="J67" s="18" t="s">
        <v>609</v>
      </c>
      <c r="K67" s="19" t="s">
        <v>1424</v>
      </c>
      <c r="L67" s="20"/>
      <c r="M67" s="18" t="s">
        <v>611</v>
      </c>
      <c r="N67" s="19" t="s">
        <v>1441</v>
      </c>
      <c r="O67" s="20"/>
    </row>
    <row r="68" ht="180.0" customHeight="1">
      <c r="A68" s="21" t="str">
        <f>IMAGE("https://assets.tcgdex.net/de/sv/sv05/082/low.jpg", 1)</f>
        <v/>
      </c>
      <c r="B68" s="22"/>
      <c r="C68" s="20"/>
      <c r="D68" s="21" t="str">
        <f>IMAGE("https://assets.tcgdex.net/de/sv/sv05/083/low.jpg", 1)</f>
        <v/>
      </c>
      <c r="E68" s="22"/>
      <c r="F68" s="20"/>
      <c r="G68" s="21" t="str">
        <f>IMAGE("https://assets.tcgdex.net/de/sv/sv05/084/low.jpg", 1)</f>
        <v/>
      </c>
      <c r="H68" s="22"/>
      <c r="I68" s="20"/>
      <c r="J68" s="21" t="str">
        <f>IMAGE("https://assets.tcgdex.net/de/sv/sv05/085/low.jpg", 1)</f>
        <v/>
      </c>
      <c r="K68" s="22"/>
      <c r="L68" s="20"/>
      <c r="M68" s="21" t="str">
        <f>IMAGE("https://assets.tcgdex.net/de/sv/sv05/086/low.jpg", 1)</f>
        <v/>
      </c>
      <c r="N68" s="22"/>
      <c r="O68" s="20"/>
    </row>
    <row r="69" ht="22.5" customHeight="1">
      <c r="A69" s="23" t="b">
        <v>0</v>
      </c>
      <c r="B69" s="24" t="b">
        <v>0</v>
      </c>
      <c r="C69" s="25" t="str">
        <f>HYPERLINK("https://www.cardmarket.com/en/Pokemon/Products/Singles?idCategory=1&amp;idProduct=sv5-82", "CM")</f>
        <v>CM</v>
      </c>
      <c r="D69" s="23" t="b">
        <v>0</v>
      </c>
      <c r="E69" s="24" t="b">
        <v>0</v>
      </c>
      <c r="F69" s="25" t="str">
        <f>HYPERLINK("https://www.cardmarket.com/en/Pokemon/Products/Singles?idCategory=1&amp;idProduct=sv5-83", "CM")</f>
        <v>CM</v>
      </c>
      <c r="G69" s="23" t="b">
        <v>0</v>
      </c>
      <c r="H69" s="24" t="b">
        <v>0</v>
      </c>
      <c r="I69" s="25" t="str">
        <f>HYPERLINK("https://www.cardmarket.com/en/Pokemon/Products/Singles?idCategory=1&amp;idProduct=sv5-84", "CM")</f>
        <v>CM</v>
      </c>
      <c r="J69" s="23" t="b">
        <v>0</v>
      </c>
      <c r="K69" s="24" t="b">
        <v>0</v>
      </c>
      <c r="L69" s="25" t="str">
        <f>HYPERLINK("https://www.cardmarket.com/en/Pokemon/Products/Singles?idCategory=1&amp;idProduct=sv5-85", "CM")</f>
        <v>CM</v>
      </c>
      <c r="M69" s="23" t="b">
        <v>0</v>
      </c>
      <c r="N69" s="24" t="b">
        <v>0</v>
      </c>
      <c r="O69" s="25" t="str">
        <f>HYPERLINK("https://www.cardmarket.com/en/Pokemon/Products/Singles?idCategory=1&amp;idProduct=sv5-86", "CM")</f>
        <v>CM</v>
      </c>
    </row>
    <row r="70" ht="7.5" customHeight="1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</row>
    <row r="71" ht="18.75" customHeight="1">
      <c r="A71" s="18" t="s">
        <v>613</v>
      </c>
      <c r="B71" s="19" t="s">
        <v>1818</v>
      </c>
      <c r="C71" s="20"/>
      <c r="D71" s="18" t="s">
        <v>615</v>
      </c>
      <c r="E71" s="19" t="s">
        <v>1819</v>
      </c>
      <c r="F71" s="20"/>
      <c r="G71" s="18" t="s">
        <v>617</v>
      </c>
      <c r="H71" s="19" t="s">
        <v>1000</v>
      </c>
      <c r="I71" s="20"/>
      <c r="J71" s="18" t="s">
        <v>619</v>
      </c>
      <c r="K71" s="19" t="s">
        <v>1001</v>
      </c>
      <c r="L71" s="20"/>
      <c r="M71" s="18" t="s">
        <v>621</v>
      </c>
      <c r="N71" s="19" t="s">
        <v>1820</v>
      </c>
      <c r="O71" s="20"/>
    </row>
    <row r="72" ht="180.0" customHeight="1">
      <c r="A72" s="21" t="str">
        <f>IMAGE("https://assets.tcgdex.net/de/sv/sv05/087/low.jpg", 1)</f>
        <v/>
      </c>
      <c r="B72" s="22"/>
      <c r="C72" s="20"/>
      <c r="D72" s="21" t="str">
        <f>IMAGE("https://assets.tcgdex.net/de/sv/sv05/088/low.jpg", 1)</f>
        <v/>
      </c>
      <c r="E72" s="22"/>
      <c r="F72" s="20"/>
      <c r="G72" s="21" t="str">
        <f>IMAGE("https://assets.tcgdex.net/de/sv/sv05/089/low.jpg", 1)</f>
        <v/>
      </c>
      <c r="H72" s="22"/>
      <c r="I72" s="20"/>
      <c r="J72" s="21" t="str">
        <f>IMAGE("https://assets.tcgdex.net/de/sv/sv05/090/low.jpg", 1)</f>
        <v/>
      </c>
      <c r="K72" s="22"/>
      <c r="L72" s="20"/>
      <c r="M72" s="21" t="str">
        <f>IMAGE("https://assets.tcgdex.net/de/sv/sv05/091/low.jpg", 1)</f>
        <v/>
      </c>
      <c r="N72" s="22"/>
      <c r="O72" s="20"/>
    </row>
    <row r="73" ht="22.5" customHeight="1">
      <c r="A73" s="23" t="b">
        <v>0</v>
      </c>
      <c r="B73" s="24" t="b">
        <v>0</v>
      </c>
      <c r="C73" s="25" t="str">
        <f>HYPERLINK("https://www.cardmarket.com/en/Pokemon/Products/Singles?idCategory=1&amp;idProduct=sv5-87", "CM")</f>
        <v>CM</v>
      </c>
      <c r="D73" s="23" t="b">
        <v>0</v>
      </c>
      <c r="E73" s="24" t="b">
        <v>0</v>
      </c>
      <c r="F73" s="25" t="str">
        <f>HYPERLINK("https://www.cardmarket.com/en/Pokemon/Products/Singles?idCategory=1&amp;idProduct=sv5-88", "CM")</f>
        <v>CM</v>
      </c>
      <c r="G73" s="23" t="b">
        <v>0</v>
      </c>
      <c r="H73" s="24" t="b">
        <v>0</v>
      </c>
      <c r="I73" s="25" t="str">
        <f>HYPERLINK("https://www.cardmarket.com/en/Pokemon/Products/Singles?idCategory=1&amp;idProduct=sv5-89", "CM")</f>
        <v>CM</v>
      </c>
      <c r="J73" s="23" t="b">
        <v>0</v>
      </c>
      <c r="K73" s="24" t="b">
        <v>0</v>
      </c>
      <c r="L73" s="25" t="str">
        <f>HYPERLINK("https://www.cardmarket.com/en/Pokemon/Products/Singles?idCategory=1&amp;idProduct=sv5-90", "CM")</f>
        <v>CM</v>
      </c>
      <c r="M73" s="23" t="b">
        <v>0</v>
      </c>
      <c r="N73" s="24" t="b">
        <v>0</v>
      </c>
      <c r="O73" s="25" t="str">
        <f>HYPERLINK("https://www.cardmarket.com/en/Pokemon/Products/Singles?idCategory=1&amp;idProduct=sv5-91", "CM")</f>
        <v>CM</v>
      </c>
    </row>
    <row r="74" ht="7.5" customHeight="1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</row>
    <row r="75" ht="18.75" customHeight="1">
      <c r="A75" s="18" t="s">
        <v>623</v>
      </c>
      <c r="B75" s="19" t="s">
        <v>1821</v>
      </c>
      <c r="C75" s="20"/>
      <c r="D75" s="18" t="s">
        <v>625</v>
      </c>
      <c r="E75" s="19" t="s">
        <v>1822</v>
      </c>
      <c r="F75" s="20"/>
      <c r="G75" s="18" t="s">
        <v>627</v>
      </c>
      <c r="H75" s="19" t="s">
        <v>1823</v>
      </c>
      <c r="I75" s="20"/>
      <c r="J75" s="18" t="s">
        <v>812</v>
      </c>
      <c r="K75" s="19" t="s">
        <v>1824</v>
      </c>
      <c r="L75" s="20"/>
      <c r="M75" s="18" t="s">
        <v>813</v>
      </c>
      <c r="N75" s="19" t="s">
        <v>1825</v>
      </c>
      <c r="O75" s="20"/>
    </row>
    <row r="76" ht="180.0" customHeight="1">
      <c r="A76" s="21" t="str">
        <f>IMAGE("https://assets.tcgdex.net/de/sv/sv05/092/low.jpg", 1)</f>
        <v/>
      </c>
      <c r="B76" s="22"/>
      <c r="C76" s="20"/>
      <c r="D76" s="21" t="str">
        <f>IMAGE("https://assets.tcgdex.net/de/sv/sv05/093/low.jpg", 1)</f>
        <v/>
      </c>
      <c r="E76" s="22"/>
      <c r="F76" s="20"/>
      <c r="G76" s="21" t="str">
        <f>IMAGE("https://assets.tcgdex.net/de/sv/sv05/094/low.jpg", 1)</f>
        <v/>
      </c>
      <c r="H76" s="22"/>
      <c r="I76" s="20"/>
      <c r="J76" s="21" t="str">
        <f>IMAGE("https://assets.tcgdex.net/de/sv/sv05/095/low.jpg", 1)</f>
        <v/>
      </c>
      <c r="K76" s="22"/>
      <c r="L76" s="20"/>
      <c r="M76" s="21" t="str">
        <f>IMAGE("https://assets.tcgdex.net/de/sv/sv05/096/low.jpg", 1)</f>
        <v/>
      </c>
      <c r="N76" s="22"/>
      <c r="O76" s="20"/>
    </row>
    <row r="77" ht="22.5" customHeight="1">
      <c r="A77" s="23" t="b">
        <v>0</v>
      </c>
      <c r="B77" s="24" t="b">
        <v>0</v>
      </c>
      <c r="C77" s="25" t="str">
        <f>HYPERLINK("https://www.cardmarket.com/en/Pokemon/Products/Singles?idCategory=1&amp;idProduct=sv5-92", "CM")</f>
        <v>CM</v>
      </c>
      <c r="D77" s="23" t="b">
        <v>0</v>
      </c>
      <c r="E77" s="24" t="b">
        <v>0</v>
      </c>
      <c r="F77" s="25" t="str">
        <f>HYPERLINK("https://www.cardmarket.com/en/Pokemon/Products/Singles?idCategory=1&amp;idProduct=sv5-93", "CM")</f>
        <v>CM</v>
      </c>
      <c r="G77" s="23" t="b">
        <v>0</v>
      </c>
      <c r="H77" s="24" t="b">
        <v>0</v>
      </c>
      <c r="I77" s="25" t="str">
        <f>HYPERLINK("https://www.cardmarket.com/en/Pokemon/Products/Singles?idCategory=1&amp;idProduct=sv5-94", "CM")</f>
        <v>CM</v>
      </c>
      <c r="J77" s="23" t="b">
        <v>0</v>
      </c>
      <c r="K77" s="24" t="b">
        <v>0</v>
      </c>
      <c r="L77" s="25" t="str">
        <f>HYPERLINK("https://www.cardmarket.com/en/Pokemon/Products/Singles?idCategory=1&amp;idProduct=sv5-95", "CM")</f>
        <v>CM</v>
      </c>
      <c r="M77" s="23" t="b">
        <v>0</v>
      </c>
      <c r="N77" s="24" t="b">
        <v>0</v>
      </c>
      <c r="O77" s="25" t="str">
        <f>HYPERLINK("https://www.cardmarket.com/en/Pokemon/Products/Singles?idCategory=1&amp;idProduct=sv5-96", "CM")</f>
        <v>CM</v>
      </c>
    </row>
    <row r="78" ht="7.5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</row>
    <row r="79" ht="18.75" customHeight="1">
      <c r="A79" s="18" t="s">
        <v>815</v>
      </c>
      <c r="B79" s="19" t="s">
        <v>1825</v>
      </c>
      <c r="C79" s="20"/>
      <c r="D79" s="18" t="s">
        <v>817</v>
      </c>
      <c r="E79" s="19" t="s">
        <v>1826</v>
      </c>
      <c r="F79" s="20"/>
      <c r="G79" s="18" t="s">
        <v>819</v>
      </c>
      <c r="H79" s="19" t="s">
        <v>684</v>
      </c>
      <c r="I79" s="20"/>
      <c r="J79" s="18" t="s">
        <v>821</v>
      </c>
      <c r="K79" s="19" t="s">
        <v>1491</v>
      </c>
      <c r="L79" s="20"/>
      <c r="M79" s="18" t="s">
        <v>629</v>
      </c>
      <c r="N79" s="19" t="s">
        <v>1827</v>
      </c>
      <c r="O79" s="20"/>
    </row>
    <row r="80" ht="180.0" customHeight="1">
      <c r="A80" s="21" t="str">
        <f>IMAGE("https://assets.tcgdex.net/de/sv/sv05/097/low.jpg", 1)</f>
        <v/>
      </c>
      <c r="B80" s="22"/>
      <c r="C80" s="20"/>
      <c r="D80" s="21" t="str">
        <f>IMAGE("https://assets.tcgdex.net/de/sv/sv05/098/low.jpg", 1)</f>
        <v/>
      </c>
      <c r="E80" s="22"/>
      <c r="F80" s="20"/>
      <c r="G80" s="21" t="str">
        <f>IMAGE("https://assets.tcgdex.net/de/sv/sv05/099/low.jpg", 1)</f>
        <v/>
      </c>
      <c r="H80" s="22"/>
      <c r="I80" s="20"/>
      <c r="J80" s="21" t="str">
        <f>IMAGE("https://assets.tcgdex.net/de/sv/sv05/100/low.jpg", 1)</f>
        <v/>
      </c>
      <c r="K80" s="22"/>
      <c r="L80" s="20"/>
      <c r="M80" s="21" t="str">
        <f>IMAGE("https://assets.tcgdex.net/de/sv/sv05/101/low.jpg", 1)</f>
        <v/>
      </c>
      <c r="N80" s="22"/>
      <c r="O80" s="20"/>
    </row>
    <row r="81" ht="22.5" customHeight="1">
      <c r="A81" s="23" t="b">
        <v>0</v>
      </c>
      <c r="B81" s="24" t="b">
        <v>0</v>
      </c>
      <c r="C81" s="25" t="str">
        <f>HYPERLINK("https://www.cardmarket.com/en/Pokemon/Products/Singles?idCategory=1&amp;idProduct=sv5-97", "CM")</f>
        <v>CM</v>
      </c>
      <c r="D81" s="23" t="b">
        <v>0</v>
      </c>
      <c r="E81" s="24" t="b">
        <v>0</v>
      </c>
      <c r="F81" s="25" t="str">
        <f>HYPERLINK("https://www.cardmarket.com/en/Pokemon/Products/Singles?idCategory=1&amp;idProduct=sv5-98", "CM")</f>
        <v>CM</v>
      </c>
      <c r="G81" s="23" t="b">
        <v>0</v>
      </c>
      <c r="H81" s="24" t="b">
        <v>0</v>
      </c>
      <c r="I81" s="25" t="str">
        <f>HYPERLINK("https://www.cardmarket.com/en/Pokemon/Products/Singles?idCategory=1&amp;idProduct=sv5-99", "CM")</f>
        <v>CM</v>
      </c>
      <c r="J81" s="23" t="b">
        <v>0</v>
      </c>
      <c r="K81" s="24" t="b">
        <v>0</v>
      </c>
      <c r="L81" s="25" t="str">
        <f>HYPERLINK("https://www.cardmarket.com/en/Pokemon/Products/Singles?idCategory=1&amp;idProduct=sv5-100", "CM")</f>
        <v>CM</v>
      </c>
      <c r="M81" s="23" t="b">
        <v>0</v>
      </c>
      <c r="N81" s="24" t="b">
        <v>0</v>
      </c>
      <c r="O81" s="25" t="str">
        <f>HYPERLINK("https://www.cardmarket.com/en/Pokemon/Products/Singles?idCategory=1&amp;idProduct=sv5-101", "CM")</f>
        <v>CM</v>
      </c>
    </row>
    <row r="82" ht="7.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</row>
    <row r="83" ht="18.75" customHeight="1">
      <c r="A83" s="18" t="s">
        <v>630</v>
      </c>
      <c r="B83" s="19" t="s">
        <v>1539</v>
      </c>
      <c r="C83" s="20"/>
      <c r="D83" s="18" t="s">
        <v>632</v>
      </c>
      <c r="E83" s="19" t="s">
        <v>1540</v>
      </c>
      <c r="F83" s="20"/>
      <c r="G83" s="18" t="s">
        <v>634</v>
      </c>
      <c r="H83" s="19" t="s">
        <v>1828</v>
      </c>
      <c r="I83" s="20"/>
      <c r="J83" s="18" t="s">
        <v>636</v>
      </c>
      <c r="K83" s="19" t="s">
        <v>1829</v>
      </c>
      <c r="L83" s="20"/>
      <c r="M83" s="18" t="s">
        <v>638</v>
      </c>
      <c r="N83" s="19" t="s">
        <v>1830</v>
      </c>
      <c r="O83" s="20"/>
    </row>
    <row r="84" ht="180.0" customHeight="1">
      <c r="A84" s="21" t="str">
        <f>IMAGE("https://assets.tcgdex.net/de/sv/sv05/102/low.jpg", 1)</f>
        <v/>
      </c>
      <c r="B84" s="22"/>
      <c r="C84" s="20"/>
      <c r="D84" s="21" t="str">
        <f>IMAGE("https://assets.tcgdex.net/de/sv/sv05/103/low.jpg", 1)</f>
        <v/>
      </c>
      <c r="E84" s="22"/>
      <c r="F84" s="20"/>
      <c r="G84" s="21" t="str">
        <f>IMAGE("https://assets.tcgdex.net/de/sv/sv05/104/low.jpg", 1)</f>
        <v/>
      </c>
      <c r="H84" s="22"/>
      <c r="I84" s="20"/>
      <c r="J84" s="21" t="str">
        <f>IMAGE("https://assets.tcgdex.net/de/sv/sv05/105/low.jpg", 1)</f>
        <v/>
      </c>
      <c r="K84" s="22"/>
      <c r="L84" s="20"/>
      <c r="M84" s="21" t="str">
        <f>IMAGE("https://assets.tcgdex.net/de/sv/sv05/106/low.jpg", 1)</f>
        <v/>
      </c>
      <c r="N84" s="22"/>
      <c r="O84" s="20"/>
    </row>
    <row r="85" ht="22.5" customHeight="1">
      <c r="A85" s="23" t="b">
        <v>0</v>
      </c>
      <c r="B85" s="24" t="b">
        <v>0</v>
      </c>
      <c r="C85" s="25" t="str">
        <f>HYPERLINK("https://www.cardmarket.com/en/Pokemon/Products/Singles?idCategory=1&amp;idProduct=sv5-102", "CM")</f>
        <v>CM</v>
      </c>
      <c r="D85" s="23" t="b">
        <v>0</v>
      </c>
      <c r="E85" s="24" t="b">
        <v>0</v>
      </c>
      <c r="F85" s="25" t="str">
        <f>HYPERLINK("https://www.cardmarket.com/en/Pokemon/Products/Singles?idCategory=1&amp;idProduct=sv5-103", "CM")</f>
        <v>CM</v>
      </c>
      <c r="G85" s="23" t="b">
        <v>0</v>
      </c>
      <c r="H85" s="24" t="b">
        <v>0</v>
      </c>
      <c r="I85" s="25" t="str">
        <f>HYPERLINK("https://www.cardmarket.com/en/Pokemon/Products/Singles?idCategory=1&amp;idProduct=sv5-104", "CM")</f>
        <v>CM</v>
      </c>
      <c r="J85" s="23" t="b">
        <v>0</v>
      </c>
      <c r="K85" s="24" t="b">
        <v>0</v>
      </c>
      <c r="L85" s="25" t="str">
        <f>HYPERLINK("https://www.cardmarket.com/en/Pokemon/Products/Singles?idCategory=1&amp;idProduct=sv5-105", "CM")</f>
        <v>CM</v>
      </c>
      <c r="M85" s="23" t="b">
        <v>0</v>
      </c>
      <c r="N85" s="24" t="b">
        <v>0</v>
      </c>
      <c r="O85" s="25" t="str">
        <f>HYPERLINK("https://www.cardmarket.com/en/Pokemon/Products/Singles?idCategory=1&amp;idProduct=sv5-106", "CM")</f>
        <v>CM</v>
      </c>
    </row>
    <row r="86" ht="7.5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</row>
    <row r="87" ht="18.75" customHeight="1">
      <c r="A87" s="18" t="s">
        <v>640</v>
      </c>
      <c r="B87" s="19" t="s">
        <v>1765</v>
      </c>
      <c r="C87" s="20"/>
      <c r="D87" s="18" t="s">
        <v>642</v>
      </c>
      <c r="E87" s="19" t="s">
        <v>1831</v>
      </c>
      <c r="F87" s="20"/>
      <c r="G87" s="18" t="s">
        <v>643</v>
      </c>
      <c r="H87" s="19" t="s">
        <v>1832</v>
      </c>
      <c r="I87" s="20"/>
      <c r="J87" s="18" t="s">
        <v>645</v>
      </c>
      <c r="K87" s="19" t="s">
        <v>1226</v>
      </c>
      <c r="L87" s="20"/>
      <c r="M87" s="18" t="s">
        <v>647</v>
      </c>
      <c r="N87" s="19" t="s">
        <v>1833</v>
      </c>
      <c r="O87" s="20"/>
    </row>
    <row r="88" ht="180.0" customHeight="1">
      <c r="A88" s="21" t="str">
        <f>IMAGE("https://assets.tcgdex.net/de/sv/sv05/107/low.jpg", 1)</f>
        <v/>
      </c>
      <c r="B88" s="22"/>
      <c r="C88" s="20"/>
      <c r="D88" s="21" t="str">
        <f>IMAGE("https://assets.tcgdex.net/de/sv/sv05/108/low.jpg", 1)</f>
        <v/>
      </c>
      <c r="E88" s="22"/>
      <c r="F88" s="20"/>
      <c r="G88" s="21" t="str">
        <f>IMAGE("https://assets.tcgdex.net/de/sv/sv05/109/low.jpg", 1)</f>
        <v/>
      </c>
      <c r="H88" s="22"/>
      <c r="I88" s="20"/>
      <c r="J88" s="21" t="str">
        <f>IMAGE("https://assets.tcgdex.net/de/sv/sv05/110/low.jpg", 1)</f>
        <v/>
      </c>
      <c r="K88" s="22"/>
      <c r="L88" s="20"/>
      <c r="M88" s="21" t="str">
        <f>IMAGE("https://assets.tcgdex.net/de/sv/sv05/111/low.jpg", 1)</f>
        <v/>
      </c>
      <c r="N88" s="22"/>
      <c r="O88" s="20"/>
    </row>
    <row r="89" ht="22.5" customHeight="1">
      <c r="A89" s="23" t="b">
        <v>0</v>
      </c>
      <c r="B89" s="24" t="b">
        <v>0</v>
      </c>
      <c r="C89" s="25" t="str">
        <f>HYPERLINK("https://www.cardmarket.com/en/Pokemon/Products/Singles?idCategory=1&amp;idProduct=sv5-107", "CM")</f>
        <v>CM</v>
      </c>
      <c r="D89" s="23" t="b">
        <v>0</v>
      </c>
      <c r="E89" s="24" t="b">
        <v>0</v>
      </c>
      <c r="F89" s="25" t="str">
        <f>HYPERLINK("https://www.cardmarket.com/en/Pokemon/Products/Singles?idCategory=1&amp;idProduct=sv5-108", "CM")</f>
        <v>CM</v>
      </c>
      <c r="G89" s="23" t="b">
        <v>0</v>
      </c>
      <c r="H89" s="24" t="b">
        <v>0</v>
      </c>
      <c r="I89" s="25" t="str">
        <f>HYPERLINK("https://www.cardmarket.com/en/Pokemon/Products/Singles?idCategory=1&amp;idProduct=sv5-109", "CM")</f>
        <v>CM</v>
      </c>
      <c r="J89" s="23" t="b">
        <v>0</v>
      </c>
      <c r="K89" s="24" t="b">
        <v>0</v>
      </c>
      <c r="L89" s="25" t="str">
        <f>HYPERLINK("https://www.cardmarket.com/en/Pokemon/Products/Singles?idCategory=1&amp;idProduct=sv5-110", "CM")</f>
        <v>CM</v>
      </c>
      <c r="M89" s="23" t="b">
        <v>0</v>
      </c>
      <c r="N89" s="24" t="b">
        <v>0</v>
      </c>
      <c r="O89" s="25" t="str">
        <f>HYPERLINK("https://www.cardmarket.com/en/Pokemon/Products/Singles?idCategory=1&amp;idProduct=sv5-111", "CM")</f>
        <v>CM</v>
      </c>
    </row>
    <row r="90" ht="7.5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</row>
    <row r="91" ht="18.75" customHeight="1">
      <c r="A91" s="18" t="s">
        <v>649</v>
      </c>
      <c r="B91" s="19" t="s">
        <v>574</v>
      </c>
      <c r="C91" s="20"/>
      <c r="D91" s="18" t="s">
        <v>651</v>
      </c>
      <c r="E91" s="19" t="s">
        <v>1834</v>
      </c>
      <c r="F91" s="20"/>
      <c r="G91" s="18" t="s">
        <v>823</v>
      </c>
      <c r="H91" s="19" t="s">
        <v>620</v>
      </c>
      <c r="I91" s="20"/>
      <c r="J91" s="18" t="s">
        <v>653</v>
      </c>
      <c r="K91" s="19" t="s">
        <v>1835</v>
      </c>
      <c r="L91" s="20"/>
      <c r="M91" s="18" t="s">
        <v>825</v>
      </c>
      <c r="N91" s="19" t="s">
        <v>1443</v>
      </c>
      <c r="O91" s="20"/>
    </row>
    <row r="92" ht="180.0" customHeight="1">
      <c r="A92" s="21" t="str">
        <f>IMAGE("https://assets.tcgdex.net/de/sv/sv05/112/low.jpg", 1)</f>
        <v/>
      </c>
      <c r="B92" s="22"/>
      <c r="C92" s="20"/>
      <c r="D92" s="21" t="str">
        <f>IMAGE("https://assets.tcgdex.net/de/sv/sv05/113/low.jpg", 1)</f>
        <v/>
      </c>
      <c r="E92" s="22"/>
      <c r="F92" s="20"/>
      <c r="G92" s="21" t="str">
        <f>IMAGE("https://assets.tcgdex.net/de/sv/sv05/114/low.jpg", 1)</f>
        <v/>
      </c>
      <c r="H92" s="22"/>
      <c r="I92" s="20"/>
      <c r="J92" s="21" t="str">
        <f>IMAGE("https://assets.tcgdex.net/de/sv/sv05/115/low.jpg", 1)</f>
        <v/>
      </c>
      <c r="K92" s="22"/>
      <c r="L92" s="20"/>
      <c r="M92" s="21" t="str">
        <f>IMAGE("https://assets.tcgdex.net/de/sv/sv05/116/low.jpg", 1)</f>
        <v/>
      </c>
      <c r="N92" s="22"/>
      <c r="O92" s="20"/>
    </row>
    <row r="93" ht="22.5" customHeight="1">
      <c r="A93" s="23" t="b">
        <v>0</v>
      </c>
      <c r="B93" s="24" t="b">
        <v>0</v>
      </c>
      <c r="C93" s="25" t="str">
        <f>HYPERLINK("https://www.cardmarket.com/en/Pokemon/Products/Singles?idCategory=1&amp;idProduct=sv5-112", "CM")</f>
        <v>CM</v>
      </c>
      <c r="D93" s="23" t="b">
        <v>0</v>
      </c>
      <c r="E93" s="24" t="b">
        <v>0</v>
      </c>
      <c r="F93" s="25" t="str">
        <f>HYPERLINK("https://www.cardmarket.com/en/Pokemon/Products/Singles?idCategory=1&amp;idProduct=sv5-113", "CM")</f>
        <v>CM</v>
      </c>
      <c r="G93" s="23" t="b">
        <v>0</v>
      </c>
      <c r="H93" s="24" t="b">
        <v>0</v>
      </c>
      <c r="I93" s="25" t="str">
        <f>HYPERLINK("https://www.cardmarket.com/en/Pokemon/Products/Singles?idCategory=1&amp;idProduct=sv5-114", "CM")</f>
        <v>CM</v>
      </c>
      <c r="J93" s="23" t="b">
        <v>0</v>
      </c>
      <c r="K93" s="24" t="b">
        <v>0</v>
      </c>
      <c r="L93" s="25" t="str">
        <f>HYPERLINK("https://www.cardmarket.com/en/Pokemon/Products/Singles?idCategory=1&amp;idProduct=sv5-115", "CM")</f>
        <v>CM</v>
      </c>
      <c r="M93" s="23" t="b">
        <v>0</v>
      </c>
      <c r="N93" s="24" t="b">
        <v>0</v>
      </c>
      <c r="O93" s="25" t="str">
        <f>HYPERLINK("https://www.cardmarket.com/en/Pokemon/Products/Singles?idCategory=1&amp;idProduct=sv5-116", "CM")</f>
        <v>CM</v>
      </c>
    </row>
    <row r="94" ht="7.5" customHeigh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</row>
    <row r="95" ht="18.75" customHeight="1">
      <c r="A95" s="18" t="s">
        <v>655</v>
      </c>
      <c r="B95" s="19" t="s">
        <v>1836</v>
      </c>
      <c r="C95" s="20"/>
      <c r="D95" s="18" t="s">
        <v>827</v>
      </c>
      <c r="E95" s="19" t="s">
        <v>1837</v>
      </c>
      <c r="F95" s="20"/>
      <c r="G95" s="18" t="s">
        <v>657</v>
      </c>
      <c r="H95" s="19" t="s">
        <v>622</v>
      </c>
      <c r="I95" s="20"/>
      <c r="J95" s="18" t="s">
        <v>659</v>
      </c>
      <c r="K95" s="19" t="s">
        <v>554</v>
      </c>
      <c r="L95" s="20"/>
      <c r="M95" s="18" t="s">
        <v>829</v>
      </c>
      <c r="N95" s="19" t="s">
        <v>624</v>
      </c>
      <c r="O95" s="20"/>
    </row>
    <row r="96" ht="180.0" customHeight="1">
      <c r="A96" s="21" t="str">
        <f>IMAGE("https://assets.tcgdex.net/de/sv/sv05/117/low.jpg", 1)</f>
        <v/>
      </c>
      <c r="B96" s="22"/>
      <c r="C96" s="20"/>
      <c r="D96" s="21" t="str">
        <f>IMAGE("https://assets.tcgdex.net/de/sv/sv05/118/low.jpg", 1)</f>
        <v/>
      </c>
      <c r="E96" s="22"/>
      <c r="F96" s="20"/>
      <c r="G96" s="21" t="str">
        <f>IMAGE("https://assets.tcgdex.net/de/sv/sv05/119/low.jpg", 1)</f>
        <v/>
      </c>
      <c r="H96" s="22"/>
      <c r="I96" s="20"/>
      <c r="J96" s="21" t="str">
        <f>IMAGE("https://assets.tcgdex.net/de/sv/sv05/120/low.jpg", 1)</f>
        <v/>
      </c>
      <c r="K96" s="22"/>
      <c r="L96" s="20"/>
      <c r="M96" s="21" t="str">
        <f>IMAGE("https://assets.tcgdex.net/de/sv/sv05/121/low.jpg", 1)</f>
        <v/>
      </c>
      <c r="N96" s="22"/>
      <c r="O96" s="20"/>
    </row>
    <row r="97" ht="22.5" customHeight="1">
      <c r="A97" s="23" t="b">
        <v>0</v>
      </c>
      <c r="B97" s="24" t="b">
        <v>0</v>
      </c>
      <c r="C97" s="25" t="str">
        <f>HYPERLINK("https://www.cardmarket.com/en/Pokemon/Products/Singles?idCategory=1&amp;idProduct=sv5-117", "CM")</f>
        <v>CM</v>
      </c>
      <c r="D97" s="23" t="b">
        <v>0</v>
      </c>
      <c r="E97" s="24" t="b">
        <v>0</v>
      </c>
      <c r="F97" s="25" t="str">
        <f>HYPERLINK("https://www.cardmarket.com/en/Pokemon/Products/Singles?idCategory=1&amp;idProduct=sv5-118", "CM")</f>
        <v>CM</v>
      </c>
      <c r="G97" s="23" t="b">
        <v>0</v>
      </c>
      <c r="H97" s="24" t="b">
        <v>0</v>
      </c>
      <c r="I97" s="25" t="str">
        <f>HYPERLINK("https://www.cardmarket.com/en/Pokemon/Products/Singles?idCategory=1&amp;idProduct=sv5-119", "CM")</f>
        <v>CM</v>
      </c>
      <c r="J97" s="23" t="b">
        <v>0</v>
      </c>
      <c r="K97" s="24" t="b">
        <v>0</v>
      </c>
      <c r="L97" s="25" t="str">
        <f>HYPERLINK("https://www.cardmarket.com/en/Pokemon/Products/Singles?idCategory=1&amp;idProduct=sv5-120", "CM")</f>
        <v>CM</v>
      </c>
      <c r="M97" s="23" t="b">
        <v>0</v>
      </c>
      <c r="N97" s="24" t="b">
        <v>0</v>
      </c>
      <c r="O97" s="25" t="str">
        <f>HYPERLINK("https://www.cardmarket.com/en/Pokemon/Products/Singles?idCategory=1&amp;idProduct=sv5-121", "CM")</f>
        <v>CM</v>
      </c>
    </row>
    <row r="98" ht="7.5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</row>
    <row r="99" ht="18.75" customHeight="1">
      <c r="A99" s="18" t="s">
        <v>830</v>
      </c>
      <c r="B99" s="19" t="s">
        <v>552</v>
      </c>
      <c r="C99" s="20"/>
      <c r="D99" s="18" t="s">
        <v>831</v>
      </c>
      <c r="E99" s="19" t="s">
        <v>851</v>
      </c>
      <c r="F99" s="20"/>
      <c r="G99" s="18" t="s">
        <v>833</v>
      </c>
      <c r="H99" s="19" t="s">
        <v>1551</v>
      </c>
      <c r="I99" s="20"/>
      <c r="J99" s="18" t="s">
        <v>661</v>
      </c>
      <c r="K99" s="19" t="s">
        <v>1838</v>
      </c>
      <c r="L99" s="20"/>
      <c r="M99" s="18" t="s">
        <v>835</v>
      </c>
      <c r="N99" s="19" t="s">
        <v>1839</v>
      </c>
      <c r="O99" s="20"/>
    </row>
    <row r="100" ht="180.0" customHeight="1">
      <c r="A100" s="21" t="str">
        <f>IMAGE("https://assets.tcgdex.net/de/sv/sv05/122/low.jpg", 1)</f>
        <v/>
      </c>
      <c r="B100" s="22"/>
      <c r="C100" s="20"/>
      <c r="D100" s="21" t="str">
        <f>IMAGE("https://assets.tcgdex.net/de/sv/sv05/123/low.jpg", 1)</f>
        <v/>
      </c>
      <c r="E100" s="22"/>
      <c r="F100" s="20"/>
      <c r="G100" s="21" t="str">
        <f>IMAGE("https://assets.tcgdex.net/de/sv/sv05/124/low.jpg", 1)</f>
        <v/>
      </c>
      <c r="H100" s="22"/>
      <c r="I100" s="20"/>
      <c r="J100" s="21" t="str">
        <f>IMAGE("https://assets.tcgdex.net/de/sv/sv05/125/low.jpg", 1)</f>
        <v/>
      </c>
      <c r="K100" s="22"/>
      <c r="L100" s="20"/>
      <c r="M100" s="21" t="str">
        <f>IMAGE("https://assets.tcgdex.net/de/sv/sv05/126/low.jpg", 1)</f>
        <v/>
      </c>
      <c r="N100" s="22"/>
      <c r="O100" s="20"/>
    </row>
    <row r="101" ht="22.5" customHeight="1">
      <c r="A101" s="23" t="b">
        <v>0</v>
      </c>
      <c r="B101" s="24" t="b">
        <v>0</v>
      </c>
      <c r="C101" s="25" t="str">
        <f>HYPERLINK("https://www.cardmarket.com/en/Pokemon/Products/Singles?idCategory=1&amp;idProduct=sv5-122", "CM")</f>
        <v>CM</v>
      </c>
      <c r="D101" s="23" t="b">
        <v>0</v>
      </c>
      <c r="E101" s="24" t="b">
        <v>0</v>
      </c>
      <c r="F101" s="25" t="str">
        <f>HYPERLINK("https://www.cardmarket.com/en/Pokemon/Products/Singles?idCategory=1&amp;idProduct=sv5-123", "CM")</f>
        <v>CM</v>
      </c>
      <c r="G101" s="23" t="b">
        <v>0</v>
      </c>
      <c r="H101" s="24" t="b">
        <v>0</v>
      </c>
      <c r="I101" s="25" t="str">
        <f>HYPERLINK("https://www.cardmarket.com/en/Pokemon/Products/Singles?idCategory=1&amp;idProduct=sv5-124", "CM")</f>
        <v>CM</v>
      </c>
      <c r="J101" s="23" t="b">
        <v>0</v>
      </c>
      <c r="K101" s="24" t="b">
        <v>0</v>
      </c>
      <c r="L101" s="25" t="str">
        <f>HYPERLINK("https://www.cardmarket.com/en/Pokemon/Products/Singles?idCategory=1&amp;idProduct=sv5-125", "CM")</f>
        <v>CM</v>
      </c>
      <c r="M101" s="23" t="b">
        <v>0</v>
      </c>
      <c r="N101" s="24" t="b">
        <v>0</v>
      </c>
      <c r="O101" s="25" t="str">
        <f>HYPERLINK("https://www.cardmarket.com/en/Pokemon/Products/Singles?idCategory=1&amp;idProduct=sv5-126", "CM")</f>
        <v>CM</v>
      </c>
    </row>
    <row r="102" ht="7.5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</row>
    <row r="103" ht="18.75" customHeight="1">
      <c r="A103" s="18" t="s">
        <v>662</v>
      </c>
      <c r="B103" s="19" t="s">
        <v>849</v>
      </c>
      <c r="C103" s="20"/>
      <c r="D103" s="18" t="s">
        <v>837</v>
      </c>
      <c r="E103" s="19" t="s">
        <v>1840</v>
      </c>
      <c r="F103" s="20"/>
      <c r="G103" s="18" t="s">
        <v>839</v>
      </c>
      <c r="H103" s="19" t="s">
        <v>1841</v>
      </c>
      <c r="I103" s="20"/>
      <c r="J103" s="18" t="s">
        <v>841</v>
      </c>
      <c r="K103" s="19" t="s">
        <v>1842</v>
      </c>
      <c r="L103" s="20"/>
      <c r="M103" s="18" t="s">
        <v>842</v>
      </c>
      <c r="N103" s="19" t="s">
        <v>1843</v>
      </c>
      <c r="O103" s="20"/>
    </row>
    <row r="104" ht="180.0" customHeight="1">
      <c r="A104" s="21" t="str">
        <f>IMAGE("https://assets.tcgdex.net/de/sv/sv05/127/low.jpg", 1)</f>
        <v/>
      </c>
      <c r="B104" s="22"/>
      <c r="C104" s="20"/>
      <c r="D104" s="21" t="str">
        <f>IMAGE("https://assets.tcgdex.net/de/sv/sv05/128/low.jpg", 1)</f>
        <v/>
      </c>
      <c r="E104" s="22"/>
      <c r="F104" s="20"/>
      <c r="G104" s="21" t="str">
        <f>IMAGE("https://assets.tcgdex.net/de/sv/sv05/129/low.jpg", 1)</f>
        <v/>
      </c>
      <c r="H104" s="22"/>
      <c r="I104" s="20"/>
      <c r="J104" s="21" t="str">
        <f>IMAGE("https://assets.tcgdex.net/de/sv/sv05/130/low.jpg", 1)</f>
        <v/>
      </c>
      <c r="K104" s="22"/>
      <c r="L104" s="20"/>
      <c r="M104" s="21" t="str">
        <f>IMAGE("https://assets.tcgdex.net/de/sv/sv05/131/low.jpg", 1)</f>
        <v/>
      </c>
      <c r="N104" s="22"/>
      <c r="O104" s="20"/>
    </row>
    <row r="105" ht="22.5" customHeight="1">
      <c r="A105" s="23" t="b">
        <v>0</v>
      </c>
      <c r="B105" s="24" t="b">
        <v>0</v>
      </c>
      <c r="C105" s="25" t="str">
        <f>HYPERLINK("https://www.cardmarket.com/en/Pokemon/Products/Singles?idCategory=1&amp;idProduct=sv5-127", "CM")</f>
        <v>CM</v>
      </c>
      <c r="D105" s="23" t="b">
        <v>0</v>
      </c>
      <c r="E105" s="24" t="b">
        <v>0</v>
      </c>
      <c r="F105" s="25" t="str">
        <f>HYPERLINK("https://www.cardmarket.com/en/Pokemon/Products/Singles?idCategory=1&amp;idProduct=sv5-128", "CM")</f>
        <v>CM</v>
      </c>
      <c r="G105" s="23" t="b">
        <v>0</v>
      </c>
      <c r="H105" s="24" t="b">
        <v>0</v>
      </c>
      <c r="I105" s="25" t="str">
        <f>HYPERLINK("https://www.cardmarket.com/en/Pokemon/Products/Singles?idCategory=1&amp;idProduct=sv5-129", "CM")</f>
        <v>CM</v>
      </c>
      <c r="J105" s="23" t="b">
        <v>0</v>
      </c>
      <c r="K105" s="24" t="b">
        <v>0</v>
      </c>
      <c r="L105" s="25" t="str">
        <f>HYPERLINK("https://www.cardmarket.com/en/Pokemon/Products/Singles?idCategory=1&amp;idProduct=sv5-130", "CM")</f>
        <v>CM</v>
      </c>
      <c r="M105" s="23" t="b">
        <v>0</v>
      </c>
      <c r="N105" s="24" t="b">
        <v>0</v>
      </c>
      <c r="O105" s="25" t="str">
        <f>HYPERLINK("https://www.cardmarket.com/en/Pokemon/Products/Singles?idCategory=1&amp;idProduct=sv5-131", "CM")</f>
        <v>CM</v>
      </c>
    </row>
    <row r="106" ht="7.5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</row>
    <row r="107" ht="18.75" customHeight="1">
      <c r="A107" s="18" t="s">
        <v>844</v>
      </c>
      <c r="B107" s="19" t="s">
        <v>943</v>
      </c>
      <c r="C107" s="20"/>
      <c r="D107" s="18" t="s">
        <v>664</v>
      </c>
      <c r="E107" s="19" t="s">
        <v>1844</v>
      </c>
      <c r="F107" s="20"/>
      <c r="G107" s="18" t="s">
        <v>666</v>
      </c>
      <c r="H107" s="19" t="s">
        <v>1845</v>
      </c>
      <c r="I107" s="20"/>
      <c r="J107" s="18" t="s">
        <v>845</v>
      </c>
      <c r="K107" s="19" t="s">
        <v>1846</v>
      </c>
      <c r="L107" s="20"/>
      <c r="M107" s="18" t="s">
        <v>668</v>
      </c>
      <c r="N107" s="19" t="s">
        <v>1847</v>
      </c>
      <c r="O107" s="20"/>
    </row>
    <row r="108" ht="180.0" customHeight="1">
      <c r="A108" s="21" t="str">
        <f>IMAGE("https://assets.tcgdex.net/de/sv/sv05/132/low.jpg", 1)</f>
        <v/>
      </c>
      <c r="B108" s="22"/>
      <c r="C108" s="20"/>
      <c r="D108" s="21" t="str">
        <f>IMAGE("https://assets.tcgdex.net/de/sv/sv05/133/low.jpg", 1)</f>
        <v/>
      </c>
      <c r="E108" s="22"/>
      <c r="F108" s="20"/>
      <c r="G108" s="21" t="str">
        <f>IMAGE("https://assets.tcgdex.net/de/sv/sv05/134/low.jpg", 1)</f>
        <v/>
      </c>
      <c r="H108" s="22"/>
      <c r="I108" s="20"/>
      <c r="J108" s="21" t="str">
        <f>IMAGE("https://assets.tcgdex.net/de/sv/sv05/135/low.jpg", 1)</f>
        <v/>
      </c>
      <c r="K108" s="22"/>
      <c r="L108" s="20"/>
      <c r="M108" s="21" t="str">
        <f>IMAGE("https://assets.tcgdex.net/de/sv/sv05/136/low.jpg", 1)</f>
        <v/>
      </c>
      <c r="N108" s="22"/>
      <c r="O108" s="20"/>
    </row>
    <row r="109" ht="22.5" customHeight="1">
      <c r="A109" s="23" t="b">
        <v>0</v>
      </c>
      <c r="B109" s="24" t="b">
        <v>0</v>
      </c>
      <c r="C109" s="25" t="str">
        <f>HYPERLINK("https://www.cardmarket.com/en/Pokemon/Products/Singles?idCategory=1&amp;idProduct=sv5-132", "CM")</f>
        <v>CM</v>
      </c>
      <c r="D109" s="23" t="b">
        <v>0</v>
      </c>
      <c r="E109" s="24" t="b">
        <v>0</v>
      </c>
      <c r="F109" s="25" t="str">
        <f>HYPERLINK("https://www.cardmarket.com/en/Pokemon/Products/Singles?idCategory=1&amp;idProduct=sv5-133", "CM")</f>
        <v>CM</v>
      </c>
      <c r="G109" s="23" t="b">
        <v>0</v>
      </c>
      <c r="H109" s="24" t="b">
        <v>0</v>
      </c>
      <c r="I109" s="25" t="str">
        <f>HYPERLINK("https://www.cardmarket.com/en/Pokemon/Products/Singles?idCategory=1&amp;idProduct=sv5-134", "CM")</f>
        <v>CM</v>
      </c>
      <c r="J109" s="23" t="b">
        <v>0</v>
      </c>
      <c r="K109" s="24" t="b">
        <v>0</v>
      </c>
      <c r="L109" s="25" t="str">
        <f>HYPERLINK("https://www.cardmarket.com/en/Pokemon/Products/Singles?idCategory=1&amp;idProduct=sv5-135", "CM")</f>
        <v>CM</v>
      </c>
      <c r="M109" s="23" t="b">
        <v>0</v>
      </c>
      <c r="N109" s="24" t="b">
        <v>0</v>
      </c>
      <c r="O109" s="25" t="str">
        <f>HYPERLINK("https://www.cardmarket.com/en/Pokemon/Products/Singles?idCategory=1&amp;idProduct=sv5-136", "CM")</f>
        <v>CM</v>
      </c>
    </row>
    <row r="110" ht="7.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</row>
    <row r="111" ht="18.75" customHeight="1">
      <c r="A111" s="18" t="s">
        <v>670</v>
      </c>
      <c r="B111" s="19" t="s">
        <v>1848</v>
      </c>
      <c r="C111" s="20"/>
      <c r="D111" s="18" t="s">
        <v>672</v>
      </c>
      <c r="E111" s="19" t="s">
        <v>1448</v>
      </c>
      <c r="F111" s="20"/>
      <c r="G111" s="18" t="s">
        <v>674</v>
      </c>
      <c r="H111" s="19" t="s">
        <v>1689</v>
      </c>
      <c r="I111" s="20"/>
      <c r="J111" s="18" t="s">
        <v>847</v>
      </c>
      <c r="K111" s="19" t="s">
        <v>1690</v>
      </c>
      <c r="L111" s="20"/>
      <c r="M111" s="18" t="s">
        <v>848</v>
      </c>
      <c r="N111" s="19" t="s">
        <v>1849</v>
      </c>
      <c r="O111" s="20"/>
    </row>
    <row r="112" ht="180.0" customHeight="1">
      <c r="A112" s="21" t="str">
        <f>IMAGE("https://assets.tcgdex.net/de/sv/sv05/137/low.jpg", 1)</f>
        <v/>
      </c>
      <c r="B112" s="22"/>
      <c r="C112" s="20"/>
      <c r="D112" s="21" t="str">
        <f>IMAGE("https://assets.tcgdex.net/de/sv/sv05/138/low.jpg", 1)</f>
        <v/>
      </c>
      <c r="E112" s="22"/>
      <c r="F112" s="20"/>
      <c r="G112" s="21" t="str">
        <f>IMAGE("https://assets.tcgdex.net/de/sv/sv05/139/low.jpg", 1)</f>
        <v/>
      </c>
      <c r="H112" s="22"/>
      <c r="I112" s="20"/>
      <c r="J112" s="21" t="str">
        <f>IMAGE("https://assets.tcgdex.net/de/sv/sv05/140/low.jpg", 1)</f>
        <v/>
      </c>
      <c r="K112" s="22"/>
      <c r="L112" s="20"/>
      <c r="M112" s="21" t="str">
        <f>IMAGE("https://assets.tcgdex.net/de/sv/sv05/141/low.jpg", 1)</f>
        <v/>
      </c>
      <c r="N112" s="22"/>
      <c r="O112" s="20"/>
    </row>
    <row r="113" ht="22.5" customHeight="1">
      <c r="A113" s="23" t="b">
        <v>0</v>
      </c>
      <c r="B113" s="24" t="b">
        <v>0</v>
      </c>
      <c r="C113" s="25" t="str">
        <f>HYPERLINK("https://www.cardmarket.com/en/Pokemon/Products/Singles?idCategory=1&amp;idProduct=sv5-137", "CM")</f>
        <v>CM</v>
      </c>
      <c r="D113" s="23" t="b">
        <v>0</v>
      </c>
      <c r="E113" s="24" t="b">
        <v>0</v>
      </c>
      <c r="F113" s="25" t="str">
        <f>HYPERLINK("https://www.cardmarket.com/en/Pokemon/Products/Singles?idCategory=1&amp;idProduct=sv5-138", "CM")</f>
        <v>CM</v>
      </c>
      <c r="G113" s="23" t="b">
        <v>0</v>
      </c>
      <c r="H113" s="24" t="b">
        <v>0</v>
      </c>
      <c r="I113" s="25" t="str">
        <f>HYPERLINK("https://www.cardmarket.com/en/Pokemon/Products/Singles?idCategory=1&amp;idProduct=sv5-139", "CM")</f>
        <v>CM</v>
      </c>
      <c r="J113" s="23" t="b">
        <v>0</v>
      </c>
      <c r="K113" s="24" t="b">
        <v>0</v>
      </c>
      <c r="L113" s="25" t="str">
        <f>HYPERLINK("https://www.cardmarket.com/en/Pokemon/Products/Singles?idCategory=1&amp;idProduct=sv5-140", "CM")</f>
        <v>CM</v>
      </c>
      <c r="M113" s="23" t="b">
        <v>0</v>
      </c>
      <c r="N113" s="24" t="b">
        <v>0</v>
      </c>
      <c r="O113" s="25" t="str">
        <f>HYPERLINK("https://www.cardmarket.com/en/Pokemon/Products/Singles?idCategory=1&amp;idProduct=sv5-141", "CM")</f>
        <v>CM</v>
      </c>
    </row>
    <row r="114" ht="7.5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</row>
    <row r="115" ht="18.75" customHeight="1">
      <c r="A115" s="18" t="s">
        <v>676</v>
      </c>
      <c r="B115" s="19" t="s">
        <v>1850</v>
      </c>
      <c r="C115" s="20"/>
      <c r="D115" s="18" t="s">
        <v>678</v>
      </c>
      <c r="E115" s="19" t="s">
        <v>1851</v>
      </c>
      <c r="F115" s="20"/>
      <c r="G115" s="18" t="s">
        <v>679</v>
      </c>
      <c r="H115" s="19" t="s">
        <v>1852</v>
      </c>
      <c r="I115" s="20"/>
      <c r="J115" s="18" t="s">
        <v>850</v>
      </c>
      <c r="K115" s="19" t="s">
        <v>1853</v>
      </c>
      <c r="L115" s="20"/>
      <c r="M115" s="18" t="s">
        <v>681</v>
      </c>
      <c r="N115" s="19" t="s">
        <v>1854</v>
      </c>
      <c r="O115" s="20"/>
    </row>
    <row r="116" ht="180.0" customHeight="1">
      <c r="A116" s="21" t="str">
        <f>IMAGE("https://assets.tcgdex.net/de/sv/sv05/142/low.jpg", 1)</f>
        <v/>
      </c>
      <c r="B116" s="22"/>
      <c r="C116" s="20"/>
      <c r="D116" s="21" t="str">
        <f>IMAGE("https://assets.tcgdex.net/de/sv/sv05/143/low.jpg", 1)</f>
        <v/>
      </c>
      <c r="E116" s="22"/>
      <c r="F116" s="20"/>
      <c r="G116" s="21" t="str">
        <f>IMAGE("https://assets.tcgdex.net/de/sv/sv05/144/low.jpg", 1)</f>
        <v/>
      </c>
      <c r="H116" s="22"/>
      <c r="I116" s="20"/>
      <c r="J116" s="21" t="str">
        <f>IMAGE("https://assets.tcgdex.net/de/sv/sv05/145/low.jpg", 1)</f>
        <v/>
      </c>
      <c r="K116" s="22"/>
      <c r="L116" s="20"/>
      <c r="M116" s="21" t="str">
        <f>IMAGE("https://assets.tcgdex.net/de/sv/sv05/146/low.jpg", 1)</f>
        <v/>
      </c>
      <c r="N116" s="22"/>
      <c r="O116" s="20"/>
    </row>
    <row r="117" ht="22.5" customHeight="1">
      <c r="A117" s="23" t="b">
        <v>0</v>
      </c>
      <c r="B117" s="24" t="b">
        <v>0</v>
      </c>
      <c r="C117" s="25" t="str">
        <f>HYPERLINK("https://www.cardmarket.com/en/Pokemon/Products/Singles?idCategory=1&amp;idProduct=sv5-142", "CM")</f>
        <v>CM</v>
      </c>
      <c r="D117" s="23" t="b">
        <v>0</v>
      </c>
      <c r="E117" s="24" t="b">
        <v>0</v>
      </c>
      <c r="F117" s="25" t="str">
        <f>HYPERLINK("https://www.cardmarket.com/en/Pokemon/Products/Singles?idCategory=1&amp;idProduct=sv5-143", "CM")</f>
        <v>CM</v>
      </c>
      <c r="G117" s="23" t="b">
        <v>0</v>
      </c>
      <c r="H117" s="24" t="b">
        <v>0</v>
      </c>
      <c r="I117" s="25" t="str">
        <f>HYPERLINK("https://www.cardmarket.com/en/Pokemon/Products/Singles?idCategory=1&amp;idProduct=sv5-144", "CM")</f>
        <v>CM</v>
      </c>
      <c r="J117" s="23" t="b">
        <v>0</v>
      </c>
      <c r="K117" s="24" t="b">
        <v>0</v>
      </c>
      <c r="L117" s="25" t="str">
        <f>HYPERLINK("https://www.cardmarket.com/en/Pokemon/Products/Singles?idCategory=1&amp;idProduct=sv5-145", "CM")</f>
        <v>CM</v>
      </c>
      <c r="M117" s="23" t="b">
        <v>0</v>
      </c>
      <c r="N117" s="24" t="b">
        <v>0</v>
      </c>
      <c r="O117" s="25" t="str">
        <f>HYPERLINK("https://www.cardmarket.com/en/Pokemon/Products/Singles?idCategory=1&amp;idProduct=sv5-146", "CM")</f>
        <v>CM</v>
      </c>
    </row>
    <row r="118" ht="7.5" customHeigh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</row>
    <row r="119" ht="18.75" customHeight="1">
      <c r="A119" s="18" t="s">
        <v>683</v>
      </c>
      <c r="B119" s="19" t="s">
        <v>1855</v>
      </c>
      <c r="C119" s="20"/>
      <c r="D119" s="18" t="s">
        <v>685</v>
      </c>
      <c r="E119" s="19" t="s">
        <v>1856</v>
      </c>
      <c r="F119" s="20"/>
      <c r="G119" s="18" t="s">
        <v>852</v>
      </c>
      <c r="H119" s="19" t="s">
        <v>1695</v>
      </c>
      <c r="I119" s="20"/>
      <c r="J119" s="18" t="s">
        <v>686</v>
      </c>
      <c r="K119" s="19" t="s">
        <v>1857</v>
      </c>
      <c r="L119" s="20"/>
      <c r="M119" s="18" t="s">
        <v>853</v>
      </c>
      <c r="N119" s="19" t="s">
        <v>1858</v>
      </c>
      <c r="O119" s="20"/>
    </row>
    <row r="120" ht="180.0" customHeight="1">
      <c r="A120" s="21" t="str">
        <f>IMAGE("https://assets.tcgdex.net/de/sv/sv05/147/low.jpg", 1)</f>
        <v/>
      </c>
      <c r="B120" s="22"/>
      <c r="C120" s="20"/>
      <c r="D120" s="21" t="str">
        <f>IMAGE("https://assets.tcgdex.net/de/sv/sv05/148/low.jpg", 1)</f>
        <v/>
      </c>
      <c r="E120" s="22"/>
      <c r="F120" s="20"/>
      <c r="G120" s="21" t="str">
        <f>IMAGE("https://assets.tcgdex.net/de/sv/sv05/149/low.jpg", 1)</f>
        <v/>
      </c>
      <c r="H120" s="22"/>
      <c r="I120" s="20"/>
      <c r="J120" s="21" t="str">
        <f>IMAGE("https://assets.tcgdex.net/de/sv/sv05/150/low.jpg", 1)</f>
        <v/>
      </c>
      <c r="K120" s="22"/>
      <c r="L120" s="20"/>
      <c r="M120" s="21" t="str">
        <f>IMAGE("https://assets.tcgdex.net/de/sv/sv05/151/low.jpg", 1)</f>
        <v/>
      </c>
      <c r="N120" s="22"/>
      <c r="O120" s="20"/>
    </row>
    <row r="121" ht="22.5" customHeight="1">
      <c r="A121" s="23" t="b">
        <v>0</v>
      </c>
      <c r="B121" s="24" t="b">
        <v>0</v>
      </c>
      <c r="C121" s="25" t="str">
        <f>HYPERLINK("https://www.cardmarket.com/en/Pokemon/Products/Singles?idCategory=1&amp;idProduct=sv5-147", "CM")</f>
        <v>CM</v>
      </c>
      <c r="D121" s="23" t="b">
        <v>0</v>
      </c>
      <c r="E121" s="24" t="b">
        <v>0</v>
      </c>
      <c r="F121" s="25" t="str">
        <f>HYPERLINK("https://www.cardmarket.com/en/Pokemon/Products/Singles?idCategory=1&amp;idProduct=sv5-148", "CM")</f>
        <v>CM</v>
      </c>
      <c r="G121" s="23" t="b">
        <v>0</v>
      </c>
      <c r="H121" s="24" t="b">
        <v>0</v>
      </c>
      <c r="I121" s="25" t="str">
        <f>HYPERLINK("https://www.cardmarket.com/en/Pokemon/Products/Singles?idCategory=1&amp;idProduct=sv5-149", "CM")</f>
        <v>CM</v>
      </c>
      <c r="J121" s="23" t="b">
        <v>0</v>
      </c>
      <c r="K121" s="24" t="b">
        <v>0</v>
      </c>
      <c r="L121" s="25" t="str">
        <f>HYPERLINK("https://www.cardmarket.com/en/Pokemon/Products/Singles?idCategory=1&amp;idProduct=sv5-150", "CM")</f>
        <v>CM</v>
      </c>
      <c r="M121" s="23" t="b">
        <v>0</v>
      </c>
      <c r="N121" s="24" t="b">
        <v>0</v>
      </c>
      <c r="O121" s="25" t="str">
        <f>HYPERLINK("https://www.cardmarket.com/en/Pokemon/Products/Singles?idCategory=1&amp;idProduct=sv5-151", "CM")</f>
        <v>CM</v>
      </c>
    </row>
    <row r="122" ht="7.5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</row>
    <row r="123" ht="18.75" customHeight="1">
      <c r="A123" s="18" t="s">
        <v>855</v>
      </c>
      <c r="B123" s="19" t="s">
        <v>1859</v>
      </c>
      <c r="C123" s="20"/>
      <c r="D123" s="18" t="s">
        <v>687</v>
      </c>
      <c r="E123" s="19" t="s">
        <v>1860</v>
      </c>
      <c r="F123" s="20"/>
      <c r="G123" s="18" t="s">
        <v>689</v>
      </c>
      <c r="H123" s="19" t="s">
        <v>1861</v>
      </c>
      <c r="I123" s="20"/>
      <c r="J123" s="18" t="s">
        <v>691</v>
      </c>
      <c r="K123" s="19" t="s">
        <v>1862</v>
      </c>
      <c r="L123" s="20"/>
      <c r="M123" s="18" t="s">
        <v>857</v>
      </c>
      <c r="N123" s="19" t="s">
        <v>1863</v>
      </c>
      <c r="O123" s="20"/>
    </row>
    <row r="124" ht="180.0" customHeight="1">
      <c r="A124" s="21" t="str">
        <f>IMAGE("https://assets.tcgdex.net/de/sv/sv05/152/low.jpg", 1)</f>
        <v/>
      </c>
      <c r="B124" s="22"/>
      <c r="C124" s="20"/>
      <c r="D124" s="21" t="str">
        <f>IMAGE("https://assets.tcgdex.net/de/sv/sv05/153/low.jpg", 1)</f>
        <v/>
      </c>
      <c r="E124" s="22"/>
      <c r="F124" s="20"/>
      <c r="G124" s="21" t="str">
        <f>IMAGE("https://assets.tcgdex.net/de/sv/sv05/154/low.jpg", 1)</f>
        <v/>
      </c>
      <c r="H124" s="22"/>
      <c r="I124" s="20"/>
      <c r="J124" s="21" t="str">
        <f>IMAGE("https://assets.tcgdex.net/de/sv/sv05/155/low.jpg", 1)</f>
        <v/>
      </c>
      <c r="K124" s="22"/>
      <c r="L124" s="20"/>
      <c r="M124" s="21" t="str">
        <f>IMAGE("https://assets.tcgdex.net/de/sv/sv05/156/low.jpg", 1)</f>
        <v/>
      </c>
      <c r="N124" s="22"/>
      <c r="O124" s="20"/>
    </row>
    <row r="125" ht="22.5" customHeight="1">
      <c r="A125" s="23" t="b">
        <v>0</v>
      </c>
      <c r="B125" s="24" t="b">
        <v>0</v>
      </c>
      <c r="C125" s="25" t="str">
        <f>HYPERLINK("https://www.cardmarket.com/en/Pokemon/Products/Singles?idCategory=1&amp;idProduct=sv5-152", "CM")</f>
        <v>CM</v>
      </c>
      <c r="D125" s="23" t="b">
        <v>0</v>
      </c>
      <c r="E125" s="24" t="b">
        <v>0</v>
      </c>
      <c r="F125" s="25" t="str">
        <f>HYPERLINK("https://www.cardmarket.com/en/Pokemon/Products/Singles?idCategory=1&amp;idProduct=sv5-153", "CM")</f>
        <v>CM</v>
      </c>
      <c r="G125" s="23" t="b">
        <v>0</v>
      </c>
      <c r="H125" s="24" t="b">
        <v>0</v>
      </c>
      <c r="I125" s="25" t="str">
        <f>HYPERLINK("https://www.cardmarket.com/en/Pokemon/Products/Singles?idCategory=1&amp;idProduct=sv5-154", "CM")</f>
        <v>CM</v>
      </c>
      <c r="J125" s="23" t="b">
        <v>0</v>
      </c>
      <c r="K125" s="24" t="b">
        <v>0</v>
      </c>
      <c r="L125" s="25" t="str">
        <f>HYPERLINK("https://www.cardmarket.com/en/Pokemon/Products/Singles?idCategory=1&amp;idProduct=sv5-155", "CM")</f>
        <v>CM</v>
      </c>
      <c r="M125" s="23" t="b">
        <v>0</v>
      </c>
      <c r="N125" s="24" t="b">
        <v>0</v>
      </c>
      <c r="O125" s="25" t="str">
        <f>HYPERLINK("https://www.cardmarket.com/en/Pokemon/Products/Singles?idCategory=1&amp;idProduct=sv5-156", "CM")</f>
        <v>CM</v>
      </c>
    </row>
    <row r="126" ht="7.5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</row>
    <row r="127" ht="18.75" customHeight="1">
      <c r="A127" s="18" t="s">
        <v>859</v>
      </c>
      <c r="B127" s="19" t="s">
        <v>1864</v>
      </c>
      <c r="C127" s="20"/>
      <c r="D127" s="18" t="s">
        <v>693</v>
      </c>
      <c r="E127" s="19" t="s">
        <v>1865</v>
      </c>
      <c r="F127" s="20"/>
      <c r="G127" s="18" t="s">
        <v>861</v>
      </c>
      <c r="H127" s="19" t="s">
        <v>1866</v>
      </c>
      <c r="I127" s="20"/>
      <c r="J127" s="18" t="s">
        <v>695</v>
      </c>
      <c r="K127" s="19" t="s">
        <v>1867</v>
      </c>
      <c r="L127" s="20"/>
      <c r="M127" s="18" t="s">
        <v>862</v>
      </c>
      <c r="N127" s="19" t="s">
        <v>1868</v>
      </c>
      <c r="O127" s="20"/>
    </row>
    <row r="128" ht="180.0" customHeight="1">
      <c r="A128" s="21" t="str">
        <f>IMAGE("https://assets.tcgdex.net/de/sv/sv05/157/low.jpg", 1)</f>
        <v/>
      </c>
      <c r="B128" s="22"/>
      <c r="C128" s="20"/>
      <c r="D128" s="21" t="str">
        <f>IMAGE("https://assets.tcgdex.net/de/sv/sv05/158/low.jpg", 1)</f>
        <v/>
      </c>
      <c r="E128" s="22"/>
      <c r="F128" s="20"/>
      <c r="G128" s="21" t="str">
        <f>IMAGE("https://assets.tcgdex.net/de/sv/sv05/159/low.jpg", 1)</f>
        <v/>
      </c>
      <c r="H128" s="22"/>
      <c r="I128" s="20"/>
      <c r="J128" s="21" t="str">
        <f>IMAGE("https://assets.tcgdex.net/de/sv/sv05/160/low.jpg", 1)</f>
        <v/>
      </c>
      <c r="K128" s="22"/>
      <c r="L128" s="20"/>
      <c r="M128" s="21" t="str">
        <f>IMAGE("https://assets.tcgdex.net/de/sv/sv05/161/low.jpg", 1)</f>
        <v/>
      </c>
      <c r="N128" s="22"/>
      <c r="O128" s="20"/>
    </row>
    <row r="129" ht="22.5" customHeight="1">
      <c r="A129" s="23" t="b">
        <v>0</v>
      </c>
      <c r="B129" s="24" t="b">
        <v>0</v>
      </c>
      <c r="C129" s="25" t="str">
        <f>HYPERLINK("https://www.cardmarket.com/en/Pokemon/Products/Singles?idCategory=1&amp;idProduct=sv5-157", "CM")</f>
        <v>CM</v>
      </c>
      <c r="D129" s="23" t="b">
        <v>0</v>
      </c>
      <c r="E129" s="24" t="b">
        <v>0</v>
      </c>
      <c r="F129" s="25" t="str">
        <f>HYPERLINK("https://www.cardmarket.com/en/Pokemon/Products/Singles?idCategory=1&amp;idProduct=sv5-158", "CM")</f>
        <v>CM</v>
      </c>
      <c r="G129" s="23" t="b">
        <v>0</v>
      </c>
      <c r="H129" s="24" t="b">
        <v>0</v>
      </c>
      <c r="I129" s="25" t="str">
        <f>HYPERLINK("https://www.cardmarket.com/en/Pokemon/Products/Singles?idCategory=1&amp;idProduct=sv5-159", "CM")</f>
        <v>CM</v>
      </c>
      <c r="J129" s="23" t="b">
        <v>0</v>
      </c>
      <c r="K129" s="24" t="b">
        <v>0</v>
      </c>
      <c r="L129" s="25" t="str">
        <f>HYPERLINK("https://www.cardmarket.com/en/Pokemon/Products/Singles?idCategory=1&amp;idProduct=sv5-160", "CM")</f>
        <v>CM</v>
      </c>
      <c r="M129" s="23" t="b">
        <v>0</v>
      </c>
      <c r="N129" s="24" t="b">
        <v>0</v>
      </c>
      <c r="O129" s="25" t="str">
        <f>HYPERLINK("https://www.cardmarket.com/en/Pokemon/Products/Singles?idCategory=1&amp;idProduct=sv5-161", "CM")</f>
        <v>CM</v>
      </c>
    </row>
    <row r="130" ht="7.5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</row>
    <row r="131" ht="18.75" customHeight="1">
      <c r="A131" s="18" t="s">
        <v>697</v>
      </c>
      <c r="B131" s="19" t="s">
        <v>1869</v>
      </c>
      <c r="C131" s="20"/>
      <c r="D131" s="18" t="s">
        <v>863</v>
      </c>
      <c r="E131" s="19" t="s">
        <v>1775</v>
      </c>
      <c r="F131" s="20"/>
      <c r="G131" s="18" t="s">
        <v>865</v>
      </c>
      <c r="H131" s="19" t="s">
        <v>1779</v>
      </c>
      <c r="I131" s="20"/>
      <c r="J131" s="18" t="s">
        <v>867</v>
      </c>
      <c r="K131" s="19" t="s">
        <v>1781</v>
      </c>
      <c r="L131" s="20"/>
      <c r="M131" s="18" t="s">
        <v>869</v>
      </c>
      <c r="N131" s="19" t="s">
        <v>1782</v>
      </c>
      <c r="O131" s="20"/>
    </row>
    <row r="132" ht="180.0" customHeight="1">
      <c r="A132" s="21" t="str">
        <f>IMAGE("https://assets.tcgdex.net/de/sv/sv05/162/low.jpg", 1)</f>
        <v/>
      </c>
      <c r="B132" s="22"/>
      <c r="C132" s="20"/>
      <c r="D132" s="21" t="str">
        <f>IMAGE("https://assets.tcgdex.net/de/sv/sv05/163/low.jpg", 1)</f>
        <v/>
      </c>
      <c r="E132" s="22"/>
      <c r="F132" s="20"/>
      <c r="G132" s="21" t="str">
        <f>IMAGE("https://assets.tcgdex.net/de/sv/sv05/164/low.jpg", 1)</f>
        <v/>
      </c>
      <c r="H132" s="22"/>
      <c r="I132" s="20"/>
      <c r="J132" s="21" t="str">
        <f>IMAGE("https://assets.tcgdex.net/de/sv/sv05/165/low.jpg", 1)</f>
        <v/>
      </c>
      <c r="K132" s="22"/>
      <c r="L132" s="20"/>
      <c r="M132" s="21" t="str">
        <f>IMAGE("https://assets.tcgdex.net/de/sv/sv05/166/low.jpg", 1)</f>
        <v/>
      </c>
      <c r="N132" s="22"/>
      <c r="O132" s="20"/>
    </row>
    <row r="133" ht="22.5" customHeight="1">
      <c r="A133" s="23" t="b">
        <v>0</v>
      </c>
      <c r="B133" s="24" t="b">
        <v>0</v>
      </c>
      <c r="C133" s="25" t="str">
        <f>HYPERLINK("https://www.cardmarket.com/en/Pokemon/Products/Singles?idCategory=1&amp;idProduct=sv5-162", "CM")</f>
        <v>CM</v>
      </c>
      <c r="D133" s="23" t="b">
        <v>0</v>
      </c>
      <c r="E133" s="24" t="b">
        <v>0</v>
      </c>
      <c r="F133" s="25" t="str">
        <f>HYPERLINK("https://www.cardmarket.com/en/Pokemon/Products/Singles?idCategory=1&amp;idProduct=sv5-163", "CM")</f>
        <v>CM</v>
      </c>
      <c r="G133" s="23" t="b">
        <v>0</v>
      </c>
      <c r="H133" s="24" t="b">
        <v>0</v>
      </c>
      <c r="I133" s="25" t="str">
        <f>HYPERLINK("https://www.cardmarket.com/en/Pokemon/Products/Singles?idCategory=1&amp;idProduct=sv5-164", "CM")</f>
        <v>CM</v>
      </c>
      <c r="J133" s="23" t="b">
        <v>0</v>
      </c>
      <c r="K133" s="24" t="b">
        <v>0</v>
      </c>
      <c r="L133" s="25" t="str">
        <f>HYPERLINK("https://www.cardmarket.com/en/Pokemon/Products/Singles?idCategory=1&amp;idProduct=sv5-165", "CM")</f>
        <v>CM</v>
      </c>
      <c r="M133" s="23" t="b">
        <v>0</v>
      </c>
      <c r="N133" s="24" t="b">
        <v>0</v>
      </c>
      <c r="O133" s="25" t="str">
        <f>HYPERLINK("https://www.cardmarket.com/en/Pokemon/Products/Singles?idCategory=1&amp;idProduct=sv5-166", "CM")</f>
        <v>CM</v>
      </c>
    </row>
    <row r="134" ht="7.5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</row>
    <row r="135" ht="18.75" customHeight="1">
      <c r="A135" s="18" t="s">
        <v>871</v>
      </c>
      <c r="B135" s="19" t="s">
        <v>1790</v>
      </c>
      <c r="C135" s="20"/>
      <c r="D135" s="18" t="s">
        <v>873</v>
      </c>
      <c r="E135" s="19" t="s">
        <v>1798</v>
      </c>
      <c r="F135" s="20"/>
      <c r="G135" s="18" t="s">
        <v>875</v>
      </c>
      <c r="H135" s="19" t="s">
        <v>1801</v>
      </c>
      <c r="I135" s="20"/>
      <c r="J135" s="18" t="s">
        <v>877</v>
      </c>
      <c r="K135" s="19" t="s">
        <v>1438</v>
      </c>
      <c r="L135" s="20"/>
      <c r="M135" s="18" t="s">
        <v>879</v>
      </c>
      <c r="N135" s="19" t="s">
        <v>1811</v>
      </c>
      <c r="O135" s="20"/>
    </row>
    <row r="136" ht="180.0" customHeight="1">
      <c r="A136" s="21" t="str">
        <f>IMAGE("https://assets.tcgdex.net/de/sv/sv05/167/low.jpg", 1)</f>
        <v/>
      </c>
      <c r="B136" s="22"/>
      <c r="C136" s="20"/>
      <c r="D136" s="21" t="str">
        <f>IMAGE("https://assets.tcgdex.net/de/sv/sv05/168/low.jpg", 1)</f>
        <v/>
      </c>
      <c r="E136" s="22"/>
      <c r="F136" s="20"/>
      <c r="G136" s="21" t="str">
        <f>IMAGE("https://assets.tcgdex.net/de/sv/sv05/169/low.jpg", 1)</f>
        <v/>
      </c>
      <c r="H136" s="22"/>
      <c r="I136" s="20"/>
      <c r="J136" s="21" t="str">
        <f>IMAGE("https://assets.tcgdex.net/de/sv/sv05/170/low.jpg", 1)</f>
        <v/>
      </c>
      <c r="K136" s="22"/>
      <c r="L136" s="20"/>
      <c r="M136" s="21" t="str">
        <f>IMAGE("https://assets.tcgdex.net/de/sv/sv05/171/low.jpg", 1)</f>
        <v/>
      </c>
      <c r="N136" s="22"/>
      <c r="O136" s="20"/>
    </row>
    <row r="137" ht="22.5" customHeight="1">
      <c r="A137" s="23" t="b">
        <v>0</v>
      </c>
      <c r="B137" s="24" t="b">
        <v>0</v>
      </c>
      <c r="C137" s="25" t="str">
        <f>HYPERLINK("https://www.cardmarket.com/en/Pokemon/Products/Singles?idCategory=1&amp;idProduct=sv5-167", "CM")</f>
        <v>CM</v>
      </c>
      <c r="D137" s="23" t="b">
        <v>0</v>
      </c>
      <c r="E137" s="24" t="b">
        <v>0</v>
      </c>
      <c r="F137" s="25" t="str">
        <f>HYPERLINK("https://www.cardmarket.com/en/Pokemon/Products/Singles?idCategory=1&amp;idProduct=sv5-168", "CM")</f>
        <v>CM</v>
      </c>
      <c r="G137" s="23" t="b">
        <v>0</v>
      </c>
      <c r="H137" s="24" t="b">
        <v>0</v>
      </c>
      <c r="I137" s="25" t="str">
        <f>HYPERLINK("https://www.cardmarket.com/en/Pokemon/Products/Singles?idCategory=1&amp;idProduct=sv5-169", "CM")</f>
        <v>CM</v>
      </c>
      <c r="J137" s="23" t="b">
        <v>0</v>
      </c>
      <c r="K137" s="24" t="b">
        <v>0</v>
      </c>
      <c r="L137" s="25" t="str">
        <f>HYPERLINK("https://www.cardmarket.com/en/Pokemon/Products/Singles?idCategory=1&amp;idProduct=sv5-170", "CM")</f>
        <v>CM</v>
      </c>
      <c r="M137" s="23" t="b">
        <v>0</v>
      </c>
      <c r="N137" s="24" t="b">
        <v>0</v>
      </c>
      <c r="O137" s="25" t="str">
        <f>HYPERLINK("https://www.cardmarket.com/en/Pokemon/Products/Singles?idCategory=1&amp;idProduct=sv5-171", "CM")</f>
        <v>CM</v>
      </c>
    </row>
    <row r="138" ht="7.5" customHeight="1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</row>
    <row r="139" ht="18.75" customHeight="1">
      <c r="A139" s="18" t="s">
        <v>881</v>
      </c>
      <c r="B139" s="19" t="s">
        <v>1814</v>
      </c>
      <c r="C139" s="20"/>
      <c r="D139" s="18" t="s">
        <v>883</v>
      </c>
      <c r="E139" s="19" t="s">
        <v>1817</v>
      </c>
      <c r="F139" s="20"/>
      <c r="G139" s="18" t="s">
        <v>699</v>
      </c>
      <c r="H139" s="19" t="s">
        <v>1441</v>
      </c>
      <c r="I139" s="20"/>
      <c r="J139" s="18" t="s">
        <v>1304</v>
      </c>
      <c r="K139" s="19" t="s">
        <v>1821</v>
      </c>
      <c r="L139" s="20"/>
      <c r="M139" s="18" t="s">
        <v>1306</v>
      </c>
      <c r="N139" s="19" t="s">
        <v>1827</v>
      </c>
      <c r="O139" s="20"/>
    </row>
    <row r="140" ht="180.0" customHeight="1">
      <c r="A140" s="21" t="str">
        <f>IMAGE("https://assets.tcgdex.net/de/sv/sv05/172/low.jpg", 1)</f>
        <v/>
      </c>
      <c r="B140" s="22"/>
      <c r="C140" s="20"/>
      <c r="D140" s="21" t="str">
        <f>IMAGE("https://assets.tcgdex.net/de/sv/sv05/173/low.jpg", 1)</f>
        <v/>
      </c>
      <c r="E140" s="22"/>
      <c r="F140" s="20"/>
      <c r="G140" s="21" t="str">
        <f>IMAGE("https://assets.tcgdex.net/de/sv/sv05/174/low.jpg", 1)</f>
        <v/>
      </c>
      <c r="H140" s="22"/>
      <c r="I140" s="20"/>
      <c r="J140" s="21" t="str">
        <f>IMAGE("https://assets.tcgdex.net/de/sv/sv05/175/low.jpg", 1)</f>
        <v/>
      </c>
      <c r="K140" s="22"/>
      <c r="L140" s="20"/>
      <c r="M140" s="21" t="str">
        <f>IMAGE("https://assets.tcgdex.net/de/sv/sv05/176/low.jpg", 1)</f>
        <v/>
      </c>
      <c r="N140" s="22"/>
      <c r="O140" s="20"/>
    </row>
    <row r="141" ht="22.5" customHeight="1">
      <c r="A141" s="23" t="b">
        <v>0</v>
      </c>
      <c r="B141" s="24" t="b">
        <v>0</v>
      </c>
      <c r="C141" s="25" t="str">
        <f>HYPERLINK("https://www.cardmarket.com/en/Pokemon/Products/Singles?idCategory=1&amp;idProduct=sv5-172", "CM")</f>
        <v>CM</v>
      </c>
      <c r="D141" s="23" t="b">
        <v>0</v>
      </c>
      <c r="E141" s="24" t="b">
        <v>0</v>
      </c>
      <c r="F141" s="25" t="str">
        <f>HYPERLINK("https://www.cardmarket.com/en/Pokemon/Products/Singles?idCategory=1&amp;idProduct=sv5-173", "CM")</f>
        <v>CM</v>
      </c>
      <c r="G141" s="23" t="b">
        <v>0</v>
      </c>
      <c r="H141" s="24" t="b">
        <v>0</v>
      </c>
      <c r="I141" s="25" t="str">
        <f>HYPERLINK("https://www.cardmarket.com/en/Pokemon/Products/Singles?idCategory=1&amp;idProduct=sv5-174", "CM")</f>
        <v>CM</v>
      </c>
      <c r="J141" s="23" t="b">
        <v>0</v>
      </c>
      <c r="K141" s="24" t="b">
        <v>0</v>
      </c>
      <c r="L141" s="25" t="str">
        <f>HYPERLINK("https://www.cardmarket.com/en/Pokemon/Products/Singles?idCategory=1&amp;idProduct=sv5-175", "CM")</f>
        <v>CM</v>
      </c>
      <c r="M141" s="23" t="b">
        <v>0</v>
      </c>
      <c r="N141" s="24" t="b">
        <v>0</v>
      </c>
      <c r="O141" s="25" t="str">
        <f>HYPERLINK("https://www.cardmarket.com/en/Pokemon/Products/Singles?idCategory=1&amp;idProduct=sv5-176", "CM")</f>
        <v>CM</v>
      </c>
    </row>
    <row r="142" ht="7.5" customHeight="1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</row>
    <row r="143" ht="18.75" customHeight="1">
      <c r="A143" s="18" t="s">
        <v>884</v>
      </c>
      <c r="B143" s="19" t="s">
        <v>1539</v>
      </c>
      <c r="C143" s="20"/>
      <c r="D143" s="18" t="s">
        <v>701</v>
      </c>
      <c r="E143" s="19" t="s">
        <v>1835</v>
      </c>
      <c r="F143" s="20"/>
      <c r="G143" s="18" t="s">
        <v>703</v>
      </c>
      <c r="H143" s="19" t="s">
        <v>1443</v>
      </c>
      <c r="I143" s="20"/>
      <c r="J143" s="18" t="s">
        <v>886</v>
      </c>
      <c r="K143" s="19" t="s">
        <v>1551</v>
      </c>
      <c r="L143" s="20"/>
      <c r="M143" s="18" t="s">
        <v>888</v>
      </c>
      <c r="N143" s="19" t="s">
        <v>943</v>
      </c>
      <c r="O143" s="20"/>
    </row>
    <row r="144" ht="180.0" customHeight="1">
      <c r="A144" s="21" t="str">
        <f>IMAGE("https://assets.tcgdex.net/de/sv/sv05/177/low.jpg", 1)</f>
        <v/>
      </c>
      <c r="B144" s="22"/>
      <c r="C144" s="20"/>
      <c r="D144" s="21" t="str">
        <f>IMAGE("https://assets.tcgdex.net/de/sv/sv05/178/low.jpg", 1)</f>
        <v/>
      </c>
      <c r="E144" s="22"/>
      <c r="F144" s="20"/>
      <c r="G144" s="21" t="str">
        <f>IMAGE("https://assets.tcgdex.net/de/sv/sv05/179/low.jpg", 1)</f>
        <v/>
      </c>
      <c r="H144" s="22"/>
      <c r="I144" s="20"/>
      <c r="J144" s="21" t="str">
        <f>IMAGE("https://assets.tcgdex.net/de/sv/sv05/180/low.jpg", 1)</f>
        <v/>
      </c>
      <c r="K144" s="22"/>
      <c r="L144" s="20"/>
      <c r="M144" s="21" t="str">
        <f>IMAGE("https://assets.tcgdex.net/de/sv/sv05/181/low.jpg", 1)</f>
        <v/>
      </c>
      <c r="N144" s="22"/>
      <c r="O144" s="20"/>
    </row>
    <row r="145" ht="22.5" customHeight="1">
      <c r="A145" s="23" t="b">
        <v>0</v>
      </c>
      <c r="B145" s="24" t="b">
        <v>0</v>
      </c>
      <c r="C145" s="25" t="str">
        <f>HYPERLINK("https://www.cardmarket.com/en/Pokemon/Products/Singles?idCategory=1&amp;idProduct=sv5-177", "CM")</f>
        <v>CM</v>
      </c>
      <c r="D145" s="23" t="b">
        <v>0</v>
      </c>
      <c r="E145" s="24" t="b">
        <v>0</v>
      </c>
      <c r="F145" s="25" t="str">
        <f>HYPERLINK("https://www.cardmarket.com/en/Pokemon/Products/Singles?idCategory=1&amp;idProduct=sv5-178", "CM")</f>
        <v>CM</v>
      </c>
      <c r="G145" s="23" t="b">
        <v>0</v>
      </c>
      <c r="H145" s="24" t="b">
        <v>0</v>
      </c>
      <c r="I145" s="25" t="str">
        <f>HYPERLINK("https://www.cardmarket.com/en/Pokemon/Products/Singles?idCategory=1&amp;idProduct=sv5-179", "CM")</f>
        <v>CM</v>
      </c>
      <c r="J145" s="23" t="b">
        <v>0</v>
      </c>
      <c r="K145" s="24" t="b">
        <v>0</v>
      </c>
      <c r="L145" s="25" t="str">
        <f>HYPERLINK("https://www.cardmarket.com/en/Pokemon/Products/Singles?idCategory=1&amp;idProduct=sv5-180", "CM")</f>
        <v>CM</v>
      </c>
      <c r="M145" s="23" t="b">
        <v>0</v>
      </c>
      <c r="N145" s="24" t="b">
        <v>0</v>
      </c>
      <c r="O145" s="25" t="str">
        <f>HYPERLINK("https://www.cardmarket.com/en/Pokemon/Products/Singles?idCategory=1&amp;idProduct=sv5-181", "CM")</f>
        <v>CM</v>
      </c>
    </row>
    <row r="146" ht="7.5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</row>
    <row r="147" ht="18.75" customHeight="1">
      <c r="A147" s="18" t="s">
        <v>705</v>
      </c>
      <c r="B147" s="19" t="s">
        <v>1847</v>
      </c>
      <c r="C147" s="20"/>
      <c r="D147" s="18" t="s">
        <v>890</v>
      </c>
      <c r="E147" s="19" t="s">
        <v>1848</v>
      </c>
      <c r="F147" s="20"/>
      <c r="G147" s="18" t="s">
        <v>707</v>
      </c>
      <c r="H147" s="19" t="s">
        <v>1448</v>
      </c>
      <c r="I147" s="20"/>
      <c r="J147" s="18" t="s">
        <v>709</v>
      </c>
      <c r="K147" s="19" t="s">
        <v>1780</v>
      </c>
      <c r="L147" s="20"/>
      <c r="M147" s="18" t="s">
        <v>711</v>
      </c>
      <c r="N147" s="19" t="s">
        <v>838</v>
      </c>
      <c r="O147" s="20"/>
    </row>
    <row r="148" ht="180.0" customHeight="1">
      <c r="A148" s="21" t="str">
        <f>IMAGE("https://assets.tcgdex.net/de/sv/sv05/182/low.jpg", 1)</f>
        <v/>
      </c>
      <c r="B148" s="22"/>
      <c r="C148" s="20"/>
      <c r="D148" s="21" t="str">
        <f>IMAGE("https://assets.tcgdex.net/de/sv/sv05/183/low.jpg", 1)</f>
        <v/>
      </c>
      <c r="E148" s="22"/>
      <c r="F148" s="20"/>
      <c r="G148" s="21" t="str">
        <f>IMAGE("https://assets.tcgdex.net/de/sv/sv05/184/low.jpg", 1)</f>
        <v/>
      </c>
      <c r="H148" s="22"/>
      <c r="I148" s="20"/>
      <c r="J148" s="21" t="str">
        <f>IMAGE("https://assets.tcgdex.net/de/sv/sv05/185/low.jpg", 1)</f>
        <v/>
      </c>
      <c r="K148" s="22"/>
      <c r="L148" s="20"/>
      <c r="M148" s="21" t="str">
        <f>IMAGE("https://assets.tcgdex.net/de/sv/sv05/186/low.jpg", 1)</f>
        <v/>
      </c>
      <c r="N148" s="22"/>
      <c r="O148" s="20"/>
    </row>
    <row r="149" ht="22.5" customHeight="1">
      <c r="A149" s="23" t="b">
        <v>0</v>
      </c>
      <c r="B149" s="24" t="b">
        <v>0</v>
      </c>
      <c r="C149" s="25" t="str">
        <f>HYPERLINK("https://www.cardmarket.com/en/Pokemon/Products/Singles?idCategory=1&amp;idProduct=sv5-182", "CM")</f>
        <v>CM</v>
      </c>
      <c r="D149" s="23" t="b">
        <v>0</v>
      </c>
      <c r="E149" s="24" t="b">
        <v>0</v>
      </c>
      <c r="F149" s="25" t="str">
        <f>HYPERLINK("https://www.cardmarket.com/en/Pokemon/Products/Singles?idCategory=1&amp;idProduct=sv5-183", "CM")</f>
        <v>CM</v>
      </c>
      <c r="G149" s="23" t="b">
        <v>0</v>
      </c>
      <c r="H149" s="24" t="b">
        <v>0</v>
      </c>
      <c r="I149" s="25" t="str">
        <f>HYPERLINK("https://www.cardmarket.com/en/Pokemon/Products/Singles?idCategory=1&amp;idProduct=sv5-184", "CM")</f>
        <v>CM</v>
      </c>
      <c r="J149" s="23" t="b">
        <v>0</v>
      </c>
      <c r="K149" s="24" t="b">
        <v>0</v>
      </c>
      <c r="L149" s="25" t="str">
        <f>HYPERLINK("https://www.cardmarket.com/en/Pokemon/Products/Singles?idCategory=1&amp;idProduct=sv5-185", "CM")</f>
        <v>CM</v>
      </c>
      <c r="M149" s="23" t="b">
        <v>0</v>
      </c>
      <c r="N149" s="24" t="b">
        <v>0</v>
      </c>
      <c r="O149" s="25" t="str">
        <f>HYPERLINK("https://www.cardmarket.com/en/Pokemon/Products/Singles?idCategory=1&amp;idProduct=sv5-186", "CM")</f>
        <v>CM</v>
      </c>
    </row>
    <row r="150" ht="7.5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</row>
    <row r="151" ht="18.75" customHeight="1">
      <c r="A151" s="18" t="s">
        <v>892</v>
      </c>
      <c r="B151" s="19" t="s">
        <v>1792</v>
      </c>
      <c r="C151" s="20"/>
      <c r="D151" s="18" t="s">
        <v>894</v>
      </c>
      <c r="E151" s="19" t="s">
        <v>680</v>
      </c>
      <c r="F151" s="20"/>
      <c r="G151" s="18" t="s">
        <v>896</v>
      </c>
      <c r="H151" s="19" t="s">
        <v>663</v>
      </c>
      <c r="I151" s="20"/>
      <c r="J151" s="18" t="s">
        <v>1312</v>
      </c>
      <c r="K151" s="19" t="s">
        <v>1805</v>
      </c>
      <c r="L151" s="20"/>
      <c r="M151" s="18" t="s">
        <v>1240</v>
      </c>
      <c r="N151" s="19" t="s">
        <v>682</v>
      </c>
      <c r="O151" s="20"/>
    </row>
    <row r="152" ht="180.0" customHeight="1">
      <c r="A152" s="21" t="str">
        <f>IMAGE("https://assets.tcgdex.net/de/sv/sv05/187/low.jpg", 1)</f>
        <v/>
      </c>
      <c r="B152" s="22"/>
      <c r="C152" s="20"/>
      <c r="D152" s="21" t="str">
        <f>IMAGE("https://assets.tcgdex.net/de/sv/sv05/188/low.jpg", 1)</f>
        <v/>
      </c>
      <c r="E152" s="22"/>
      <c r="F152" s="20"/>
      <c r="G152" s="21" t="str">
        <f>IMAGE("https://assets.tcgdex.net/de/sv/sv05/189/low.jpg", 1)</f>
        <v/>
      </c>
      <c r="H152" s="22"/>
      <c r="I152" s="20"/>
      <c r="J152" s="21" t="str">
        <f>IMAGE("https://assets.tcgdex.net/de/sv/sv05/190/low.jpg", 1)</f>
        <v/>
      </c>
      <c r="K152" s="22"/>
      <c r="L152" s="20"/>
      <c r="M152" s="21" t="str">
        <f>IMAGE("https://assets.tcgdex.net/de/sv/sv05/191/low.jpg", 1)</f>
        <v/>
      </c>
      <c r="N152" s="22"/>
      <c r="O152" s="20"/>
    </row>
    <row r="153" ht="22.5" customHeight="1">
      <c r="A153" s="23" t="b">
        <v>0</v>
      </c>
      <c r="B153" s="24" t="b">
        <v>0</v>
      </c>
      <c r="C153" s="25" t="str">
        <f>HYPERLINK("https://www.cardmarket.com/en/Pokemon/Products/Singles?idCategory=1&amp;idProduct=sv5-187", "CM")</f>
        <v>CM</v>
      </c>
      <c r="D153" s="23" t="b">
        <v>0</v>
      </c>
      <c r="E153" s="24" t="b">
        <v>0</v>
      </c>
      <c r="F153" s="25" t="str">
        <f>HYPERLINK("https://www.cardmarket.com/en/Pokemon/Products/Singles?idCategory=1&amp;idProduct=sv5-188", "CM")</f>
        <v>CM</v>
      </c>
      <c r="G153" s="23" t="b">
        <v>0</v>
      </c>
      <c r="H153" s="24" t="b">
        <v>0</v>
      </c>
      <c r="I153" s="25" t="str">
        <f>HYPERLINK("https://www.cardmarket.com/en/Pokemon/Products/Singles?idCategory=1&amp;idProduct=sv5-189", "CM")</f>
        <v>CM</v>
      </c>
      <c r="J153" s="23" t="b">
        <v>0</v>
      </c>
      <c r="K153" s="24" t="b">
        <v>0</v>
      </c>
      <c r="L153" s="25" t="str">
        <f>HYPERLINK("https://www.cardmarket.com/en/Pokemon/Products/Singles?idCategory=1&amp;idProduct=sv5-190", "CM")</f>
        <v>CM</v>
      </c>
      <c r="M153" s="23" t="b">
        <v>0</v>
      </c>
      <c r="N153" s="24" t="b">
        <v>0</v>
      </c>
      <c r="O153" s="25" t="str">
        <f>HYPERLINK("https://www.cardmarket.com/en/Pokemon/Products/Singles?idCategory=1&amp;idProduct=sv5-191", "CM")</f>
        <v>CM</v>
      </c>
    </row>
    <row r="154" ht="7.5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</row>
    <row r="155" ht="18.75" customHeight="1">
      <c r="A155" s="18" t="s">
        <v>1313</v>
      </c>
      <c r="B155" s="19" t="s">
        <v>684</v>
      </c>
      <c r="C155" s="20"/>
      <c r="D155" s="18" t="s">
        <v>898</v>
      </c>
      <c r="E155" s="19" t="s">
        <v>1828</v>
      </c>
      <c r="F155" s="20"/>
      <c r="G155" s="18" t="s">
        <v>713</v>
      </c>
      <c r="H155" s="19" t="s">
        <v>1831</v>
      </c>
      <c r="I155" s="20"/>
      <c r="J155" s="18" t="s">
        <v>715</v>
      </c>
      <c r="K155" s="19" t="s">
        <v>1833</v>
      </c>
      <c r="L155" s="20"/>
      <c r="M155" s="18" t="s">
        <v>717</v>
      </c>
      <c r="N155" s="19" t="s">
        <v>851</v>
      </c>
      <c r="O155" s="20"/>
    </row>
    <row r="156" ht="180.0" customHeight="1">
      <c r="A156" s="21" t="str">
        <f>IMAGE("https://assets.tcgdex.net/de/sv/sv05/192/low.jpg", 1)</f>
        <v/>
      </c>
      <c r="B156" s="22"/>
      <c r="C156" s="20"/>
      <c r="D156" s="21" t="str">
        <f>IMAGE("https://assets.tcgdex.net/de/sv/sv05/193/low.jpg", 1)</f>
        <v/>
      </c>
      <c r="E156" s="22"/>
      <c r="F156" s="20"/>
      <c r="G156" s="21" t="str">
        <f>IMAGE("https://assets.tcgdex.net/de/sv/sv05/194/low.jpg", 1)</f>
        <v/>
      </c>
      <c r="H156" s="22"/>
      <c r="I156" s="20"/>
      <c r="J156" s="21" t="str">
        <f>IMAGE("https://assets.tcgdex.net/de/sv/sv05/195/low.jpg", 1)</f>
        <v/>
      </c>
      <c r="K156" s="22"/>
      <c r="L156" s="20"/>
      <c r="M156" s="21" t="str">
        <f>IMAGE("https://assets.tcgdex.net/de/sv/sv05/196/low.jpg", 1)</f>
        <v/>
      </c>
      <c r="N156" s="22"/>
      <c r="O156" s="20"/>
    </row>
    <row r="157" ht="22.5" customHeight="1">
      <c r="A157" s="23" t="b">
        <v>0</v>
      </c>
      <c r="B157" s="24" t="b">
        <v>0</v>
      </c>
      <c r="C157" s="25" t="str">
        <f>HYPERLINK("https://www.cardmarket.com/en/Pokemon/Products/Singles?idCategory=1&amp;idProduct=sv5-192", "CM")</f>
        <v>CM</v>
      </c>
      <c r="D157" s="23" t="b">
        <v>0</v>
      </c>
      <c r="E157" s="24" t="b">
        <v>0</v>
      </c>
      <c r="F157" s="25" t="str">
        <f>HYPERLINK("https://www.cardmarket.com/en/Pokemon/Products/Singles?idCategory=1&amp;idProduct=sv5-193", "CM")</f>
        <v>CM</v>
      </c>
      <c r="G157" s="23" t="b">
        <v>0</v>
      </c>
      <c r="H157" s="24" t="b">
        <v>0</v>
      </c>
      <c r="I157" s="25" t="str">
        <f>HYPERLINK("https://www.cardmarket.com/en/Pokemon/Products/Singles?idCategory=1&amp;idProduct=sv5-194", "CM")</f>
        <v>CM</v>
      </c>
      <c r="J157" s="23" t="b">
        <v>0</v>
      </c>
      <c r="K157" s="24" t="b">
        <v>0</v>
      </c>
      <c r="L157" s="25" t="str">
        <f>HYPERLINK("https://www.cardmarket.com/en/Pokemon/Products/Singles?idCategory=1&amp;idProduct=sv5-195", "CM")</f>
        <v>CM</v>
      </c>
      <c r="M157" s="23" t="b">
        <v>0</v>
      </c>
      <c r="N157" s="24" t="b">
        <v>0</v>
      </c>
      <c r="O157" s="25" t="str">
        <f>HYPERLINK("https://www.cardmarket.com/en/Pokemon/Products/Singles?idCategory=1&amp;idProduct=sv5-196", "CM")</f>
        <v>CM</v>
      </c>
    </row>
    <row r="158" ht="7.5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</row>
    <row r="159" ht="18.75" customHeight="1">
      <c r="A159" s="18" t="s">
        <v>719</v>
      </c>
      <c r="B159" s="19" t="s">
        <v>1850</v>
      </c>
      <c r="C159" s="20"/>
      <c r="D159" s="18" t="s">
        <v>720</v>
      </c>
      <c r="E159" s="19" t="s">
        <v>1853</v>
      </c>
      <c r="F159" s="20"/>
      <c r="G159" s="18" t="s">
        <v>722</v>
      </c>
      <c r="H159" s="19" t="s">
        <v>1854</v>
      </c>
      <c r="I159" s="20"/>
      <c r="J159" s="18" t="s">
        <v>724</v>
      </c>
      <c r="K159" s="19" t="s">
        <v>1855</v>
      </c>
      <c r="L159" s="20"/>
      <c r="M159" s="18" t="s">
        <v>726</v>
      </c>
      <c r="N159" s="19" t="s">
        <v>1862</v>
      </c>
      <c r="O159" s="20"/>
    </row>
    <row r="160" ht="180.0" customHeight="1">
      <c r="A160" s="21" t="str">
        <f>IMAGE("https://assets.tcgdex.net/de/sv/sv05/197/low.jpg", 1)</f>
        <v/>
      </c>
      <c r="B160" s="22"/>
      <c r="C160" s="20"/>
      <c r="D160" s="21" t="str">
        <f>IMAGE("https://assets.tcgdex.net/de/sv/sv05/198/low.jpg", 1)</f>
        <v/>
      </c>
      <c r="E160" s="22"/>
      <c r="F160" s="20"/>
      <c r="G160" s="21" t="str">
        <f>IMAGE("https://assets.tcgdex.net/de/sv/sv05/199/low.jpg", 1)</f>
        <v/>
      </c>
      <c r="H160" s="22"/>
      <c r="I160" s="20"/>
      <c r="J160" s="21" t="str">
        <f>IMAGE("https://assets.tcgdex.net/de/sv/sv05/200/low.jpg", 1)</f>
        <v/>
      </c>
      <c r="K160" s="22"/>
      <c r="L160" s="20"/>
      <c r="M160" s="21" t="str">
        <f>IMAGE("https://assets.tcgdex.net/de/sv/sv05/201/low.jpg", 1)</f>
        <v/>
      </c>
      <c r="N160" s="22"/>
      <c r="O160" s="20"/>
    </row>
    <row r="161" ht="22.5" customHeight="1">
      <c r="A161" s="23" t="b">
        <v>0</v>
      </c>
      <c r="B161" s="24" t="b">
        <v>0</v>
      </c>
      <c r="C161" s="25" t="str">
        <f>HYPERLINK("https://www.cardmarket.com/en/Pokemon/Products/Singles?idCategory=1&amp;idProduct=sv5-197", "CM")</f>
        <v>CM</v>
      </c>
      <c r="D161" s="23" t="b">
        <v>0</v>
      </c>
      <c r="E161" s="24" t="b">
        <v>0</v>
      </c>
      <c r="F161" s="25" t="str">
        <f>HYPERLINK("https://www.cardmarket.com/en/Pokemon/Products/Singles?idCategory=1&amp;idProduct=sv5-198", "CM")</f>
        <v>CM</v>
      </c>
      <c r="G161" s="23" t="b">
        <v>0</v>
      </c>
      <c r="H161" s="24" t="b">
        <v>0</v>
      </c>
      <c r="I161" s="25" t="str">
        <f>HYPERLINK("https://www.cardmarket.com/en/Pokemon/Products/Singles?idCategory=1&amp;idProduct=sv5-199", "CM")</f>
        <v>CM</v>
      </c>
      <c r="J161" s="23" t="b">
        <v>0</v>
      </c>
      <c r="K161" s="24" t="b">
        <v>0</v>
      </c>
      <c r="L161" s="25" t="str">
        <f>HYPERLINK("https://www.cardmarket.com/en/Pokemon/Products/Singles?idCategory=1&amp;idProduct=sv5-200", "CM")</f>
        <v>CM</v>
      </c>
      <c r="M161" s="23" t="b">
        <v>0</v>
      </c>
      <c r="N161" s="24" t="b">
        <v>0</v>
      </c>
      <c r="O161" s="25" t="str">
        <f>HYPERLINK("https://www.cardmarket.com/en/Pokemon/Products/Singles?idCategory=1&amp;idProduct=sv5-201", "CM")</f>
        <v>CM</v>
      </c>
    </row>
    <row r="162" ht="7.5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</row>
    <row r="163" ht="18.75" customHeight="1">
      <c r="A163" s="18" t="s">
        <v>728</v>
      </c>
      <c r="B163" s="19" t="s">
        <v>1867</v>
      </c>
      <c r="C163" s="20"/>
      <c r="D163" s="18" t="s">
        <v>730</v>
      </c>
      <c r="E163" s="19" t="s">
        <v>838</v>
      </c>
      <c r="F163" s="20"/>
      <c r="G163" s="18" t="s">
        <v>1241</v>
      </c>
      <c r="H163" s="19" t="s">
        <v>680</v>
      </c>
      <c r="I163" s="20"/>
      <c r="J163" s="18" t="s">
        <v>1319</v>
      </c>
      <c r="K163" s="19" t="s">
        <v>663</v>
      </c>
      <c r="L163" s="20"/>
      <c r="M163" s="18" t="s">
        <v>732</v>
      </c>
      <c r="N163" s="19" t="s">
        <v>682</v>
      </c>
      <c r="O163" s="20"/>
    </row>
    <row r="164" ht="180.0" customHeight="1">
      <c r="A164" s="21" t="str">
        <f>IMAGE("https://assets.tcgdex.net/de/sv/sv05/202/low.jpg", 1)</f>
        <v/>
      </c>
      <c r="B164" s="22"/>
      <c r="C164" s="20"/>
      <c r="D164" s="21" t="str">
        <f>IMAGE("https://assets.tcgdex.net/de/sv/sv05/203/low.jpg", 1)</f>
        <v/>
      </c>
      <c r="E164" s="22"/>
      <c r="F164" s="20"/>
      <c r="G164" s="21" t="str">
        <f>IMAGE("https://assets.tcgdex.net/de/sv/sv05/204/low.jpg", 1)</f>
        <v/>
      </c>
      <c r="H164" s="22"/>
      <c r="I164" s="20"/>
      <c r="J164" s="21" t="str">
        <f>IMAGE("https://assets.tcgdex.net/de/sv/sv05/205/low.jpg", 1)</f>
        <v/>
      </c>
      <c r="K164" s="22"/>
      <c r="L164" s="20"/>
      <c r="M164" s="21" t="str">
        <f>IMAGE("https://assets.tcgdex.net/de/sv/sv05/206/low.jpg", 1)</f>
        <v/>
      </c>
      <c r="N164" s="22"/>
      <c r="O164" s="20"/>
    </row>
    <row r="165" ht="22.5" customHeight="1">
      <c r="A165" s="23" t="b">
        <v>0</v>
      </c>
      <c r="B165" s="24" t="b">
        <v>0</v>
      </c>
      <c r="C165" s="25" t="str">
        <f>HYPERLINK("https://www.cardmarket.com/en/Pokemon/Products/Singles?idCategory=1&amp;idProduct=sv5-202", "CM")</f>
        <v>CM</v>
      </c>
      <c r="D165" s="23" t="b">
        <v>0</v>
      </c>
      <c r="E165" s="24" t="b">
        <v>0</v>
      </c>
      <c r="F165" s="25" t="str">
        <f>HYPERLINK("https://www.cardmarket.com/en/Pokemon/Products/Singles?idCategory=1&amp;idProduct=sv5-203", "CM")</f>
        <v>CM</v>
      </c>
      <c r="G165" s="23" t="b">
        <v>0</v>
      </c>
      <c r="H165" s="24" t="b">
        <v>0</v>
      </c>
      <c r="I165" s="25" t="str">
        <f>HYPERLINK("https://www.cardmarket.com/en/Pokemon/Products/Singles?idCategory=1&amp;idProduct=sv5-204", "CM")</f>
        <v>CM</v>
      </c>
      <c r="J165" s="23" t="b">
        <v>0</v>
      </c>
      <c r="K165" s="24" t="b">
        <v>0</v>
      </c>
      <c r="L165" s="25" t="str">
        <f>HYPERLINK("https://www.cardmarket.com/en/Pokemon/Products/Singles?idCategory=1&amp;idProduct=sv5-205", "CM")</f>
        <v>CM</v>
      </c>
      <c r="M165" s="23" t="b">
        <v>0</v>
      </c>
      <c r="N165" s="24" t="b">
        <v>0</v>
      </c>
      <c r="O165" s="25" t="str">
        <f>HYPERLINK("https://www.cardmarket.com/en/Pokemon/Products/Singles?idCategory=1&amp;idProduct=sv5-206", "CM")</f>
        <v>CM</v>
      </c>
    </row>
    <row r="166" ht="7.5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</row>
    <row r="167" ht="18.75" customHeight="1">
      <c r="A167" s="18" t="s">
        <v>734</v>
      </c>
      <c r="B167" s="19" t="s">
        <v>684</v>
      </c>
      <c r="C167" s="20"/>
      <c r="D167" s="18" t="s">
        <v>1183</v>
      </c>
      <c r="E167" s="19" t="s">
        <v>851</v>
      </c>
      <c r="F167" s="20"/>
      <c r="G167" s="18" t="s">
        <v>1320</v>
      </c>
      <c r="H167" s="19" t="s">
        <v>1850</v>
      </c>
      <c r="I167" s="20"/>
      <c r="J167" s="18" t="s">
        <v>1184</v>
      </c>
      <c r="K167" s="19" t="s">
        <v>1854</v>
      </c>
      <c r="L167" s="20"/>
      <c r="M167" s="18" t="s">
        <v>1321</v>
      </c>
      <c r="N167" s="19" t="s">
        <v>1862</v>
      </c>
      <c r="O167" s="20"/>
    </row>
    <row r="168" ht="180.0" customHeight="1">
      <c r="A168" s="21" t="str">
        <f>IMAGE("https://assets.tcgdex.net/de/sv/sv05/207/low.jpg", 1)</f>
        <v/>
      </c>
      <c r="B168" s="22"/>
      <c r="C168" s="20"/>
      <c r="D168" s="21" t="str">
        <f>IMAGE("https://assets.tcgdex.net/de/sv/sv05/208/low.jpg", 1)</f>
        <v/>
      </c>
      <c r="E168" s="22"/>
      <c r="F168" s="20"/>
      <c r="G168" s="21" t="str">
        <f>IMAGE("https://assets.tcgdex.net/de/sv/sv05/209/low.jpg", 1)</f>
        <v/>
      </c>
      <c r="H168" s="22"/>
      <c r="I168" s="20"/>
      <c r="J168" s="21" t="str">
        <f>IMAGE("https://assets.tcgdex.net/de/sv/sv05/210/low.jpg", 1)</f>
        <v/>
      </c>
      <c r="K168" s="22"/>
      <c r="L168" s="20"/>
      <c r="M168" s="21" t="str">
        <f>IMAGE("https://assets.tcgdex.net/de/sv/sv05/211/low.jpg", 1)</f>
        <v/>
      </c>
      <c r="N168" s="22"/>
      <c r="O168" s="20"/>
    </row>
    <row r="169" ht="22.5" customHeight="1">
      <c r="A169" s="23" t="b">
        <v>0</v>
      </c>
      <c r="B169" s="24" t="b">
        <v>0</v>
      </c>
      <c r="C169" s="25" t="str">
        <f>HYPERLINK("https://www.cardmarket.com/en/Pokemon/Products/Singles?idCategory=1&amp;idProduct=sv5-207", "CM")</f>
        <v>CM</v>
      </c>
      <c r="D169" s="23" t="b">
        <v>0</v>
      </c>
      <c r="E169" s="24" t="b">
        <v>0</v>
      </c>
      <c r="F169" s="25" t="str">
        <f>HYPERLINK("https://www.cardmarket.com/en/Pokemon/Products/Singles?idCategory=1&amp;idProduct=sv5-208", "CM")</f>
        <v>CM</v>
      </c>
      <c r="G169" s="23" t="b">
        <v>0</v>
      </c>
      <c r="H169" s="24" t="b">
        <v>0</v>
      </c>
      <c r="I169" s="25" t="str">
        <f>HYPERLINK("https://www.cardmarket.com/en/Pokemon/Products/Singles?idCategory=1&amp;idProduct=sv5-209", "CM")</f>
        <v>CM</v>
      </c>
      <c r="J169" s="23" t="b">
        <v>0</v>
      </c>
      <c r="K169" s="24" t="b">
        <v>0</v>
      </c>
      <c r="L169" s="25" t="str">
        <f>HYPERLINK("https://www.cardmarket.com/en/Pokemon/Products/Singles?idCategory=1&amp;idProduct=sv5-210", "CM")</f>
        <v>CM</v>
      </c>
      <c r="M169" s="23" t="b">
        <v>0</v>
      </c>
      <c r="N169" s="24" t="b">
        <v>0</v>
      </c>
      <c r="O169" s="25" t="str">
        <f>HYPERLINK("https://www.cardmarket.com/en/Pokemon/Products/Singles?idCategory=1&amp;idProduct=sv5-211", "CM")</f>
        <v>CM</v>
      </c>
    </row>
    <row r="170" ht="7.5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</row>
    <row r="171" ht="18.75" customHeight="1">
      <c r="A171" s="18" t="s">
        <v>1322</v>
      </c>
      <c r="B171" s="19" t="s">
        <v>1867</v>
      </c>
      <c r="C171" s="20"/>
      <c r="D171" s="18" t="s">
        <v>1323</v>
      </c>
      <c r="E171" s="19" t="s">
        <v>838</v>
      </c>
      <c r="F171" s="20"/>
      <c r="G171" s="18" t="s">
        <v>1186</v>
      </c>
      <c r="H171" s="19" t="s">
        <v>680</v>
      </c>
      <c r="I171" s="20"/>
      <c r="J171" s="18" t="s">
        <v>1324</v>
      </c>
      <c r="K171" s="19" t="s">
        <v>663</v>
      </c>
      <c r="L171" s="20"/>
      <c r="M171" s="18" t="s">
        <v>1325</v>
      </c>
      <c r="N171" s="19" t="s">
        <v>682</v>
      </c>
      <c r="O171" s="20"/>
    </row>
    <row r="172" ht="180.0" customHeight="1">
      <c r="A172" s="21" t="str">
        <f>IMAGE("https://assets.tcgdex.net/de/sv/sv05/212/low.jpg", 1)</f>
        <v/>
      </c>
      <c r="B172" s="22"/>
      <c r="C172" s="20"/>
      <c r="D172" s="21" t="str">
        <f>IMAGE("https://assets.tcgdex.net/de/sv/sv05/213/low.jpg", 1)</f>
        <v/>
      </c>
      <c r="E172" s="22"/>
      <c r="F172" s="20"/>
      <c r="G172" s="21" t="str">
        <f>IMAGE("https://assets.tcgdex.net/de/sv/sv05/214/low.jpg", 1)</f>
        <v/>
      </c>
      <c r="H172" s="22"/>
      <c r="I172" s="20"/>
      <c r="J172" s="21" t="str">
        <f>IMAGE("https://assets.tcgdex.net/de/sv/sv05/215/low.jpg", 1)</f>
        <v/>
      </c>
      <c r="K172" s="22"/>
      <c r="L172" s="20"/>
      <c r="M172" s="21" t="str">
        <f>IMAGE("https://assets.tcgdex.net/de/sv/sv05/216/low.jpg", 1)</f>
        <v/>
      </c>
      <c r="N172" s="22"/>
      <c r="O172" s="20"/>
    </row>
    <row r="173" ht="22.5" customHeight="1">
      <c r="A173" s="23" t="b">
        <v>0</v>
      </c>
      <c r="B173" s="24" t="b">
        <v>0</v>
      </c>
      <c r="C173" s="25" t="str">
        <f>HYPERLINK("https://www.cardmarket.com/en/Pokemon/Products/Singles?idCategory=1&amp;idProduct=sv5-212", "CM")</f>
        <v>CM</v>
      </c>
      <c r="D173" s="23" t="b">
        <v>0</v>
      </c>
      <c r="E173" s="24" t="b">
        <v>0</v>
      </c>
      <c r="F173" s="25" t="str">
        <f>HYPERLINK("https://www.cardmarket.com/en/Pokemon/Products/Singles?idCategory=1&amp;idProduct=sv5-213", "CM")</f>
        <v>CM</v>
      </c>
      <c r="G173" s="23" t="b">
        <v>0</v>
      </c>
      <c r="H173" s="24" t="b">
        <v>0</v>
      </c>
      <c r="I173" s="25" t="str">
        <f>HYPERLINK("https://www.cardmarket.com/en/Pokemon/Products/Singles?idCategory=1&amp;idProduct=sv5-214", "CM")</f>
        <v>CM</v>
      </c>
      <c r="J173" s="23" t="b">
        <v>0</v>
      </c>
      <c r="K173" s="24" t="b">
        <v>0</v>
      </c>
      <c r="L173" s="25" t="str">
        <f>HYPERLINK("https://www.cardmarket.com/en/Pokemon/Products/Singles?idCategory=1&amp;idProduct=sv5-215", "CM")</f>
        <v>CM</v>
      </c>
      <c r="M173" s="23" t="b">
        <v>0</v>
      </c>
      <c r="N173" s="24" t="b">
        <v>0</v>
      </c>
      <c r="O173" s="25" t="str">
        <f>HYPERLINK("https://www.cardmarket.com/en/Pokemon/Products/Singles?idCategory=1&amp;idProduct=sv5-216", "CM")</f>
        <v>CM</v>
      </c>
    </row>
    <row r="174" ht="7.5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</row>
    <row r="175" ht="18.75" customHeight="1">
      <c r="A175" s="18" t="s">
        <v>1326</v>
      </c>
      <c r="B175" s="19" t="s">
        <v>684</v>
      </c>
      <c r="C175" s="20"/>
      <c r="D175" s="18" t="s">
        <v>1327</v>
      </c>
      <c r="E175" s="19" t="s">
        <v>851</v>
      </c>
      <c r="F175" s="20"/>
      <c r="G175" s="29" t="s">
        <v>738</v>
      </c>
      <c r="H175" s="30" t="s">
        <v>596</v>
      </c>
      <c r="I175" s="20"/>
      <c r="J175" s="26"/>
      <c r="K175" s="26"/>
      <c r="L175" s="26"/>
      <c r="M175" s="26"/>
      <c r="N175" s="26"/>
      <c r="O175" s="26"/>
    </row>
    <row r="176" ht="180.0" customHeight="1">
      <c r="A176" s="21" t="str">
        <f>IMAGE("https://assets.tcgdex.net/de/sv/sv05/217/low.jpg", 1)</f>
        <v/>
      </c>
      <c r="B176" s="22"/>
      <c r="C176" s="20"/>
      <c r="D176" s="21" t="str">
        <f>IMAGE("https://assets.tcgdex.net/de/sv/sv05/218/low.jpg", 1)</f>
        <v/>
      </c>
      <c r="E176" s="22"/>
      <c r="F176" s="20"/>
      <c r="G176" s="32" t="str">
        <f>IMAGE("https://assets.tcgdex.net/de/sv/sv05/002/low.jpg", 1)</f>
        <v/>
      </c>
      <c r="H176" s="22"/>
      <c r="I176" s="20"/>
      <c r="J176" s="26"/>
      <c r="K176" s="26"/>
      <c r="L176" s="26"/>
      <c r="M176" s="26"/>
      <c r="N176" s="26"/>
      <c r="O176" s="26"/>
    </row>
    <row r="177" ht="22.5" customHeight="1">
      <c r="A177" s="23" t="b">
        <v>0</v>
      </c>
      <c r="B177" s="24" t="b">
        <v>0</v>
      </c>
      <c r="C177" s="25" t="str">
        <f>HYPERLINK("https://www.cardmarket.com/en/Pokemon/Products/Singles?idCategory=1&amp;idProduct=sv5-217", "CM")</f>
        <v>CM</v>
      </c>
      <c r="D177" s="23" t="b">
        <v>0</v>
      </c>
      <c r="E177" s="24" t="b">
        <v>0</v>
      </c>
      <c r="F177" s="25" t="str">
        <f>HYPERLINK("https://www.cardmarket.com/en/Pokemon/Products/Singles?idCategory=1&amp;idProduct=sv5-218", "CM")</f>
        <v>CM</v>
      </c>
      <c r="G177" s="35" t="b">
        <v>1</v>
      </c>
      <c r="H177" s="35" t="b">
        <v>0</v>
      </c>
      <c r="I177" s="36" t="str">
        <f>HYPERLINK("https://www.cardmarket.com/en/Pokemon/Products/Singles?idCategory=1&amp;idProduct=sv5-2", "CM")</f>
        <v>CM</v>
      </c>
      <c r="J177" s="26"/>
      <c r="K177" s="26"/>
      <c r="L177" s="26"/>
      <c r="M177" s="26"/>
      <c r="N177" s="26"/>
      <c r="O177" s="26"/>
    </row>
    <row r="178" ht="7.5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</row>
  </sheetData>
  <mergeCells count="438">
    <mergeCell ref="H3:I3"/>
    <mergeCell ref="K3:L3"/>
    <mergeCell ref="J4:L4"/>
    <mergeCell ref="N3:O3"/>
    <mergeCell ref="M4:O4"/>
    <mergeCell ref="A1:N1"/>
    <mergeCell ref="A2:O2"/>
    <mergeCell ref="B3:C3"/>
    <mergeCell ref="A4:C4"/>
    <mergeCell ref="E3:F3"/>
    <mergeCell ref="D4:F4"/>
    <mergeCell ref="G4:I4"/>
    <mergeCell ref="K7:L7"/>
    <mergeCell ref="N7:O7"/>
    <mergeCell ref="M8:O8"/>
    <mergeCell ref="B7:C7"/>
    <mergeCell ref="A8:C8"/>
    <mergeCell ref="E7:F7"/>
    <mergeCell ref="D8:F8"/>
    <mergeCell ref="H7:I7"/>
    <mergeCell ref="G8:I8"/>
    <mergeCell ref="J8:L8"/>
    <mergeCell ref="K11:L11"/>
    <mergeCell ref="N11:O11"/>
    <mergeCell ref="M12:O12"/>
    <mergeCell ref="B11:C11"/>
    <mergeCell ref="A12:C12"/>
    <mergeCell ref="E11:F11"/>
    <mergeCell ref="D12:F12"/>
    <mergeCell ref="H11:I11"/>
    <mergeCell ref="G12:I12"/>
    <mergeCell ref="J12:L12"/>
    <mergeCell ref="K27:L27"/>
    <mergeCell ref="N27:O27"/>
    <mergeCell ref="M28:O28"/>
    <mergeCell ref="B27:C27"/>
    <mergeCell ref="A28:C28"/>
    <mergeCell ref="E27:F27"/>
    <mergeCell ref="D28:F28"/>
    <mergeCell ref="H27:I27"/>
    <mergeCell ref="G28:I28"/>
    <mergeCell ref="J28:L28"/>
    <mergeCell ref="K31:L31"/>
    <mergeCell ref="N31:O31"/>
    <mergeCell ref="M32:O32"/>
    <mergeCell ref="B31:C31"/>
    <mergeCell ref="A32:C32"/>
    <mergeCell ref="E31:F31"/>
    <mergeCell ref="D32:F32"/>
    <mergeCell ref="H31:I31"/>
    <mergeCell ref="G32:I32"/>
    <mergeCell ref="J32:L32"/>
    <mergeCell ref="K35:L35"/>
    <mergeCell ref="N35:O35"/>
    <mergeCell ref="M36:O36"/>
    <mergeCell ref="B35:C35"/>
    <mergeCell ref="A36:C36"/>
    <mergeCell ref="E35:F35"/>
    <mergeCell ref="D36:F36"/>
    <mergeCell ref="H35:I35"/>
    <mergeCell ref="G36:I36"/>
    <mergeCell ref="J36:L36"/>
    <mergeCell ref="K39:L39"/>
    <mergeCell ref="N39:O39"/>
    <mergeCell ref="M40:O40"/>
    <mergeCell ref="B39:C39"/>
    <mergeCell ref="A40:C40"/>
    <mergeCell ref="E39:F39"/>
    <mergeCell ref="D40:F40"/>
    <mergeCell ref="H39:I39"/>
    <mergeCell ref="G40:I40"/>
    <mergeCell ref="J40:L40"/>
    <mergeCell ref="K43:L43"/>
    <mergeCell ref="N43:O43"/>
    <mergeCell ref="M44:O44"/>
    <mergeCell ref="B43:C43"/>
    <mergeCell ref="A44:C44"/>
    <mergeCell ref="E43:F43"/>
    <mergeCell ref="D44:F44"/>
    <mergeCell ref="H43:I43"/>
    <mergeCell ref="G44:I44"/>
    <mergeCell ref="J44:L44"/>
    <mergeCell ref="K47:L47"/>
    <mergeCell ref="N47:O47"/>
    <mergeCell ref="M48:O48"/>
    <mergeCell ref="B47:C47"/>
    <mergeCell ref="A48:C48"/>
    <mergeCell ref="E47:F47"/>
    <mergeCell ref="D48:F48"/>
    <mergeCell ref="H47:I47"/>
    <mergeCell ref="G48:I48"/>
    <mergeCell ref="J48:L48"/>
    <mergeCell ref="K51:L51"/>
    <mergeCell ref="N51:O51"/>
    <mergeCell ref="M52:O52"/>
    <mergeCell ref="B51:C51"/>
    <mergeCell ref="A52:C52"/>
    <mergeCell ref="E51:F51"/>
    <mergeCell ref="D52:F52"/>
    <mergeCell ref="H51:I51"/>
    <mergeCell ref="G52:I52"/>
    <mergeCell ref="J52:L52"/>
    <mergeCell ref="K55:L55"/>
    <mergeCell ref="N55:O55"/>
    <mergeCell ref="M56:O56"/>
    <mergeCell ref="B55:C55"/>
    <mergeCell ref="A56:C56"/>
    <mergeCell ref="E55:F55"/>
    <mergeCell ref="D56:F56"/>
    <mergeCell ref="H55:I55"/>
    <mergeCell ref="G56:I56"/>
    <mergeCell ref="J56:L56"/>
    <mergeCell ref="K59:L59"/>
    <mergeCell ref="N59:O59"/>
    <mergeCell ref="M60:O60"/>
    <mergeCell ref="B59:C59"/>
    <mergeCell ref="A60:C60"/>
    <mergeCell ref="E59:F59"/>
    <mergeCell ref="D60:F60"/>
    <mergeCell ref="H59:I59"/>
    <mergeCell ref="G60:I60"/>
    <mergeCell ref="J60:L60"/>
    <mergeCell ref="K63:L63"/>
    <mergeCell ref="N63:O63"/>
    <mergeCell ref="M64:O64"/>
    <mergeCell ref="B63:C63"/>
    <mergeCell ref="A64:C64"/>
    <mergeCell ref="E63:F63"/>
    <mergeCell ref="D64:F64"/>
    <mergeCell ref="H63:I63"/>
    <mergeCell ref="G64:I64"/>
    <mergeCell ref="J64:L64"/>
    <mergeCell ref="K67:L67"/>
    <mergeCell ref="N67:O67"/>
    <mergeCell ref="M68:O68"/>
    <mergeCell ref="B67:C67"/>
    <mergeCell ref="A68:C68"/>
    <mergeCell ref="E67:F67"/>
    <mergeCell ref="D68:F68"/>
    <mergeCell ref="H67:I67"/>
    <mergeCell ref="G68:I68"/>
    <mergeCell ref="J68:L68"/>
    <mergeCell ref="K71:L71"/>
    <mergeCell ref="N71:O71"/>
    <mergeCell ref="M72:O72"/>
    <mergeCell ref="B71:C71"/>
    <mergeCell ref="A72:C72"/>
    <mergeCell ref="E71:F71"/>
    <mergeCell ref="D72:F72"/>
    <mergeCell ref="H71:I71"/>
    <mergeCell ref="G72:I72"/>
    <mergeCell ref="J72:L72"/>
    <mergeCell ref="K75:L75"/>
    <mergeCell ref="N75:O75"/>
    <mergeCell ref="M76:O76"/>
    <mergeCell ref="B75:C75"/>
    <mergeCell ref="A76:C76"/>
    <mergeCell ref="E75:F75"/>
    <mergeCell ref="D76:F76"/>
    <mergeCell ref="H75:I75"/>
    <mergeCell ref="G76:I76"/>
    <mergeCell ref="J76:L76"/>
    <mergeCell ref="K79:L79"/>
    <mergeCell ref="N79:O79"/>
    <mergeCell ref="M80:O80"/>
    <mergeCell ref="B79:C79"/>
    <mergeCell ref="A80:C80"/>
    <mergeCell ref="E79:F79"/>
    <mergeCell ref="D80:F80"/>
    <mergeCell ref="H79:I79"/>
    <mergeCell ref="G80:I80"/>
    <mergeCell ref="J80:L80"/>
    <mergeCell ref="K83:L83"/>
    <mergeCell ref="N83:O83"/>
    <mergeCell ref="M84:O84"/>
    <mergeCell ref="B83:C83"/>
    <mergeCell ref="A84:C84"/>
    <mergeCell ref="E83:F83"/>
    <mergeCell ref="D84:F84"/>
    <mergeCell ref="H83:I83"/>
    <mergeCell ref="G84:I84"/>
    <mergeCell ref="J84:L84"/>
    <mergeCell ref="K87:L87"/>
    <mergeCell ref="N87:O87"/>
    <mergeCell ref="M88:O88"/>
    <mergeCell ref="B87:C87"/>
    <mergeCell ref="A88:C88"/>
    <mergeCell ref="E87:F87"/>
    <mergeCell ref="D88:F88"/>
    <mergeCell ref="H87:I87"/>
    <mergeCell ref="G88:I88"/>
    <mergeCell ref="J88:L88"/>
    <mergeCell ref="K91:L91"/>
    <mergeCell ref="N91:O91"/>
    <mergeCell ref="M92:O92"/>
    <mergeCell ref="B91:C91"/>
    <mergeCell ref="A92:C92"/>
    <mergeCell ref="E91:F91"/>
    <mergeCell ref="D92:F92"/>
    <mergeCell ref="H91:I91"/>
    <mergeCell ref="G92:I92"/>
    <mergeCell ref="J92:L92"/>
    <mergeCell ref="K95:L95"/>
    <mergeCell ref="N95:O95"/>
    <mergeCell ref="M96:O96"/>
    <mergeCell ref="B95:C95"/>
    <mergeCell ref="A96:C96"/>
    <mergeCell ref="E95:F95"/>
    <mergeCell ref="D96:F96"/>
    <mergeCell ref="H95:I95"/>
    <mergeCell ref="G96:I96"/>
    <mergeCell ref="J96:L96"/>
    <mergeCell ref="K99:L99"/>
    <mergeCell ref="N99:O99"/>
    <mergeCell ref="M100:O100"/>
    <mergeCell ref="B99:C99"/>
    <mergeCell ref="A100:C100"/>
    <mergeCell ref="E99:F99"/>
    <mergeCell ref="D100:F100"/>
    <mergeCell ref="H99:I99"/>
    <mergeCell ref="G100:I100"/>
    <mergeCell ref="J100:L100"/>
    <mergeCell ref="K103:L103"/>
    <mergeCell ref="N103:O103"/>
    <mergeCell ref="M104:O104"/>
    <mergeCell ref="B103:C103"/>
    <mergeCell ref="A104:C104"/>
    <mergeCell ref="E103:F103"/>
    <mergeCell ref="D104:F104"/>
    <mergeCell ref="H103:I103"/>
    <mergeCell ref="G104:I104"/>
    <mergeCell ref="J104:L104"/>
    <mergeCell ref="K107:L107"/>
    <mergeCell ref="N107:O107"/>
    <mergeCell ref="M108:O108"/>
    <mergeCell ref="B107:C107"/>
    <mergeCell ref="A108:C108"/>
    <mergeCell ref="E107:F107"/>
    <mergeCell ref="D108:F108"/>
    <mergeCell ref="H107:I107"/>
    <mergeCell ref="G108:I108"/>
    <mergeCell ref="J108:L108"/>
    <mergeCell ref="K111:L111"/>
    <mergeCell ref="N111:O111"/>
    <mergeCell ref="M112:O112"/>
    <mergeCell ref="B111:C111"/>
    <mergeCell ref="A112:C112"/>
    <mergeCell ref="E111:F111"/>
    <mergeCell ref="D112:F112"/>
    <mergeCell ref="H111:I111"/>
    <mergeCell ref="G112:I112"/>
    <mergeCell ref="J112:L112"/>
    <mergeCell ref="K115:L115"/>
    <mergeCell ref="N115:O115"/>
    <mergeCell ref="M116:O116"/>
    <mergeCell ref="B115:C115"/>
    <mergeCell ref="A116:C116"/>
    <mergeCell ref="E115:F115"/>
    <mergeCell ref="D116:F116"/>
    <mergeCell ref="H115:I115"/>
    <mergeCell ref="G116:I116"/>
    <mergeCell ref="J116:L116"/>
    <mergeCell ref="K119:L119"/>
    <mergeCell ref="N119:O119"/>
    <mergeCell ref="M120:O120"/>
    <mergeCell ref="B119:C119"/>
    <mergeCell ref="A120:C120"/>
    <mergeCell ref="E119:F119"/>
    <mergeCell ref="D120:F120"/>
    <mergeCell ref="H119:I119"/>
    <mergeCell ref="G120:I120"/>
    <mergeCell ref="J120:L120"/>
    <mergeCell ref="K123:L123"/>
    <mergeCell ref="N123:O123"/>
    <mergeCell ref="M124:O124"/>
    <mergeCell ref="B123:C123"/>
    <mergeCell ref="A124:C124"/>
    <mergeCell ref="E123:F123"/>
    <mergeCell ref="D124:F124"/>
    <mergeCell ref="H123:I123"/>
    <mergeCell ref="G124:I124"/>
    <mergeCell ref="J124:L124"/>
    <mergeCell ref="K127:L127"/>
    <mergeCell ref="N127:O127"/>
    <mergeCell ref="M128:O128"/>
    <mergeCell ref="B127:C127"/>
    <mergeCell ref="A128:C128"/>
    <mergeCell ref="E127:F127"/>
    <mergeCell ref="D128:F128"/>
    <mergeCell ref="H127:I127"/>
    <mergeCell ref="G128:I128"/>
    <mergeCell ref="J128:L128"/>
    <mergeCell ref="K131:L131"/>
    <mergeCell ref="N131:O131"/>
    <mergeCell ref="M132:O132"/>
    <mergeCell ref="B131:C131"/>
    <mergeCell ref="A132:C132"/>
    <mergeCell ref="E131:F131"/>
    <mergeCell ref="D132:F132"/>
    <mergeCell ref="H131:I131"/>
    <mergeCell ref="G132:I132"/>
    <mergeCell ref="J132:L132"/>
    <mergeCell ref="K163:L163"/>
    <mergeCell ref="N163:O163"/>
    <mergeCell ref="M164:O164"/>
    <mergeCell ref="B163:C163"/>
    <mergeCell ref="A164:C164"/>
    <mergeCell ref="E163:F163"/>
    <mergeCell ref="D164:F164"/>
    <mergeCell ref="H163:I163"/>
    <mergeCell ref="G164:I164"/>
    <mergeCell ref="J164:L164"/>
    <mergeCell ref="K167:L167"/>
    <mergeCell ref="N167:O167"/>
    <mergeCell ref="M168:O168"/>
    <mergeCell ref="B167:C167"/>
    <mergeCell ref="A168:C168"/>
    <mergeCell ref="E167:F167"/>
    <mergeCell ref="D168:F168"/>
    <mergeCell ref="H167:I167"/>
    <mergeCell ref="G168:I168"/>
    <mergeCell ref="J168:L168"/>
    <mergeCell ref="K171:L171"/>
    <mergeCell ref="N171:O171"/>
    <mergeCell ref="M172:O172"/>
    <mergeCell ref="B171:C171"/>
    <mergeCell ref="A172:C172"/>
    <mergeCell ref="E171:F171"/>
    <mergeCell ref="D172:F172"/>
    <mergeCell ref="H171:I171"/>
    <mergeCell ref="G172:I172"/>
    <mergeCell ref="J172:L172"/>
    <mergeCell ref="K15:L15"/>
    <mergeCell ref="N15:O15"/>
    <mergeCell ref="M16:O16"/>
    <mergeCell ref="B15:C15"/>
    <mergeCell ref="A16:C16"/>
    <mergeCell ref="E15:F15"/>
    <mergeCell ref="D16:F16"/>
    <mergeCell ref="H15:I15"/>
    <mergeCell ref="G16:I16"/>
    <mergeCell ref="J16:L16"/>
    <mergeCell ref="K19:L19"/>
    <mergeCell ref="N19:O19"/>
    <mergeCell ref="M20:O20"/>
    <mergeCell ref="B19:C19"/>
    <mergeCell ref="A20:C20"/>
    <mergeCell ref="E19:F19"/>
    <mergeCell ref="D20:F20"/>
    <mergeCell ref="H19:I19"/>
    <mergeCell ref="G20:I20"/>
    <mergeCell ref="J20:L20"/>
    <mergeCell ref="K23:L23"/>
    <mergeCell ref="N23:O23"/>
    <mergeCell ref="M24:O24"/>
    <mergeCell ref="B23:C23"/>
    <mergeCell ref="A24:C24"/>
    <mergeCell ref="E23:F23"/>
    <mergeCell ref="D24:F24"/>
    <mergeCell ref="H23:I23"/>
    <mergeCell ref="G24:I24"/>
    <mergeCell ref="J24:L24"/>
    <mergeCell ref="B175:C175"/>
    <mergeCell ref="A176:C176"/>
    <mergeCell ref="E175:F175"/>
    <mergeCell ref="D176:F176"/>
    <mergeCell ref="H175:I175"/>
    <mergeCell ref="G176:I176"/>
    <mergeCell ref="K135:L135"/>
    <mergeCell ref="N135:O135"/>
    <mergeCell ref="M136:O136"/>
    <mergeCell ref="B135:C135"/>
    <mergeCell ref="A136:C136"/>
    <mergeCell ref="E135:F135"/>
    <mergeCell ref="D136:F136"/>
    <mergeCell ref="H135:I135"/>
    <mergeCell ref="G136:I136"/>
    <mergeCell ref="J136:L136"/>
    <mergeCell ref="K139:L139"/>
    <mergeCell ref="N139:O139"/>
    <mergeCell ref="M140:O140"/>
    <mergeCell ref="B139:C139"/>
    <mergeCell ref="A140:C140"/>
    <mergeCell ref="E139:F139"/>
    <mergeCell ref="D140:F140"/>
    <mergeCell ref="H139:I139"/>
    <mergeCell ref="G140:I140"/>
    <mergeCell ref="J140:L140"/>
    <mergeCell ref="K143:L143"/>
    <mergeCell ref="N143:O143"/>
    <mergeCell ref="M144:O144"/>
    <mergeCell ref="B143:C143"/>
    <mergeCell ref="A144:C144"/>
    <mergeCell ref="E143:F143"/>
    <mergeCell ref="D144:F144"/>
    <mergeCell ref="H143:I143"/>
    <mergeCell ref="G144:I144"/>
    <mergeCell ref="J144:L144"/>
    <mergeCell ref="K147:L147"/>
    <mergeCell ref="N147:O147"/>
    <mergeCell ref="M148:O148"/>
    <mergeCell ref="B147:C147"/>
    <mergeCell ref="A148:C148"/>
    <mergeCell ref="E147:F147"/>
    <mergeCell ref="D148:F148"/>
    <mergeCell ref="H147:I147"/>
    <mergeCell ref="G148:I148"/>
    <mergeCell ref="J148:L148"/>
    <mergeCell ref="K151:L151"/>
    <mergeCell ref="N151:O151"/>
    <mergeCell ref="M152:O152"/>
    <mergeCell ref="B151:C151"/>
    <mergeCell ref="A152:C152"/>
    <mergeCell ref="E151:F151"/>
    <mergeCell ref="D152:F152"/>
    <mergeCell ref="H151:I151"/>
    <mergeCell ref="G152:I152"/>
    <mergeCell ref="J152:L152"/>
    <mergeCell ref="K155:L155"/>
    <mergeCell ref="N155:O155"/>
    <mergeCell ref="M156:O156"/>
    <mergeCell ref="B155:C155"/>
    <mergeCell ref="A156:C156"/>
    <mergeCell ref="E155:F155"/>
    <mergeCell ref="D156:F156"/>
    <mergeCell ref="H155:I155"/>
    <mergeCell ref="G156:I156"/>
    <mergeCell ref="J156:L156"/>
    <mergeCell ref="K159:L159"/>
    <mergeCell ref="N159:O159"/>
    <mergeCell ref="M160:O160"/>
    <mergeCell ref="B159:C159"/>
    <mergeCell ref="A160:C160"/>
    <mergeCell ref="E159:F159"/>
    <mergeCell ref="D160:F160"/>
    <mergeCell ref="H159:I159"/>
    <mergeCell ref="G160:I160"/>
    <mergeCell ref="J160:L160"/>
  </mergeCells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.13"/>
    <col customWidth="1" min="3" max="3" width="12.63"/>
    <col customWidth="1" min="4" max="5" width="5.13"/>
    <col customWidth="1" min="6" max="6" width="12.63"/>
    <col customWidth="1" min="7" max="8" width="5.13"/>
    <col customWidth="1" min="9" max="9" width="12.63"/>
    <col customWidth="1" min="10" max="11" width="5.13"/>
    <col customWidth="1" min="12" max="12" width="12.63"/>
    <col customWidth="1" min="13" max="14" width="5.13"/>
    <col customWidth="1" min="15" max="15" width="12.63"/>
  </cols>
  <sheetData>
    <row r="1" ht="18.75" customHeight="1">
      <c r="A1" s="16" t="s">
        <v>1870</v>
      </c>
      <c r="O1" s="17" t="b">
        <v>0</v>
      </c>
    </row>
    <row r="2" ht="18.75" customHeight="1">
      <c r="A2" s="3" t="s">
        <v>1871</v>
      </c>
    </row>
    <row r="3" ht="18.75" customHeight="1">
      <c r="A3" s="18" t="s">
        <v>736</v>
      </c>
      <c r="B3" s="19" t="s">
        <v>910</v>
      </c>
      <c r="C3" s="20"/>
      <c r="D3" s="18" t="s">
        <v>738</v>
      </c>
      <c r="E3" s="19" t="s">
        <v>960</v>
      </c>
      <c r="F3" s="20"/>
      <c r="G3" s="18" t="s">
        <v>739</v>
      </c>
      <c r="H3" s="19" t="s">
        <v>1564</v>
      </c>
      <c r="I3" s="20"/>
      <c r="J3" s="18" t="s">
        <v>740</v>
      </c>
      <c r="K3" s="19" t="s">
        <v>1872</v>
      </c>
      <c r="L3" s="20"/>
      <c r="M3" s="18" t="s">
        <v>742</v>
      </c>
      <c r="N3" s="19" t="s">
        <v>1873</v>
      </c>
      <c r="O3" s="20"/>
    </row>
    <row r="4" ht="180.0" customHeight="1">
      <c r="A4" s="21" t="str">
        <f>IMAGE("https://assets.tcgdex.net/de/sv/sv06/001/low.jpg", 1)</f>
        <v/>
      </c>
      <c r="B4" s="22"/>
      <c r="C4" s="20"/>
      <c r="D4" s="21" t="str">
        <f>IMAGE("https://assets.tcgdex.net/de/sv/sv06/002/low.jpg", 1)</f>
        <v/>
      </c>
      <c r="E4" s="22"/>
      <c r="F4" s="20"/>
      <c r="G4" s="21" t="str">
        <f>IMAGE("https://assets.tcgdex.net/de/sv/sv06/003/low.jpg", 1)</f>
        <v/>
      </c>
      <c r="H4" s="22"/>
      <c r="I4" s="20"/>
      <c r="J4" s="21" t="str">
        <f>IMAGE("https://assets.tcgdex.net/de/sv/sv06/004/low.jpg", 1)</f>
        <v/>
      </c>
      <c r="K4" s="22"/>
      <c r="L4" s="20"/>
      <c r="M4" s="21" t="str">
        <f>IMAGE("https://assets.tcgdex.net/de/sv/sv06/005/low.jpg", 1)</f>
        <v/>
      </c>
      <c r="N4" s="22"/>
      <c r="O4" s="20"/>
    </row>
    <row r="5" ht="22.5" customHeight="1">
      <c r="A5" s="23" t="b">
        <v>0</v>
      </c>
      <c r="B5" s="24" t="b">
        <v>0</v>
      </c>
      <c r="C5" s="25" t="str">
        <f>HYPERLINK("https://www.cardmarket.com/en/Pokemon/Products/Singles?idCategory=1&amp;idProduct=sv6-1", "CM")</f>
        <v>CM</v>
      </c>
      <c r="D5" s="23" t="b">
        <v>0</v>
      </c>
      <c r="E5" s="24" t="b">
        <v>0</v>
      </c>
      <c r="F5" s="25" t="str">
        <f>HYPERLINK("https://www.cardmarket.com/en/Pokemon/Products/Singles?idCategory=1&amp;idProduct=sv6-2", "CM")</f>
        <v>CM</v>
      </c>
      <c r="G5" s="23" t="b">
        <v>0</v>
      </c>
      <c r="H5" s="24" t="b">
        <v>0</v>
      </c>
      <c r="I5" s="25" t="str">
        <f>HYPERLINK("https://www.cardmarket.com/en/Pokemon/Products/Singles?idCategory=1&amp;idProduct=sv6-3", "CM")</f>
        <v>CM</v>
      </c>
      <c r="J5" s="23" t="b">
        <v>0</v>
      </c>
      <c r="K5" s="24" t="b">
        <v>0</v>
      </c>
      <c r="L5" s="25" t="str">
        <f>HYPERLINK("https://www.cardmarket.com/en/Pokemon/Products/Singles?idCategory=1&amp;idProduct=sv6-4", "CM")</f>
        <v>CM</v>
      </c>
      <c r="M5" s="23" t="b">
        <v>0</v>
      </c>
      <c r="N5" s="24" t="b">
        <v>0</v>
      </c>
      <c r="O5" s="25" t="str">
        <f>HYPERLINK("https://www.cardmarket.com/en/Pokemon/Products/Singles?idCategory=1&amp;idProduct=sv6-5", "CM")</f>
        <v>CM</v>
      </c>
    </row>
    <row r="6" ht="7.5" customHeight="1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</row>
    <row r="7" ht="18.75" customHeight="1">
      <c r="A7" s="18" t="s">
        <v>529</v>
      </c>
      <c r="B7" s="19" t="s">
        <v>912</v>
      </c>
      <c r="C7" s="20"/>
      <c r="D7" s="18" t="s">
        <v>744</v>
      </c>
      <c r="E7" s="19" t="s">
        <v>1874</v>
      </c>
      <c r="F7" s="20"/>
      <c r="G7" s="18" t="s">
        <v>531</v>
      </c>
      <c r="H7" s="19" t="s">
        <v>1204</v>
      </c>
      <c r="I7" s="20"/>
      <c r="J7" s="18" t="s">
        <v>746</v>
      </c>
      <c r="K7" s="19" t="s">
        <v>1875</v>
      </c>
      <c r="L7" s="20"/>
      <c r="M7" s="18" t="s">
        <v>748</v>
      </c>
      <c r="N7" s="19" t="s">
        <v>1876</v>
      </c>
      <c r="O7" s="20"/>
    </row>
    <row r="8" ht="180.0" customHeight="1">
      <c r="A8" s="21" t="str">
        <f>IMAGE("https://assets.tcgdex.net/de/sv/sv06/006/low.jpg", 1)</f>
        <v/>
      </c>
      <c r="B8" s="22"/>
      <c r="C8" s="20"/>
      <c r="D8" s="21" t="str">
        <f>IMAGE("https://assets.tcgdex.net/de/sv/sv06/007/low.jpg", 1)</f>
        <v/>
      </c>
      <c r="E8" s="22"/>
      <c r="F8" s="20"/>
      <c r="G8" s="21" t="str">
        <f>IMAGE("https://assets.tcgdex.net/de/sv/sv06/008/low.jpg", 1)</f>
        <v/>
      </c>
      <c r="H8" s="22"/>
      <c r="I8" s="20"/>
      <c r="J8" s="21" t="str">
        <f>IMAGE("https://assets.tcgdex.net/de/sv/sv06/009/low.jpg", 1)</f>
        <v/>
      </c>
      <c r="K8" s="22"/>
      <c r="L8" s="20"/>
      <c r="M8" s="21" t="str">
        <f>IMAGE("https://assets.tcgdex.net/de/sv/sv06/010/low.jpg", 1)</f>
        <v/>
      </c>
      <c r="N8" s="22"/>
      <c r="O8" s="20"/>
    </row>
    <row r="9" ht="22.5" customHeight="1">
      <c r="A9" s="23" t="b">
        <v>0</v>
      </c>
      <c r="B9" s="24" t="b">
        <v>0</v>
      </c>
      <c r="C9" s="25" t="str">
        <f>HYPERLINK("https://www.cardmarket.com/en/Pokemon/Products/Singles?idCategory=1&amp;idProduct=sv6-6", "CM")</f>
        <v>CM</v>
      </c>
      <c r="D9" s="23" t="b">
        <v>0</v>
      </c>
      <c r="E9" s="24" t="b">
        <v>0</v>
      </c>
      <c r="F9" s="25" t="str">
        <f>HYPERLINK("https://www.cardmarket.com/en/Pokemon/Products/Singles?idCategory=1&amp;idProduct=sv6-7", "CM")</f>
        <v>CM</v>
      </c>
      <c r="G9" s="23" t="b">
        <v>0</v>
      </c>
      <c r="H9" s="24" t="b">
        <v>0</v>
      </c>
      <c r="I9" s="25" t="str">
        <f>HYPERLINK("https://www.cardmarket.com/en/Pokemon/Products/Singles?idCategory=1&amp;idProduct=sv6-8", "CM")</f>
        <v>CM</v>
      </c>
      <c r="J9" s="23" t="b">
        <v>0</v>
      </c>
      <c r="K9" s="24" t="b">
        <v>0</v>
      </c>
      <c r="L9" s="25" t="str">
        <f>HYPERLINK("https://www.cardmarket.com/en/Pokemon/Products/Singles?idCategory=1&amp;idProduct=sv6-9", "CM")</f>
        <v>CM</v>
      </c>
      <c r="M9" s="23" t="b">
        <v>0</v>
      </c>
      <c r="N9" s="24" t="b">
        <v>0</v>
      </c>
      <c r="O9" s="25" t="str">
        <f>HYPERLINK("https://www.cardmarket.com/en/Pokemon/Products/Singles?idCategory=1&amp;idProduct=sv6-10", "CM")</f>
        <v>CM</v>
      </c>
    </row>
    <row r="10" ht="7.5" customHeight="1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</row>
    <row r="11" ht="18.75" customHeight="1">
      <c r="A11" s="18" t="s">
        <v>750</v>
      </c>
      <c r="B11" s="19" t="s">
        <v>878</v>
      </c>
      <c r="C11" s="20"/>
      <c r="D11" s="18" t="s">
        <v>752</v>
      </c>
      <c r="E11" s="19" t="s">
        <v>1368</v>
      </c>
      <c r="F11" s="20"/>
      <c r="G11" s="18" t="s">
        <v>754</v>
      </c>
      <c r="H11" s="19" t="s">
        <v>1369</v>
      </c>
      <c r="I11" s="20"/>
      <c r="J11" s="18" t="s">
        <v>755</v>
      </c>
      <c r="K11" s="19" t="s">
        <v>1877</v>
      </c>
      <c r="L11" s="20"/>
      <c r="M11" s="18" t="s">
        <v>533</v>
      </c>
      <c r="N11" s="19" t="s">
        <v>654</v>
      </c>
      <c r="O11" s="20"/>
    </row>
    <row r="12" ht="180.0" customHeight="1">
      <c r="A12" s="21" t="str">
        <f>IMAGE("https://assets.tcgdex.net/de/sv/sv06/011/low.jpg", 1)</f>
        <v/>
      </c>
      <c r="B12" s="22"/>
      <c r="C12" s="20"/>
      <c r="D12" s="21" t="str">
        <f>IMAGE("https://assets.tcgdex.net/de/sv/sv06/012/low.jpg", 1)</f>
        <v/>
      </c>
      <c r="E12" s="22"/>
      <c r="F12" s="20"/>
      <c r="G12" s="21" t="str">
        <f>IMAGE("https://assets.tcgdex.net/de/sv/sv06/013/low.jpg", 1)</f>
        <v/>
      </c>
      <c r="H12" s="22"/>
      <c r="I12" s="20"/>
      <c r="J12" s="21" t="str">
        <f>IMAGE("https://assets.tcgdex.net/de/sv/sv06/014/low.jpg", 1)</f>
        <v/>
      </c>
      <c r="K12" s="22"/>
      <c r="L12" s="20"/>
      <c r="M12" s="21" t="str">
        <f>IMAGE("https://assets.tcgdex.net/de/sv/sv06/015/low.jpg", 1)</f>
        <v/>
      </c>
      <c r="N12" s="22"/>
      <c r="O12" s="20"/>
    </row>
    <row r="13" ht="22.5" customHeight="1">
      <c r="A13" s="23" t="b">
        <v>0</v>
      </c>
      <c r="B13" s="24" t="b">
        <v>0</v>
      </c>
      <c r="C13" s="25" t="str">
        <f>HYPERLINK("https://www.cardmarket.com/en/Pokemon/Products/Singles?idCategory=1&amp;idProduct=sv6-11", "CM")</f>
        <v>CM</v>
      </c>
      <c r="D13" s="23" t="b">
        <v>0</v>
      </c>
      <c r="E13" s="24" t="b">
        <v>0</v>
      </c>
      <c r="F13" s="25" t="str">
        <f>HYPERLINK("https://www.cardmarket.com/en/Pokemon/Products/Singles?idCategory=1&amp;idProduct=sv6-12", "CM")</f>
        <v>CM</v>
      </c>
      <c r="G13" s="23" t="b">
        <v>0</v>
      </c>
      <c r="H13" s="24" t="b">
        <v>0</v>
      </c>
      <c r="I13" s="25" t="str">
        <f>HYPERLINK("https://www.cardmarket.com/en/Pokemon/Products/Singles?idCategory=1&amp;idProduct=sv6-13", "CM")</f>
        <v>CM</v>
      </c>
      <c r="J13" s="23" t="b">
        <v>0</v>
      </c>
      <c r="K13" s="24" t="b">
        <v>0</v>
      </c>
      <c r="L13" s="25" t="str">
        <f>HYPERLINK("https://www.cardmarket.com/en/Pokemon/Products/Singles?idCategory=1&amp;idProduct=sv6-14", "CM")</f>
        <v>CM</v>
      </c>
      <c r="M13" s="23" t="b">
        <v>0</v>
      </c>
      <c r="N13" s="24" t="b">
        <v>0</v>
      </c>
      <c r="O13" s="25" t="str">
        <f>HYPERLINK("https://www.cardmarket.com/en/Pokemon/Products/Singles?idCategory=1&amp;idProduct=sv6-15", "CM")</f>
        <v>CM</v>
      </c>
    </row>
    <row r="14" ht="7.5" customHeight="1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</row>
    <row r="15" ht="18.75" customHeight="1">
      <c r="A15" s="18" t="s">
        <v>535</v>
      </c>
      <c r="B15" s="19" t="s">
        <v>1878</v>
      </c>
      <c r="C15" s="20"/>
      <c r="D15" s="18" t="s">
        <v>537</v>
      </c>
      <c r="E15" s="19" t="s">
        <v>1879</v>
      </c>
      <c r="F15" s="20"/>
      <c r="G15" s="18" t="s">
        <v>756</v>
      </c>
      <c r="H15" s="19" t="s">
        <v>1880</v>
      </c>
      <c r="I15" s="20"/>
      <c r="J15" s="18" t="s">
        <v>539</v>
      </c>
      <c r="K15" s="19" t="s">
        <v>1881</v>
      </c>
      <c r="L15" s="20"/>
      <c r="M15" s="18" t="s">
        <v>541</v>
      </c>
      <c r="N15" s="19" t="s">
        <v>1882</v>
      </c>
      <c r="O15" s="20"/>
    </row>
    <row r="16" ht="180.0" customHeight="1">
      <c r="A16" s="21" t="str">
        <f>IMAGE("https://assets.tcgdex.net/de/sv/sv06/016/low.jpg", 1)</f>
        <v/>
      </c>
      <c r="B16" s="22"/>
      <c r="C16" s="20"/>
      <c r="D16" s="21" t="str">
        <f>IMAGE("https://assets.tcgdex.net/de/sv/sv06/017/low.jpg", 1)</f>
        <v/>
      </c>
      <c r="E16" s="22"/>
      <c r="F16" s="20"/>
      <c r="G16" s="21" t="str">
        <f>IMAGE("https://assets.tcgdex.net/de/sv/sv06/018/low.jpg", 1)</f>
        <v/>
      </c>
      <c r="H16" s="22"/>
      <c r="I16" s="20"/>
      <c r="J16" s="21" t="str">
        <f>IMAGE("https://assets.tcgdex.net/de/sv/sv06/019/low.jpg", 1)</f>
        <v/>
      </c>
      <c r="K16" s="22"/>
      <c r="L16" s="20"/>
      <c r="M16" s="21" t="str">
        <f>IMAGE("https://assets.tcgdex.net/de/sv/sv06/020/low.jpg", 1)</f>
        <v/>
      </c>
      <c r="N16" s="22"/>
      <c r="O16" s="20"/>
    </row>
    <row r="17" ht="22.5" customHeight="1">
      <c r="A17" s="23" t="b">
        <v>0</v>
      </c>
      <c r="B17" s="24" t="b">
        <v>0</v>
      </c>
      <c r="C17" s="25" t="str">
        <f>HYPERLINK("https://www.cardmarket.com/en/Pokemon/Products/Singles?idCategory=1&amp;idProduct=sv6-16", "CM")</f>
        <v>CM</v>
      </c>
      <c r="D17" s="23" t="b">
        <v>0</v>
      </c>
      <c r="E17" s="24" t="b">
        <v>0</v>
      </c>
      <c r="F17" s="25" t="str">
        <f>HYPERLINK("https://www.cardmarket.com/en/Pokemon/Products/Singles?idCategory=1&amp;idProduct=sv6-17", "CM")</f>
        <v>CM</v>
      </c>
      <c r="G17" s="23" t="b">
        <v>0</v>
      </c>
      <c r="H17" s="24" t="b">
        <v>0</v>
      </c>
      <c r="I17" s="25" t="str">
        <f>HYPERLINK("https://www.cardmarket.com/en/Pokemon/Products/Singles?idCategory=1&amp;idProduct=sv6-18", "CM")</f>
        <v>CM</v>
      </c>
      <c r="J17" s="23" t="b">
        <v>0</v>
      </c>
      <c r="K17" s="24" t="b">
        <v>0</v>
      </c>
      <c r="L17" s="25" t="str">
        <f>HYPERLINK("https://www.cardmarket.com/en/Pokemon/Products/Singles?idCategory=1&amp;idProduct=sv6-19", "CM")</f>
        <v>CM</v>
      </c>
      <c r="M17" s="23" t="b">
        <v>0</v>
      </c>
      <c r="N17" s="24" t="b">
        <v>0</v>
      </c>
      <c r="O17" s="25" t="str">
        <f>HYPERLINK("https://www.cardmarket.com/en/Pokemon/Products/Singles?idCategory=1&amp;idProduct=sv6-20", "CM")</f>
        <v>CM</v>
      </c>
    </row>
    <row r="18" ht="7.5" customHeight="1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</row>
    <row r="19" ht="18.75" customHeight="1">
      <c r="A19" s="18" t="s">
        <v>543</v>
      </c>
      <c r="B19" s="19" t="s">
        <v>1882</v>
      </c>
      <c r="C19" s="20"/>
      <c r="D19" s="18" t="s">
        <v>545</v>
      </c>
      <c r="E19" s="19" t="s">
        <v>1883</v>
      </c>
      <c r="F19" s="20"/>
      <c r="G19" s="18" t="s">
        <v>547</v>
      </c>
      <c r="H19" s="19" t="s">
        <v>1884</v>
      </c>
      <c r="I19" s="20"/>
      <c r="J19" s="18" t="s">
        <v>549</v>
      </c>
      <c r="K19" s="19" t="s">
        <v>832</v>
      </c>
      <c r="L19" s="20"/>
      <c r="M19" s="18" t="s">
        <v>758</v>
      </c>
      <c r="N19" s="19" t="s">
        <v>870</v>
      </c>
      <c r="O19" s="20"/>
    </row>
    <row r="20" ht="180.0" customHeight="1">
      <c r="A20" s="21" t="str">
        <f>IMAGE("https://assets.tcgdex.net/de/sv/sv06/021/low.jpg", 1)</f>
        <v/>
      </c>
      <c r="B20" s="22"/>
      <c r="C20" s="20"/>
      <c r="D20" s="21" t="str">
        <f>IMAGE("https://assets.tcgdex.net/de/sv/sv06/022/low.jpg", 1)</f>
        <v/>
      </c>
      <c r="E20" s="22"/>
      <c r="F20" s="20"/>
      <c r="G20" s="21" t="str">
        <f>IMAGE("https://assets.tcgdex.net/de/sv/sv06/023/low.jpg", 1)</f>
        <v/>
      </c>
      <c r="H20" s="22"/>
      <c r="I20" s="20"/>
      <c r="J20" s="21" t="str">
        <f>IMAGE("https://assets.tcgdex.net/de/sv/sv06/024/low.jpg", 1)</f>
        <v/>
      </c>
      <c r="K20" s="22"/>
      <c r="L20" s="20"/>
      <c r="M20" s="21" t="str">
        <f>IMAGE("https://assets.tcgdex.net/de/sv/sv06/025/low.jpg", 1)</f>
        <v/>
      </c>
      <c r="N20" s="22"/>
      <c r="O20" s="20"/>
    </row>
    <row r="21" ht="22.5" customHeight="1">
      <c r="A21" s="23" t="b">
        <v>0</v>
      </c>
      <c r="B21" s="24" t="b">
        <v>0</v>
      </c>
      <c r="C21" s="25" t="str">
        <f>HYPERLINK("https://www.cardmarket.com/en/Pokemon/Products/Singles?idCategory=1&amp;idProduct=sv6-21", "CM")</f>
        <v>CM</v>
      </c>
      <c r="D21" s="23" t="b">
        <v>0</v>
      </c>
      <c r="E21" s="24" t="b">
        <v>0</v>
      </c>
      <c r="F21" s="25" t="str">
        <f>HYPERLINK("https://www.cardmarket.com/en/Pokemon/Products/Singles?idCategory=1&amp;idProduct=sv6-22", "CM")</f>
        <v>CM</v>
      </c>
      <c r="G21" s="23" t="b">
        <v>0</v>
      </c>
      <c r="H21" s="24" t="b">
        <v>0</v>
      </c>
      <c r="I21" s="25" t="str">
        <f>HYPERLINK("https://www.cardmarket.com/en/Pokemon/Products/Singles?idCategory=1&amp;idProduct=sv6-23", "CM")</f>
        <v>CM</v>
      </c>
      <c r="J21" s="23" t="b">
        <v>0</v>
      </c>
      <c r="K21" s="24" t="b">
        <v>0</v>
      </c>
      <c r="L21" s="25" t="str">
        <f>HYPERLINK("https://www.cardmarket.com/en/Pokemon/Products/Singles?idCategory=1&amp;idProduct=sv6-24", "CM")</f>
        <v>CM</v>
      </c>
      <c r="M21" s="23" t="b">
        <v>0</v>
      </c>
      <c r="N21" s="24" t="b">
        <v>0</v>
      </c>
      <c r="O21" s="25" t="str">
        <f>HYPERLINK("https://www.cardmarket.com/en/Pokemon/Products/Singles?idCategory=1&amp;idProduct=sv6-25", "CM")</f>
        <v>CM</v>
      </c>
    </row>
    <row r="22" ht="7.5" customHeight="1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</row>
    <row r="23" ht="18.75" customHeight="1">
      <c r="A23" s="18" t="s">
        <v>760</v>
      </c>
      <c r="B23" s="19" t="s">
        <v>1378</v>
      </c>
      <c r="C23" s="20"/>
      <c r="D23" s="18" t="s">
        <v>762</v>
      </c>
      <c r="E23" s="19" t="s">
        <v>1379</v>
      </c>
      <c r="F23" s="20"/>
      <c r="G23" s="18" t="s">
        <v>551</v>
      </c>
      <c r="H23" s="19" t="s">
        <v>1787</v>
      </c>
      <c r="I23" s="20"/>
      <c r="J23" s="18" t="s">
        <v>553</v>
      </c>
      <c r="K23" s="19" t="s">
        <v>1885</v>
      </c>
      <c r="L23" s="20"/>
      <c r="M23" s="18" t="s">
        <v>555</v>
      </c>
      <c r="N23" s="19" t="s">
        <v>1256</v>
      </c>
      <c r="O23" s="20"/>
    </row>
    <row r="24" ht="180.0" customHeight="1">
      <c r="A24" s="21" t="str">
        <f>IMAGE("https://assets.tcgdex.net/de/sv/sv06/026/low.jpg", 1)</f>
        <v/>
      </c>
      <c r="B24" s="22"/>
      <c r="C24" s="20"/>
      <c r="D24" s="21" t="str">
        <f>IMAGE("https://assets.tcgdex.net/de/sv/sv06/027/low.jpg", 1)</f>
        <v/>
      </c>
      <c r="E24" s="22"/>
      <c r="F24" s="20"/>
      <c r="G24" s="21" t="str">
        <f>IMAGE("https://assets.tcgdex.net/de/sv/sv06/028/low.jpg", 1)</f>
        <v/>
      </c>
      <c r="H24" s="22"/>
      <c r="I24" s="20"/>
      <c r="J24" s="21" t="str">
        <f>IMAGE("https://assets.tcgdex.net/de/sv/sv06/029/low.jpg", 1)</f>
        <v/>
      </c>
      <c r="K24" s="22"/>
      <c r="L24" s="20"/>
      <c r="M24" s="21" t="str">
        <f>IMAGE("https://assets.tcgdex.net/de/sv/sv06/030/low.jpg", 1)</f>
        <v/>
      </c>
      <c r="N24" s="22"/>
      <c r="O24" s="20"/>
    </row>
    <row r="25" ht="22.5" customHeight="1">
      <c r="A25" s="23" t="b">
        <v>0</v>
      </c>
      <c r="B25" s="24" t="b">
        <v>0</v>
      </c>
      <c r="C25" s="25" t="str">
        <f>HYPERLINK("https://www.cardmarket.com/en/Pokemon/Products/Singles?idCategory=1&amp;idProduct=sv6-26", "CM")</f>
        <v>CM</v>
      </c>
      <c r="D25" s="23" t="b">
        <v>0</v>
      </c>
      <c r="E25" s="24" t="b">
        <v>0</v>
      </c>
      <c r="F25" s="25" t="str">
        <f>HYPERLINK("https://www.cardmarket.com/en/Pokemon/Products/Singles?idCategory=1&amp;idProduct=sv6-27", "CM")</f>
        <v>CM</v>
      </c>
      <c r="G25" s="23" t="b">
        <v>0</v>
      </c>
      <c r="H25" s="24" t="b">
        <v>0</v>
      </c>
      <c r="I25" s="25" t="str">
        <f>HYPERLINK("https://www.cardmarket.com/en/Pokemon/Products/Singles?idCategory=1&amp;idProduct=sv6-28", "CM")</f>
        <v>CM</v>
      </c>
      <c r="J25" s="23" t="b">
        <v>0</v>
      </c>
      <c r="K25" s="24" t="b">
        <v>0</v>
      </c>
      <c r="L25" s="25" t="str">
        <f>HYPERLINK("https://www.cardmarket.com/en/Pokemon/Products/Singles?idCategory=1&amp;idProduct=sv6-29", "CM")</f>
        <v>CM</v>
      </c>
      <c r="M25" s="23" t="b">
        <v>0</v>
      </c>
      <c r="N25" s="24" t="b">
        <v>0</v>
      </c>
      <c r="O25" s="25" t="str">
        <f>HYPERLINK("https://www.cardmarket.com/en/Pokemon/Products/Singles?idCategory=1&amp;idProduct=sv6-30", "CM")</f>
        <v>CM</v>
      </c>
    </row>
    <row r="26" ht="7.5" customHeight="1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</row>
    <row r="27" ht="18.75" customHeight="1">
      <c r="A27" s="18" t="s">
        <v>557</v>
      </c>
      <c r="B27" s="19" t="s">
        <v>1886</v>
      </c>
      <c r="C27" s="20"/>
      <c r="D27" s="18" t="s">
        <v>559</v>
      </c>
      <c r="E27" s="19" t="s">
        <v>1887</v>
      </c>
      <c r="F27" s="20"/>
      <c r="G27" s="18" t="s">
        <v>561</v>
      </c>
      <c r="H27" s="19" t="s">
        <v>826</v>
      </c>
      <c r="I27" s="20"/>
      <c r="J27" s="18" t="s">
        <v>563</v>
      </c>
      <c r="K27" s="19" t="s">
        <v>1382</v>
      </c>
      <c r="L27" s="20"/>
      <c r="M27" s="18" t="s">
        <v>565</v>
      </c>
      <c r="N27" s="19" t="s">
        <v>1383</v>
      </c>
      <c r="O27" s="20"/>
    </row>
    <row r="28" ht="180.0" customHeight="1">
      <c r="A28" s="21" t="str">
        <f>IMAGE("https://assets.tcgdex.net/de/sv/sv06/031/low.jpg", 1)</f>
        <v/>
      </c>
      <c r="B28" s="22"/>
      <c r="C28" s="20"/>
      <c r="D28" s="21" t="str">
        <f>IMAGE("https://assets.tcgdex.net/de/sv/sv06/032/low.jpg", 1)</f>
        <v/>
      </c>
      <c r="E28" s="22"/>
      <c r="F28" s="20"/>
      <c r="G28" s="21" t="str">
        <f>IMAGE("https://assets.tcgdex.net/de/sv/sv06/033/low.jpg", 1)</f>
        <v/>
      </c>
      <c r="H28" s="22"/>
      <c r="I28" s="20"/>
      <c r="J28" s="21" t="str">
        <f>IMAGE("https://assets.tcgdex.net/de/sv/sv06/034/low.jpg", 1)</f>
        <v/>
      </c>
      <c r="K28" s="22"/>
      <c r="L28" s="20"/>
      <c r="M28" s="21" t="str">
        <f>IMAGE("https://assets.tcgdex.net/de/sv/sv06/035/low.jpg", 1)</f>
        <v/>
      </c>
      <c r="N28" s="22"/>
      <c r="O28" s="20"/>
    </row>
    <row r="29" ht="22.5" customHeight="1">
      <c r="A29" s="23" t="b">
        <v>0</v>
      </c>
      <c r="B29" s="24" t="b">
        <v>0</v>
      </c>
      <c r="C29" s="25" t="str">
        <f>HYPERLINK("https://www.cardmarket.com/en/Pokemon/Products/Singles?idCategory=1&amp;idProduct=sv6-31", "CM")</f>
        <v>CM</v>
      </c>
      <c r="D29" s="23" t="b">
        <v>0</v>
      </c>
      <c r="E29" s="24" t="b">
        <v>0</v>
      </c>
      <c r="F29" s="25" t="str">
        <f>HYPERLINK("https://www.cardmarket.com/en/Pokemon/Products/Singles?idCategory=1&amp;idProduct=sv6-32", "CM")</f>
        <v>CM</v>
      </c>
      <c r="G29" s="23" t="b">
        <v>0</v>
      </c>
      <c r="H29" s="24" t="b">
        <v>0</v>
      </c>
      <c r="I29" s="25" t="str">
        <f>HYPERLINK("https://www.cardmarket.com/en/Pokemon/Products/Singles?idCategory=1&amp;idProduct=sv6-33", "CM")</f>
        <v>CM</v>
      </c>
      <c r="J29" s="23" t="b">
        <v>0</v>
      </c>
      <c r="K29" s="24" t="b">
        <v>0</v>
      </c>
      <c r="L29" s="25" t="str">
        <f>HYPERLINK("https://www.cardmarket.com/en/Pokemon/Products/Singles?idCategory=1&amp;idProduct=sv6-34", "CM")</f>
        <v>CM</v>
      </c>
      <c r="M29" s="23" t="b">
        <v>0</v>
      </c>
      <c r="N29" s="24" t="b">
        <v>0</v>
      </c>
      <c r="O29" s="25" t="str">
        <f>HYPERLINK("https://www.cardmarket.com/en/Pokemon/Products/Singles?idCategory=1&amp;idProduct=sv6-35", "CM")</f>
        <v>CM</v>
      </c>
    </row>
    <row r="30" ht="7.5" customHeight="1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</row>
    <row r="31" ht="18.75" customHeight="1">
      <c r="A31" s="18" t="s">
        <v>567</v>
      </c>
      <c r="B31" s="19" t="s">
        <v>1384</v>
      </c>
      <c r="C31" s="20"/>
      <c r="D31" s="18" t="s">
        <v>569</v>
      </c>
      <c r="E31" s="19" t="s">
        <v>1385</v>
      </c>
      <c r="F31" s="20"/>
      <c r="G31" s="18" t="s">
        <v>571</v>
      </c>
      <c r="H31" s="19" t="s">
        <v>1386</v>
      </c>
      <c r="I31" s="20"/>
      <c r="J31" s="18" t="s">
        <v>573</v>
      </c>
      <c r="K31" s="19" t="s">
        <v>588</v>
      </c>
      <c r="L31" s="20"/>
      <c r="M31" s="18" t="s">
        <v>575</v>
      </c>
      <c r="N31" s="19" t="s">
        <v>1888</v>
      </c>
      <c r="O31" s="20"/>
    </row>
    <row r="32" ht="180.0" customHeight="1">
      <c r="A32" s="21" t="str">
        <f>IMAGE("https://assets.tcgdex.net/de/sv/sv06/036/low.jpg", 1)</f>
        <v/>
      </c>
      <c r="B32" s="22"/>
      <c r="C32" s="20"/>
      <c r="D32" s="21" t="str">
        <f>IMAGE("https://assets.tcgdex.net/de/sv/sv06/037/low.jpg", 1)</f>
        <v/>
      </c>
      <c r="E32" s="22"/>
      <c r="F32" s="20"/>
      <c r="G32" s="21" t="str">
        <f>IMAGE("https://assets.tcgdex.net/de/sv/sv06/038/low.jpg", 1)</f>
        <v/>
      </c>
      <c r="H32" s="22"/>
      <c r="I32" s="20"/>
      <c r="J32" s="21" t="str">
        <f>IMAGE("https://assets.tcgdex.net/de/sv/sv06/039/low.jpg", 1)</f>
        <v/>
      </c>
      <c r="K32" s="22"/>
      <c r="L32" s="20"/>
      <c r="M32" s="21" t="str">
        <f>IMAGE("https://assets.tcgdex.net/de/sv/sv06/040/low.jpg", 1)</f>
        <v/>
      </c>
      <c r="N32" s="22"/>
      <c r="O32" s="20"/>
    </row>
    <row r="33" ht="22.5" customHeight="1">
      <c r="A33" s="23" t="b">
        <v>0</v>
      </c>
      <c r="B33" s="24" t="b">
        <v>0</v>
      </c>
      <c r="C33" s="25" t="str">
        <f>HYPERLINK("https://www.cardmarket.com/en/Pokemon/Products/Singles?idCategory=1&amp;idProduct=sv6-36", "CM")</f>
        <v>CM</v>
      </c>
      <c r="D33" s="23" t="b">
        <v>0</v>
      </c>
      <c r="E33" s="24" t="b">
        <v>0</v>
      </c>
      <c r="F33" s="25" t="str">
        <f>HYPERLINK("https://www.cardmarket.com/en/Pokemon/Products/Singles?idCategory=1&amp;idProduct=sv6-37", "CM")</f>
        <v>CM</v>
      </c>
      <c r="G33" s="23" t="b">
        <v>0</v>
      </c>
      <c r="H33" s="24" t="b">
        <v>0</v>
      </c>
      <c r="I33" s="25" t="str">
        <f>HYPERLINK("https://www.cardmarket.com/en/Pokemon/Products/Singles?idCategory=1&amp;idProduct=sv6-38", "CM")</f>
        <v>CM</v>
      </c>
      <c r="J33" s="23" t="b">
        <v>0</v>
      </c>
      <c r="K33" s="24" t="b">
        <v>0</v>
      </c>
      <c r="L33" s="25" t="str">
        <f>HYPERLINK("https://www.cardmarket.com/en/Pokemon/Products/Singles?idCategory=1&amp;idProduct=sv6-39", "CM")</f>
        <v>CM</v>
      </c>
      <c r="M33" s="23" t="b">
        <v>0</v>
      </c>
      <c r="N33" s="24" t="b">
        <v>0</v>
      </c>
      <c r="O33" s="25" t="str">
        <f>HYPERLINK("https://www.cardmarket.com/en/Pokemon/Products/Singles?idCategory=1&amp;idProduct=sv6-40", "CM")</f>
        <v>CM</v>
      </c>
    </row>
    <row r="34" ht="7.5" customHeight="1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</row>
    <row r="35" ht="18.75" customHeight="1">
      <c r="A35" s="18" t="s">
        <v>577</v>
      </c>
      <c r="B35" s="19" t="s">
        <v>1516</v>
      </c>
      <c r="C35" s="20"/>
      <c r="D35" s="18" t="s">
        <v>579</v>
      </c>
      <c r="E35" s="19" t="s">
        <v>1517</v>
      </c>
      <c r="F35" s="20"/>
      <c r="G35" s="18" t="s">
        <v>763</v>
      </c>
      <c r="H35" s="19" t="s">
        <v>1518</v>
      </c>
      <c r="I35" s="20"/>
      <c r="J35" s="18" t="s">
        <v>765</v>
      </c>
      <c r="K35" s="19" t="s">
        <v>1556</v>
      </c>
      <c r="L35" s="20"/>
      <c r="M35" s="18" t="s">
        <v>581</v>
      </c>
      <c r="N35" s="19" t="s">
        <v>1557</v>
      </c>
      <c r="O35" s="20"/>
    </row>
    <row r="36" ht="180.0" customHeight="1">
      <c r="A36" s="21" t="str">
        <f>IMAGE("https://assets.tcgdex.net/de/sv/sv06/041/low.jpg", 1)</f>
        <v/>
      </c>
      <c r="B36" s="22"/>
      <c r="C36" s="20"/>
      <c r="D36" s="21" t="str">
        <f>IMAGE("https://assets.tcgdex.net/de/sv/sv06/042/low.jpg", 1)</f>
        <v/>
      </c>
      <c r="E36" s="22"/>
      <c r="F36" s="20"/>
      <c r="G36" s="21" t="str">
        <f>IMAGE("https://assets.tcgdex.net/de/sv/sv06/043/low.jpg", 1)</f>
        <v/>
      </c>
      <c r="H36" s="22"/>
      <c r="I36" s="20"/>
      <c r="J36" s="21" t="str">
        <f>IMAGE("https://assets.tcgdex.net/de/sv/sv06/044/low.jpg", 1)</f>
        <v/>
      </c>
      <c r="K36" s="22"/>
      <c r="L36" s="20"/>
      <c r="M36" s="21" t="str">
        <f>IMAGE("https://assets.tcgdex.net/de/sv/sv06/045/low.jpg", 1)</f>
        <v/>
      </c>
      <c r="N36" s="22"/>
      <c r="O36" s="20"/>
    </row>
    <row r="37" ht="22.5" customHeight="1">
      <c r="A37" s="23" t="b">
        <v>0</v>
      </c>
      <c r="B37" s="24" t="b">
        <v>0</v>
      </c>
      <c r="C37" s="25" t="str">
        <f>HYPERLINK("https://www.cardmarket.com/en/Pokemon/Products/Singles?idCategory=1&amp;idProduct=sv6-41", "CM")</f>
        <v>CM</v>
      </c>
      <c r="D37" s="23" t="b">
        <v>0</v>
      </c>
      <c r="E37" s="24" t="b">
        <v>0</v>
      </c>
      <c r="F37" s="25" t="str">
        <f>HYPERLINK("https://www.cardmarket.com/en/Pokemon/Products/Singles?idCategory=1&amp;idProduct=sv6-42", "CM")</f>
        <v>CM</v>
      </c>
      <c r="G37" s="23" t="b">
        <v>0</v>
      </c>
      <c r="H37" s="24" t="b">
        <v>0</v>
      </c>
      <c r="I37" s="25" t="str">
        <f>HYPERLINK("https://www.cardmarket.com/en/Pokemon/Products/Singles?idCategory=1&amp;idProduct=sv6-43", "CM")</f>
        <v>CM</v>
      </c>
      <c r="J37" s="23" t="b">
        <v>0</v>
      </c>
      <c r="K37" s="24" t="b">
        <v>0</v>
      </c>
      <c r="L37" s="25" t="str">
        <f>HYPERLINK("https://www.cardmarket.com/en/Pokemon/Products/Singles?idCategory=1&amp;idProduct=sv6-44", "CM")</f>
        <v>CM</v>
      </c>
      <c r="M37" s="23" t="b">
        <v>0</v>
      </c>
      <c r="N37" s="24" t="b">
        <v>0</v>
      </c>
      <c r="O37" s="25" t="str">
        <f>HYPERLINK("https://www.cardmarket.com/en/Pokemon/Products/Singles?idCategory=1&amp;idProduct=sv6-45", "CM")</f>
        <v>CM</v>
      </c>
    </row>
    <row r="38" ht="7.5" customHeight="1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</row>
    <row r="39" ht="18.75" customHeight="1">
      <c r="A39" s="18" t="s">
        <v>767</v>
      </c>
      <c r="B39" s="19" t="s">
        <v>1889</v>
      </c>
      <c r="C39" s="20"/>
      <c r="D39" s="18" t="s">
        <v>769</v>
      </c>
      <c r="E39" s="19" t="s">
        <v>976</v>
      </c>
      <c r="F39" s="20"/>
      <c r="G39" s="18" t="s">
        <v>770</v>
      </c>
      <c r="H39" s="19" t="s">
        <v>1890</v>
      </c>
      <c r="I39" s="20"/>
      <c r="J39" s="18" t="s">
        <v>772</v>
      </c>
      <c r="K39" s="19" t="s">
        <v>1609</v>
      </c>
      <c r="L39" s="20"/>
      <c r="M39" s="18" t="s">
        <v>774</v>
      </c>
      <c r="N39" s="19" t="s">
        <v>1610</v>
      </c>
      <c r="O39" s="20"/>
    </row>
    <row r="40" ht="180.0" customHeight="1">
      <c r="A40" s="21" t="str">
        <f>IMAGE("https://assets.tcgdex.net/de/sv/sv06/046/low.jpg", 1)</f>
        <v/>
      </c>
      <c r="B40" s="22"/>
      <c r="C40" s="20"/>
      <c r="D40" s="21" t="str">
        <f>IMAGE("https://assets.tcgdex.net/de/sv/sv06/047/low.jpg", 1)</f>
        <v/>
      </c>
      <c r="E40" s="22"/>
      <c r="F40" s="20"/>
      <c r="G40" s="21" t="str">
        <f>IMAGE("https://assets.tcgdex.net/de/sv/sv06/048/low.jpg", 1)</f>
        <v/>
      </c>
      <c r="H40" s="22"/>
      <c r="I40" s="20"/>
      <c r="J40" s="21" t="str">
        <f>IMAGE("https://assets.tcgdex.net/de/sv/sv06/049/low.jpg", 1)</f>
        <v/>
      </c>
      <c r="K40" s="22"/>
      <c r="L40" s="20"/>
      <c r="M40" s="21" t="str">
        <f>IMAGE("https://assets.tcgdex.net/de/sv/sv06/050/low.jpg", 1)</f>
        <v/>
      </c>
      <c r="N40" s="22"/>
      <c r="O40" s="20"/>
    </row>
    <row r="41" ht="22.5" customHeight="1">
      <c r="A41" s="23" t="b">
        <v>0</v>
      </c>
      <c r="B41" s="24" t="b">
        <v>0</v>
      </c>
      <c r="C41" s="25" t="str">
        <f>HYPERLINK("https://www.cardmarket.com/en/Pokemon/Products/Singles?idCategory=1&amp;idProduct=sv6-46", "CM")</f>
        <v>CM</v>
      </c>
      <c r="D41" s="23" t="b">
        <v>0</v>
      </c>
      <c r="E41" s="24" t="b">
        <v>0</v>
      </c>
      <c r="F41" s="25" t="str">
        <f>HYPERLINK("https://www.cardmarket.com/en/Pokemon/Products/Singles?idCategory=1&amp;idProduct=sv6-47", "CM")</f>
        <v>CM</v>
      </c>
      <c r="G41" s="23" t="b">
        <v>0</v>
      </c>
      <c r="H41" s="24" t="b">
        <v>0</v>
      </c>
      <c r="I41" s="25" t="str">
        <f>HYPERLINK("https://www.cardmarket.com/en/Pokemon/Products/Singles?idCategory=1&amp;idProduct=sv6-48", "CM")</f>
        <v>CM</v>
      </c>
      <c r="J41" s="23" t="b">
        <v>0</v>
      </c>
      <c r="K41" s="24" t="b">
        <v>0</v>
      </c>
      <c r="L41" s="25" t="str">
        <f>HYPERLINK("https://www.cardmarket.com/en/Pokemon/Products/Singles?idCategory=1&amp;idProduct=sv6-49", "CM")</f>
        <v>CM</v>
      </c>
      <c r="M41" s="23" t="b">
        <v>0</v>
      </c>
      <c r="N41" s="24" t="b">
        <v>0</v>
      </c>
      <c r="O41" s="25" t="str">
        <f>HYPERLINK("https://www.cardmarket.com/en/Pokemon/Products/Singles?idCategory=1&amp;idProduct=sv6-50", "CM")</f>
        <v>CM</v>
      </c>
    </row>
    <row r="42" ht="7.5" customHeight="1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</row>
    <row r="43" ht="18.75" customHeight="1">
      <c r="A43" s="18" t="s">
        <v>776</v>
      </c>
      <c r="B43" s="19" t="s">
        <v>977</v>
      </c>
      <c r="C43" s="20"/>
      <c r="D43" s="18" t="s">
        <v>778</v>
      </c>
      <c r="E43" s="19" t="s">
        <v>1891</v>
      </c>
      <c r="F43" s="20"/>
      <c r="G43" s="18" t="s">
        <v>780</v>
      </c>
      <c r="H43" s="19" t="s">
        <v>656</v>
      </c>
      <c r="I43" s="20"/>
      <c r="J43" s="18" t="s">
        <v>583</v>
      </c>
      <c r="K43" s="19" t="s">
        <v>880</v>
      </c>
      <c r="L43" s="20"/>
      <c r="M43" s="18" t="s">
        <v>585</v>
      </c>
      <c r="N43" s="19" t="s">
        <v>1892</v>
      </c>
      <c r="O43" s="20"/>
    </row>
    <row r="44" ht="180.0" customHeight="1">
      <c r="A44" s="21" t="str">
        <f>IMAGE("https://assets.tcgdex.net/de/sv/sv06/051/low.jpg", 1)</f>
        <v/>
      </c>
      <c r="B44" s="22"/>
      <c r="C44" s="20"/>
      <c r="D44" s="21" t="str">
        <f>IMAGE("https://assets.tcgdex.net/de/sv/sv06/052/low.jpg", 1)</f>
        <v/>
      </c>
      <c r="E44" s="22"/>
      <c r="F44" s="20"/>
      <c r="G44" s="21" t="str">
        <f>IMAGE("https://assets.tcgdex.net/de/sv/sv06/053/low.jpg", 1)</f>
        <v/>
      </c>
      <c r="H44" s="22"/>
      <c r="I44" s="20"/>
      <c r="J44" s="21" t="str">
        <f>IMAGE("https://assets.tcgdex.net/de/sv/sv06/054/low.jpg", 1)</f>
        <v/>
      </c>
      <c r="K44" s="22"/>
      <c r="L44" s="20"/>
      <c r="M44" s="21" t="str">
        <f>IMAGE("https://assets.tcgdex.net/de/sv/sv06/055/low.jpg", 1)</f>
        <v/>
      </c>
      <c r="N44" s="22"/>
      <c r="O44" s="20"/>
    </row>
    <row r="45" ht="22.5" customHeight="1">
      <c r="A45" s="23" t="b">
        <v>0</v>
      </c>
      <c r="B45" s="24" t="b">
        <v>0</v>
      </c>
      <c r="C45" s="25" t="str">
        <f>HYPERLINK("https://www.cardmarket.com/en/Pokemon/Products/Singles?idCategory=1&amp;idProduct=sv6-51", "CM")</f>
        <v>CM</v>
      </c>
      <c r="D45" s="23" t="b">
        <v>0</v>
      </c>
      <c r="E45" s="24" t="b">
        <v>0</v>
      </c>
      <c r="F45" s="25" t="str">
        <f>HYPERLINK("https://www.cardmarket.com/en/Pokemon/Products/Singles?idCategory=1&amp;idProduct=sv6-52", "CM")</f>
        <v>CM</v>
      </c>
      <c r="G45" s="23" t="b">
        <v>0</v>
      </c>
      <c r="H45" s="24" t="b">
        <v>0</v>
      </c>
      <c r="I45" s="25" t="str">
        <f>HYPERLINK("https://www.cardmarket.com/en/Pokemon/Products/Singles?idCategory=1&amp;idProduct=sv6-53", "CM")</f>
        <v>CM</v>
      </c>
      <c r="J45" s="23" t="b">
        <v>0</v>
      </c>
      <c r="K45" s="24" t="b">
        <v>0</v>
      </c>
      <c r="L45" s="25" t="str">
        <f>HYPERLINK("https://www.cardmarket.com/en/Pokemon/Products/Singles?idCategory=1&amp;idProduct=sv6-54", "CM")</f>
        <v>CM</v>
      </c>
      <c r="M45" s="23" t="b">
        <v>0</v>
      </c>
      <c r="N45" s="24" t="b">
        <v>0</v>
      </c>
      <c r="O45" s="25" t="str">
        <f>HYPERLINK("https://www.cardmarket.com/en/Pokemon/Products/Singles?idCategory=1&amp;idProduct=sv6-55", "CM")</f>
        <v>CM</v>
      </c>
    </row>
    <row r="46" ht="7.5" customHeight="1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</row>
    <row r="47" ht="18.75" customHeight="1">
      <c r="A47" s="18" t="s">
        <v>782</v>
      </c>
      <c r="B47" s="19" t="s">
        <v>1396</v>
      </c>
      <c r="C47" s="20"/>
      <c r="D47" s="18" t="s">
        <v>587</v>
      </c>
      <c r="E47" s="19" t="s">
        <v>1397</v>
      </c>
      <c r="F47" s="20"/>
      <c r="G47" s="18" t="s">
        <v>589</v>
      </c>
      <c r="H47" s="19" t="s">
        <v>1893</v>
      </c>
      <c r="I47" s="20"/>
      <c r="J47" s="18" t="s">
        <v>591</v>
      </c>
      <c r="K47" s="19" t="s">
        <v>1398</v>
      </c>
      <c r="L47" s="20"/>
      <c r="M47" s="18" t="s">
        <v>593</v>
      </c>
      <c r="N47" s="19" t="s">
        <v>568</v>
      </c>
      <c r="O47" s="20"/>
    </row>
    <row r="48" ht="180.0" customHeight="1">
      <c r="A48" s="21" t="str">
        <f>IMAGE("https://assets.tcgdex.net/de/sv/sv06/056/low.jpg", 1)</f>
        <v/>
      </c>
      <c r="B48" s="22"/>
      <c r="C48" s="20"/>
      <c r="D48" s="21" t="str">
        <f>IMAGE("https://assets.tcgdex.net/de/sv/sv06/057/low.jpg", 1)</f>
        <v/>
      </c>
      <c r="E48" s="22"/>
      <c r="F48" s="20"/>
      <c r="G48" s="21" t="str">
        <f>IMAGE("https://assets.tcgdex.net/de/sv/sv06/058/low.jpg", 1)</f>
        <v/>
      </c>
      <c r="H48" s="22"/>
      <c r="I48" s="20"/>
      <c r="J48" s="21" t="str">
        <f>IMAGE("https://assets.tcgdex.net/de/sv/sv06/059/low.jpg", 1)</f>
        <v/>
      </c>
      <c r="K48" s="22"/>
      <c r="L48" s="20"/>
      <c r="M48" s="21" t="str">
        <f>IMAGE("https://assets.tcgdex.net/de/sv/sv06/060/low.jpg", 1)</f>
        <v/>
      </c>
      <c r="N48" s="22"/>
      <c r="O48" s="20"/>
    </row>
    <row r="49" ht="22.5" customHeight="1">
      <c r="A49" s="23" t="b">
        <v>0</v>
      </c>
      <c r="B49" s="24" t="b">
        <v>0</v>
      </c>
      <c r="C49" s="25" t="str">
        <f>HYPERLINK("https://www.cardmarket.com/en/Pokemon/Products/Singles?idCategory=1&amp;idProduct=sv6-56", "CM")</f>
        <v>CM</v>
      </c>
      <c r="D49" s="23" t="b">
        <v>0</v>
      </c>
      <c r="E49" s="24" t="b">
        <v>0</v>
      </c>
      <c r="F49" s="25" t="str">
        <f>HYPERLINK("https://www.cardmarket.com/en/Pokemon/Products/Singles?idCategory=1&amp;idProduct=sv6-57", "CM")</f>
        <v>CM</v>
      </c>
      <c r="G49" s="23" t="b">
        <v>0</v>
      </c>
      <c r="H49" s="24" t="b">
        <v>0</v>
      </c>
      <c r="I49" s="25" t="str">
        <f>HYPERLINK("https://www.cardmarket.com/en/Pokemon/Products/Singles?idCategory=1&amp;idProduct=sv6-58", "CM")</f>
        <v>CM</v>
      </c>
      <c r="J49" s="23" t="b">
        <v>0</v>
      </c>
      <c r="K49" s="24" t="b">
        <v>0</v>
      </c>
      <c r="L49" s="25" t="str">
        <f>HYPERLINK("https://www.cardmarket.com/en/Pokemon/Products/Singles?idCategory=1&amp;idProduct=sv6-59", "CM")</f>
        <v>CM</v>
      </c>
      <c r="M49" s="23" t="b">
        <v>0</v>
      </c>
      <c r="N49" s="24" t="b">
        <v>0</v>
      </c>
      <c r="O49" s="25" t="str">
        <f>HYPERLINK("https://www.cardmarket.com/en/Pokemon/Products/Singles?idCategory=1&amp;idProduct=sv6-60", "CM")</f>
        <v>CM</v>
      </c>
    </row>
    <row r="50" ht="7.5" customHeight="1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</row>
    <row r="51" ht="18.75" customHeight="1">
      <c r="A51" s="18" t="s">
        <v>595</v>
      </c>
      <c r="B51" s="19" t="s">
        <v>836</v>
      </c>
      <c r="C51" s="20"/>
      <c r="D51" s="18" t="s">
        <v>597</v>
      </c>
      <c r="E51" s="19" t="s">
        <v>590</v>
      </c>
      <c r="F51" s="20"/>
      <c r="G51" s="18" t="s">
        <v>784</v>
      </c>
      <c r="H51" s="19" t="s">
        <v>1894</v>
      </c>
      <c r="I51" s="20"/>
      <c r="J51" s="18" t="s">
        <v>786</v>
      </c>
      <c r="K51" s="19" t="s">
        <v>1895</v>
      </c>
      <c r="L51" s="20"/>
      <c r="M51" s="18" t="s">
        <v>788</v>
      </c>
      <c r="N51" s="19" t="s">
        <v>860</v>
      </c>
      <c r="O51" s="20"/>
    </row>
    <row r="52" ht="180.0" customHeight="1">
      <c r="A52" s="21" t="str">
        <f>IMAGE("https://assets.tcgdex.net/de/sv/sv06/061/low.jpg", 1)</f>
        <v/>
      </c>
      <c r="B52" s="22"/>
      <c r="C52" s="20"/>
      <c r="D52" s="21" t="str">
        <f>IMAGE("https://assets.tcgdex.net/de/sv/sv06/062/low.jpg", 1)</f>
        <v/>
      </c>
      <c r="E52" s="22"/>
      <c r="F52" s="20"/>
      <c r="G52" s="21" t="str">
        <f>IMAGE("https://assets.tcgdex.net/de/sv/sv06/063/low.jpg", 1)</f>
        <v/>
      </c>
      <c r="H52" s="22"/>
      <c r="I52" s="20"/>
      <c r="J52" s="21" t="str">
        <f>IMAGE("https://assets.tcgdex.net/de/sv/sv06/064/low.jpg", 1)</f>
        <v/>
      </c>
      <c r="K52" s="22"/>
      <c r="L52" s="20"/>
      <c r="M52" s="21" t="str">
        <f>IMAGE("https://assets.tcgdex.net/de/sv/sv06/065/low.jpg", 1)</f>
        <v/>
      </c>
      <c r="N52" s="22"/>
      <c r="O52" s="20"/>
    </row>
    <row r="53" ht="22.5" customHeight="1">
      <c r="A53" s="23" t="b">
        <v>0</v>
      </c>
      <c r="B53" s="24" t="b">
        <v>0</v>
      </c>
      <c r="C53" s="25" t="str">
        <f>HYPERLINK("https://www.cardmarket.com/en/Pokemon/Products/Singles?idCategory=1&amp;idProduct=sv6-61", "CM")</f>
        <v>CM</v>
      </c>
      <c r="D53" s="23" t="b">
        <v>0</v>
      </c>
      <c r="E53" s="24" t="b">
        <v>0</v>
      </c>
      <c r="F53" s="25" t="str">
        <f>HYPERLINK("https://www.cardmarket.com/en/Pokemon/Products/Singles?idCategory=1&amp;idProduct=sv6-62", "CM")</f>
        <v>CM</v>
      </c>
      <c r="G53" s="23" t="b">
        <v>0</v>
      </c>
      <c r="H53" s="24" t="b">
        <v>0</v>
      </c>
      <c r="I53" s="25" t="str">
        <f>HYPERLINK("https://www.cardmarket.com/en/Pokemon/Products/Singles?idCategory=1&amp;idProduct=sv6-63", "CM")</f>
        <v>CM</v>
      </c>
      <c r="J53" s="23" t="b">
        <v>0</v>
      </c>
      <c r="K53" s="24" t="b">
        <v>0</v>
      </c>
      <c r="L53" s="25" t="str">
        <f>HYPERLINK("https://www.cardmarket.com/en/Pokemon/Products/Singles?idCategory=1&amp;idProduct=sv6-64", "CM")</f>
        <v>CM</v>
      </c>
      <c r="M53" s="23" t="b">
        <v>0</v>
      </c>
      <c r="N53" s="24" t="b">
        <v>0</v>
      </c>
      <c r="O53" s="25" t="str">
        <f>HYPERLINK("https://www.cardmarket.com/en/Pokemon/Products/Singles?idCategory=1&amp;idProduct=sv6-65", "CM")</f>
        <v>CM</v>
      </c>
    </row>
    <row r="54" ht="7.5" customHeight="1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</row>
    <row r="55" ht="18.75" customHeight="1">
      <c r="A55" s="18" t="s">
        <v>790</v>
      </c>
      <c r="B55" s="19" t="s">
        <v>921</v>
      </c>
      <c r="C55" s="20"/>
      <c r="D55" s="18" t="s">
        <v>791</v>
      </c>
      <c r="E55" s="19" t="s">
        <v>922</v>
      </c>
      <c r="F55" s="20"/>
      <c r="G55" s="18" t="s">
        <v>793</v>
      </c>
      <c r="H55" s="19" t="s">
        <v>1896</v>
      </c>
      <c r="I55" s="20"/>
      <c r="J55" s="18" t="s">
        <v>795</v>
      </c>
      <c r="K55" s="19" t="s">
        <v>983</v>
      </c>
      <c r="L55" s="20"/>
      <c r="M55" s="18" t="s">
        <v>797</v>
      </c>
      <c r="N55" s="19" t="s">
        <v>984</v>
      </c>
      <c r="O55" s="20"/>
    </row>
    <row r="56" ht="180.0" customHeight="1">
      <c r="A56" s="21" t="str">
        <f>IMAGE("https://assets.tcgdex.net/de/sv/sv06/066/low.jpg", 1)</f>
        <v/>
      </c>
      <c r="B56" s="22"/>
      <c r="C56" s="20"/>
      <c r="D56" s="21" t="str">
        <f>IMAGE("https://assets.tcgdex.net/de/sv/sv06/067/low.jpg", 1)</f>
        <v/>
      </c>
      <c r="E56" s="22"/>
      <c r="F56" s="20"/>
      <c r="G56" s="21" t="str">
        <f>IMAGE("https://assets.tcgdex.net/de/sv/sv06/068/low.jpg", 1)</f>
        <v/>
      </c>
      <c r="H56" s="22"/>
      <c r="I56" s="20"/>
      <c r="J56" s="21" t="str">
        <f>IMAGE("https://assets.tcgdex.net/de/sv/sv06/069/low.jpg", 1)</f>
        <v/>
      </c>
      <c r="K56" s="22"/>
      <c r="L56" s="20"/>
      <c r="M56" s="21" t="str">
        <f>IMAGE("https://assets.tcgdex.net/de/sv/sv06/070/low.jpg", 1)</f>
        <v/>
      </c>
      <c r="N56" s="22"/>
      <c r="O56" s="20"/>
    </row>
    <row r="57" ht="22.5" customHeight="1">
      <c r="A57" s="23" t="b">
        <v>0</v>
      </c>
      <c r="B57" s="24" t="b">
        <v>0</v>
      </c>
      <c r="C57" s="25" t="str">
        <f>HYPERLINK("https://www.cardmarket.com/en/Pokemon/Products/Singles?idCategory=1&amp;idProduct=sv6-66", "CM")</f>
        <v>CM</v>
      </c>
      <c r="D57" s="23" t="b">
        <v>0</v>
      </c>
      <c r="E57" s="24" t="b">
        <v>0</v>
      </c>
      <c r="F57" s="25" t="str">
        <f>HYPERLINK("https://www.cardmarket.com/en/Pokemon/Products/Singles?idCategory=1&amp;idProduct=sv6-67", "CM")</f>
        <v>CM</v>
      </c>
      <c r="G57" s="23" t="b">
        <v>0</v>
      </c>
      <c r="H57" s="24" t="b">
        <v>0</v>
      </c>
      <c r="I57" s="25" t="str">
        <f>HYPERLINK("https://www.cardmarket.com/en/Pokemon/Products/Singles?idCategory=1&amp;idProduct=sv6-68", "CM")</f>
        <v>CM</v>
      </c>
      <c r="J57" s="23" t="b">
        <v>0</v>
      </c>
      <c r="K57" s="24" t="b">
        <v>0</v>
      </c>
      <c r="L57" s="25" t="str">
        <f>HYPERLINK("https://www.cardmarket.com/en/Pokemon/Products/Singles?idCategory=1&amp;idProduct=sv6-69", "CM")</f>
        <v>CM</v>
      </c>
      <c r="M57" s="23" t="b">
        <v>0</v>
      </c>
      <c r="N57" s="24" t="b">
        <v>0</v>
      </c>
      <c r="O57" s="25" t="str">
        <f>HYPERLINK("https://www.cardmarket.com/en/Pokemon/Products/Singles?idCategory=1&amp;idProduct=sv6-70", "CM")</f>
        <v>CM</v>
      </c>
    </row>
    <row r="58" ht="7.5" customHeight="1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</row>
    <row r="59" ht="18.75" customHeight="1">
      <c r="A59" s="18" t="s">
        <v>799</v>
      </c>
      <c r="B59" s="19" t="s">
        <v>985</v>
      </c>
      <c r="C59" s="20"/>
      <c r="D59" s="18" t="s">
        <v>801</v>
      </c>
      <c r="E59" s="19" t="s">
        <v>1666</v>
      </c>
      <c r="F59" s="20"/>
      <c r="G59" s="18" t="s">
        <v>803</v>
      </c>
      <c r="H59" s="19" t="s">
        <v>1404</v>
      </c>
      <c r="I59" s="20"/>
      <c r="J59" s="18" t="s">
        <v>805</v>
      </c>
      <c r="K59" s="19" t="s">
        <v>628</v>
      </c>
      <c r="L59" s="20"/>
      <c r="M59" s="18" t="s">
        <v>806</v>
      </c>
      <c r="N59" s="19" t="s">
        <v>1216</v>
      </c>
      <c r="O59" s="20"/>
    </row>
    <row r="60" ht="180.0" customHeight="1">
      <c r="A60" s="21" t="str">
        <f>IMAGE("https://assets.tcgdex.net/de/sv/sv06/071/low.jpg", 1)</f>
        <v/>
      </c>
      <c r="B60" s="22"/>
      <c r="C60" s="20"/>
      <c r="D60" s="21" t="str">
        <f>IMAGE("https://assets.tcgdex.net/de/sv/sv06/072/low.jpg", 1)</f>
        <v/>
      </c>
      <c r="E60" s="22"/>
      <c r="F60" s="20"/>
      <c r="G60" s="21" t="str">
        <f>IMAGE("https://assets.tcgdex.net/de/sv/sv06/073/low.jpg", 1)</f>
        <v/>
      </c>
      <c r="H60" s="22"/>
      <c r="I60" s="20"/>
      <c r="J60" s="21" t="str">
        <f>IMAGE("https://assets.tcgdex.net/de/sv/sv06/074/low.jpg", 1)</f>
        <v/>
      </c>
      <c r="K60" s="22"/>
      <c r="L60" s="20"/>
      <c r="M60" s="21" t="str">
        <f>IMAGE("https://assets.tcgdex.net/de/sv/sv06/075/low.jpg", 1)</f>
        <v/>
      </c>
      <c r="N60" s="22"/>
      <c r="O60" s="20"/>
    </row>
    <row r="61" ht="22.5" customHeight="1">
      <c r="A61" s="23" t="b">
        <v>0</v>
      </c>
      <c r="B61" s="24" t="b">
        <v>0</v>
      </c>
      <c r="C61" s="25" t="str">
        <f>HYPERLINK("https://www.cardmarket.com/en/Pokemon/Products/Singles?idCategory=1&amp;idProduct=sv6-71", "CM")</f>
        <v>CM</v>
      </c>
      <c r="D61" s="23" t="b">
        <v>0</v>
      </c>
      <c r="E61" s="24" t="b">
        <v>0</v>
      </c>
      <c r="F61" s="25" t="str">
        <f>HYPERLINK("https://www.cardmarket.com/en/Pokemon/Products/Singles?idCategory=1&amp;idProduct=sv6-72", "CM")</f>
        <v>CM</v>
      </c>
      <c r="G61" s="23" t="b">
        <v>0</v>
      </c>
      <c r="H61" s="24" t="b">
        <v>0</v>
      </c>
      <c r="I61" s="25" t="str">
        <f>HYPERLINK("https://www.cardmarket.com/en/Pokemon/Products/Singles?idCategory=1&amp;idProduct=sv6-73", "CM")</f>
        <v>CM</v>
      </c>
      <c r="J61" s="23" t="b">
        <v>0</v>
      </c>
      <c r="K61" s="24" t="b">
        <v>0</v>
      </c>
      <c r="L61" s="25" t="str">
        <f>HYPERLINK("https://www.cardmarket.com/en/Pokemon/Products/Singles?idCategory=1&amp;idProduct=sv6-74", "CM")</f>
        <v>CM</v>
      </c>
      <c r="M61" s="23" t="b">
        <v>0</v>
      </c>
      <c r="N61" s="24" t="b">
        <v>0</v>
      </c>
      <c r="O61" s="25" t="str">
        <f>HYPERLINK("https://www.cardmarket.com/en/Pokemon/Products/Singles?idCategory=1&amp;idProduct=sv6-75", "CM")</f>
        <v>CM</v>
      </c>
    </row>
    <row r="62" ht="7.5" customHeight="1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</row>
    <row r="63" ht="18.75" customHeight="1">
      <c r="A63" s="18" t="s">
        <v>808</v>
      </c>
      <c r="B63" s="19" t="s">
        <v>1271</v>
      </c>
      <c r="C63" s="20"/>
      <c r="D63" s="18" t="s">
        <v>809</v>
      </c>
      <c r="E63" s="19" t="s">
        <v>1897</v>
      </c>
      <c r="F63" s="20"/>
      <c r="G63" s="18" t="s">
        <v>811</v>
      </c>
      <c r="H63" s="19" t="s">
        <v>1405</v>
      </c>
      <c r="I63" s="20"/>
      <c r="J63" s="18" t="s">
        <v>599</v>
      </c>
      <c r="K63" s="19" t="s">
        <v>1502</v>
      </c>
      <c r="L63" s="20"/>
      <c r="M63" s="18" t="s">
        <v>601</v>
      </c>
      <c r="N63" s="19" t="s">
        <v>1519</v>
      </c>
      <c r="O63" s="20"/>
    </row>
    <row r="64" ht="180.0" customHeight="1">
      <c r="A64" s="21" t="str">
        <f>IMAGE("https://assets.tcgdex.net/de/sv/sv06/076/low.jpg", 1)</f>
        <v/>
      </c>
      <c r="B64" s="22"/>
      <c r="C64" s="20"/>
      <c r="D64" s="21" t="str">
        <f>IMAGE("https://assets.tcgdex.net/de/sv/sv06/077/low.jpg", 1)</f>
        <v/>
      </c>
      <c r="E64" s="22"/>
      <c r="F64" s="20"/>
      <c r="G64" s="21" t="str">
        <f>IMAGE("https://assets.tcgdex.net/de/sv/sv06/078/low.jpg", 1)</f>
        <v/>
      </c>
      <c r="H64" s="22"/>
      <c r="I64" s="20"/>
      <c r="J64" s="21" t="str">
        <f>IMAGE("https://assets.tcgdex.net/de/sv/sv06/079/low.jpg", 1)</f>
        <v/>
      </c>
      <c r="K64" s="22"/>
      <c r="L64" s="20"/>
      <c r="M64" s="21" t="str">
        <f>IMAGE("https://assets.tcgdex.net/de/sv/sv06/080/low.jpg", 1)</f>
        <v/>
      </c>
      <c r="N64" s="22"/>
      <c r="O64" s="20"/>
    </row>
    <row r="65" ht="22.5" customHeight="1">
      <c r="A65" s="23" t="b">
        <v>0</v>
      </c>
      <c r="B65" s="24" t="b">
        <v>0</v>
      </c>
      <c r="C65" s="25" t="str">
        <f>HYPERLINK("https://www.cardmarket.com/en/Pokemon/Products/Singles?idCategory=1&amp;idProduct=sv6-76", "CM")</f>
        <v>CM</v>
      </c>
      <c r="D65" s="23" t="b">
        <v>0</v>
      </c>
      <c r="E65" s="24" t="b">
        <v>0</v>
      </c>
      <c r="F65" s="25" t="str">
        <f>HYPERLINK("https://www.cardmarket.com/en/Pokemon/Products/Singles?idCategory=1&amp;idProduct=sv6-77", "CM")</f>
        <v>CM</v>
      </c>
      <c r="G65" s="23" t="b">
        <v>0</v>
      </c>
      <c r="H65" s="24" t="b">
        <v>0</v>
      </c>
      <c r="I65" s="25" t="str">
        <f>HYPERLINK("https://www.cardmarket.com/en/Pokemon/Products/Singles?idCategory=1&amp;idProduct=sv6-78", "CM")</f>
        <v>CM</v>
      </c>
      <c r="J65" s="23" t="b">
        <v>0</v>
      </c>
      <c r="K65" s="24" t="b">
        <v>0</v>
      </c>
      <c r="L65" s="25" t="str">
        <f>HYPERLINK("https://www.cardmarket.com/en/Pokemon/Products/Singles?idCategory=1&amp;idProduct=sv6-79", "CM")</f>
        <v>CM</v>
      </c>
      <c r="M65" s="23" t="b">
        <v>0</v>
      </c>
      <c r="N65" s="24" t="b">
        <v>0</v>
      </c>
      <c r="O65" s="25" t="str">
        <f>HYPERLINK("https://www.cardmarket.com/en/Pokemon/Products/Singles?idCategory=1&amp;idProduct=sv6-80", "CM")</f>
        <v>CM</v>
      </c>
    </row>
    <row r="66" ht="7.5" customHeight="1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</row>
    <row r="67" ht="18.75" customHeight="1">
      <c r="A67" s="18" t="s">
        <v>603</v>
      </c>
      <c r="B67" s="19" t="s">
        <v>1520</v>
      </c>
      <c r="C67" s="20"/>
      <c r="D67" s="18" t="s">
        <v>604</v>
      </c>
      <c r="E67" s="19" t="s">
        <v>1898</v>
      </c>
      <c r="F67" s="20"/>
      <c r="G67" s="18" t="s">
        <v>606</v>
      </c>
      <c r="H67" s="19" t="s">
        <v>928</v>
      </c>
      <c r="I67" s="20"/>
      <c r="J67" s="18" t="s">
        <v>608</v>
      </c>
      <c r="K67" s="19" t="s">
        <v>1899</v>
      </c>
      <c r="L67" s="20"/>
      <c r="M67" s="18" t="s">
        <v>609</v>
      </c>
      <c r="N67" s="19" t="s">
        <v>1733</v>
      </c>
      <c r="O67" s="20"/>
    </row>
    <row r="68" ht="180.0" customHeight="1">
      <c r="A68" s="21" t="str">
        <f>IMAGE("https://assets.tcgdex.net/de/sv/sv06/081/low.jpg", 1)</f>
        <v/>
      </c>
      <c r="B68" s="22"/>
      <c r="C68" s="20"/>
      <c r="D68" s="21" t="str">
        <f>IMAGE("https://assets.tcgdex.net/de/sv/sv06/082/low.jpg", 1)</f>
        <v/>
      </c>
      <c r="E68" s="22"/>
      <c r="F68" s="20"/>
      <c r="G68" s="21" t="str">
        <f>IMAGE("https://assets.tcgdex.net/de/sv/sv06/083/low.jpg", 1)</f>
        <v/>
      </c>
      <c r="H68" s="22"/>
      <c r="I68" s="20"/>
      <c r="J68" s="21" t="str">
        <f>IMAGE("https://assets.tcgdex.net/de/sv/sv06/084/low.jpg", 1)</f>
        <v/>
      </c>
      <c r="K68" s="22"/>
      <c r="L68" s="20"/>
      <c r="M68" s="21" t="str">
        <f>IMAGE("https://assets.tcgdex.net/de/sv/sv06/085/low.jpg", 1)</f>
        <v/>
      </c>
      <c r="N68" s="22"/>
      <c r="O68" s="20"/>
    </row>
    <row r="69" ht="22.5" customHeight="1">
      <c r="A69" s="23" t="b">
        <v>0</v>
      </c>
      <c r="B69" s="24" t="b">
        <v>0</v>
      </c>
      <c r="C69" s="25" t="str">
        <f>HYPERLINK("https://www.cardmarket.com/en/Pokemon/Products/Singles?idCategory=1&amp;idProduct=sv6-81", "CM")</f>
        <v>CM</v>
      </c>
      <c r="D69" s="23" t="b">
        <v>0</v>
      </c>
      <c r="E69" s="24" t="b">
        <v>0</v>
      </c>
      <c r="F69" s="25" t="str">
        <f>HYPERLINK("https://www.cardmarket.com/en/Pokemon/Products/Singles?idCategory=1&amp;idProduct=sv6-82", "CM")</f>
        <v>CM</v>
      </c>
      <c r="G69" s="23" t="b">
        <v>0</v>
      </c>
      <c r="H69" s="24" t="b">
        <v>0</v>
      </c>
      <c r="I69" s="25" t="str">
        <f>HYPERLINK("https://www.cardmarket.com/en/Pokemon/Products/Singles?idCategory=1&amp;idProduct=sv6-83", "CM")</f>
        <v>CM</v>
      </c>
      <c r="J69" s="23" t="b">
        <v>0</v>
      </c>
      <c r="K69" s="24" t="b">
        <v>0</v>
      </c>
      <c r="L69" s="25" t="str">
        <f>HYPERLINK("https://www.cardmarket.com/en/Pokemon/Products/Singles?idCategory=1&amp;idProduct=sv6-84", "CM")</f>
        <v>CM</v>
      </c>
      <c r="M69" s="23" t="b">
        <v>0</v>
      </c>
      <c r="N69" s="24" t="b">
        <v>0</v>
      </c>
      <c r="O69" s="25" t="str">
        <f>HYPERLINK("https://www.cardmarket.com/en/Pokemon/Products/Singles?idCategory=1&amp;idProduct=sv6-85", "CM")</f>
        <v>CM</v>
      </c>
    </row>
    <row r="70" ht="7.5" customHeight="1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</row>
    <row r="71" ht="18.75" customHeight="1">
      <c r="A71" s="18" t="s">
        <v>611</v>
      </c>
      <c r="B71" s="19" t="s">
        <v>1277</v>
      </c>
      <c r="C71" s="20"/>
      <c r="D71" s="18" t="s">
        <v>613</v>
      </c>
      <c r="E71" s="19" t="s">
        <v>1278</v>
      </c>
      <c r="F71" s="20"/>
      <c r="G71" s="18" t="s">
        <v>615</v>
      </c>
      <c r="H71" s="19" t="s">
        <v>1279</v>
      </c>
      <c r="I71" s="20"/>
      <c r="J71" s="18" t="s">
        <v>617</v>
      </c>
      <c r="K71" s="19" t="s">
        <v>1900</v>
      </c>
      <c r="L71" s="20"/>
      <c r="M71" s="18" t="s">
        <v>619</v>
      </c>
      <c r="N71" s="19" t="s">
        <v>1901</v>
      </c>
      <c r="O71" s="20"/>
    </row>
    <row r="72" ht="180.0" customHeight="1">
      <c r="A72" s="21" t="str">
        <f>IMAGE("https://assets.tcgdex.net/de/sv/sv06/086/low.jpg", 1)</f>
        <v/>
      </c>
      <c r="B72" s="22"/>
      <c r="C72" s="20"/>
      <c r="D72" s="21" t="str">
        <f>IMAGE("https://assets.tcgdex.net/de/sv/sv06/087/low.jpg", 1)</f>
        <v/>
      </c>
      <c r="E72" s="22"/>
      <c r="F72" s="20"/>
      <c r="G72" s="21" t="str">
        <f>IMAGE("https://assets.tcgdex.net/de/sv/sv06/088/low.jpg", 1)</f>
        <v/>
      </c>
      <c r="H72" s="22"/>
      <c r="I72" s="20"/>
      <c r="J72" s="21" t="str">
        <f>IMAGE("https://assets.tcgdex.net/de/sv/sv06/089/low.jpg", 1)</f>
        <v/>
      </c>
      <c r="K72" s="22"/>
      <c r="L72" s="20"/>
      <c r="M72" s="21" t="str">
        <f>IMAGE("https://assets.tcgdex.net/de/sv/sv06/090/low.jpg", 1)</f>
        <v/>
      </c>
      <c r="N72" s="22"/>
      <c r="O72" s="20"/>
    </row>
    <row r="73" ht="22.5" customHeight="1">
      <c r="A73" s="23" t="b">
        <v>0</v>
      </c>
      <c r="B73" s="24" t="b">
        <v>0</v>
      </c>
      <c r="C73" s="25" t="str">
        <f>HYPERLINK("https://www.cardmarket.com/en/Pokemon/Products/Singles?idCategory=1&amp;idProduct=sv6-86", "CM")</f>
        <v>CM</v>
      </c>
      <c r="D73" s="23" t="b">
        <v>0</v>
      </c>
      <c r="E73" s="24" t="b">
        <v>0</v>
      </c>
      <c r="F73" s="25" t="str">
        <f>HYPERLINK("https://www.cardmarket.com/en/Pokemon/Products/Singles?idCategory=1&amp;idProduct=sv6-87", "CM")</f>
        <v>CM</v>
      </c>
      <c r="G73" s="23" t="b">
        <v>0</v>
      </c>
      <c r="H73" s="24" t="b">
        <v>0</v>
      </c>
      <c r="I73" s="25" t="str">
        <f>HYPERLINK("https://www.cardmarket.com/en/Pokemon/Products/Singles?idCategory=1&amp;idProduct=sv6-88", "CM")</f>
        <v>CM</v>
      </c>
      <c r="J73" s="23" t="b">
        <v>0</v>
      </c>
      <c r="K73" s="24" t="b">
        <v>0</v>
      </c>
      <c r="L73" s="25" t="str">
        <f>HYPERLINK("https://www.cardmarket.com/en/Pokemon/Products/Singles?idCategory=1&amp;idProduct=sv6-89", "CM")</f>
        <v>CM</v>
      </c>
      <c r="M73" s="23" t="b">
        <v>0</v>
      </c>
      <c r="N73" s="24" t="b">
        <v>0</v>
      </c>
      <c r="O73" s="25" t="str">
        <f>HYPERLINK("https://www.cardmarket.com/en/Pokemon/Products/Singles?idCategory=1&amp;idProduct=sv6-90", "CM")</f>
        <v>CM</v>
      </c>
    </row>
    <row r="74" ht="7.5" customHeight="1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</row>
    <row r="75" ht="18.75" customHeight="1">
      <c r="A75" s="18" t="s">
        <v>621</v>
      </c>
      <c r="B75" s="19" t="s">
        <v>1902</v>
      </c>
      <c r="C75" s="20"/>
      <c r="D75" s="18" t="s">
        <v>623</v>
      </c>
      <c r="E75" s="19" t="s">
        <v>1903</v>
      </c>
      <c r="F75" s="20"/>
      <c r="G75" s="18" t="s">
        <v>625</v>
      </c>
      <c r="H75" s="19" t="s">
        <v>995</v>
      </c>
      <c r="I75" s="20"/>
      <c r="J75" s="18" t="s">
        <v>627</v>
      </c>
      <c r="K75" s="19" t="s">
        <v>1904</v>
      </c>
      <c r="L75" s="20"/>
      <c r="M75" s="18" t="s">
        <v>812</v>
      </c>
      <c r="N75" s="19" t="s">
        <v>1905</v>
      </c>
      <c r="O75" s="20"/>
    </row>
    <row r="76" ht="180.0" customHeight="1">
      <c r="A76" s="21" t="str">
        <f>IMAGE("https://assets.tcgdex.net/de/sv/sv06/091/low.jpg", 1)</f>
        <v/>
      </c>
      <c r="B76" s="22"/>
      <c r="C76" s="20"/>
      <c r="D76" s="21" t="str">
        <f>IMAGE("https://assets.tcgdex.net/de/sv/sv06/092/low.jpg", 1)</f>
        <v/>
      </c>
      <c r="E76" s="22"/>
      <c r="F76" s="20"/>
      <c r="G76" s="21" t="str">
        <f>IMAGE("https://assets.tcgdex.net/de/sv/sv06/093/low.jpg", 1)</f>
        <v/>
      </c>
      <c r="H76" s="22"/>
      <c r="I76" s="20"/>
      <c r="J76" s="21" t="str">
        <f>IMAGE("https://assets.tcgdex.net/de/sv/sv06/094/low.jpg", 1)</f>
        <v/>
      </c>
      <c r="K76" s="22"/>
      <c r="L76" s="20"/>
      <c r="M76" s="21" t="str">
        <f>IMAGE("https://assets.tcgdex.net/de/sv/sv06/095/low.jpg", 1)</f>
        <v/>
      </c>
      <c r="N76" s="22"/>
      <c r="O76" s="20"/>
    </row>
    <row r="77" ht="22.5" customHeight="1">
      <c r="A77" s="23" t="b">
        <v>0</v>
      </c>
      <c r="B77" s="24" t="b">
        <v>0</v>
      </c>
      <c r="C77" s="25" t="str">
        <f>HYPERLINK("https://www.cardmarket.com/en/Pokemon/Products/Singles?idCategory=1&amp;idProduct=sv6-91", "CM")</f>
        <v>CM</v>
      </c>
      <c r="D77" s="23" t="b">
        <v>0</v>
      </c>
      <c r="E77" s="24" t="b">
        <v>0</v>
      </c>
      <c r="F77" s="25" t="str">
        <f>HYPERLINK("https://www.cardmarket.com/en/Pokemon/Products/Singles?idCategory=1&amp;idProduct=sv6-92", "CM")</f>
        <v>CM</v>
      </c>
      <c r="G77" s="23" t="b">
        <v>0</v>
      </c>
      <c r="H77" s="24" t="b">
        <v>0</v>
      </c>
      <c r="I77" s="25" t="str">
        <f>HYPERLINK("https://www.cardmarket.com/en/Pokemon/Products/Singles?idCategory=1&amp;idProduct=sv6-93", "CM")</f>
        <v>CM</v>
      </c>
      <c r="J77" s="23" t="b">
        <v>0</v>
      </c>
      <c r="K77" s="24" t="b">
        <v>0</v>
      </c>
      <c r="L77" s="25" t="str">
        <f>HYPERLINK("https://www.cardmarket.com/en/Pokemon/Products/Singles?idCategory=1&amp;idProduct=sv6-94", "CM")</f>
        <v>CM</v>
      </c>
      <c r="M77" s="23" t="b">
        <v>0</v>
      </c>
      <c r="N77" s="24" t="b">
        <v>0</v>
      </c>
      <c r="O77" s="25" t="str">
        <f>HYPERLINK("https://www.cardmarket.com/en/Pokemon/Products/Singles?idCategory=1&amp;idProduct=sv6-95", "CM")</f>
        <v>CM</v>
      </c>
    </row>
    <row r="78" ht="7.5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</row>
    <row r="79" ht="18.75" customHeight="1">
      <c r="A79" s="18" t="s">
        <v>813</v>
      </c>
      <c r="B79" s="19" t="s">
        <v>1906</v>
      </c>
      <c r="C79" s="20"/>
      <c r="D79" s="18" t="s">
        <v>815</v>
      </c>
      <c r="E79" s="19" t="s">
        <v>1494</v>
      </c>
      <c r="F79" s="20"/>
      <c r="G79" s="18" t="s">
        <v>817</v>
      </c>
      <c r="H79" s="19" t="s">
        <v>1495</v>
      </c>
      <c r="I79" s="20"/>
      <c r="J79" s="18" t="s">
        <v>819</v>
      </c>
      <c r="K79" s="19" t="s">
        <v>1907</v>
      </c>
      <c r="L79" s="20"/>
      <c r="M79" s="18" t="s">
        <v>821</v>
      </c>
      <c r="N79" s="19" t="s">
        <v>1908</v>
      </c>
      <c r="O79" s="20"/>
    </row>
    <row r="80" ht="180.0" customHeight="1">
      <c r="A80" s="21" t="str">
        <f>IMAGE("https://assets.tcgdex.net/de/sv/sv06/096/low.jpg", 1)</f>
        <v/>
      </c>
      <c r="B80" s="22"/>
      <c r="C80" s="20"/>
      <c r="D80" s="21" t="str">
        <f>IMAGE("https://assets.tcgdex.net/de/sv/sv06/097/low.jpg", 1)</f>
        <v/>
      </c>
      <c r="E80" s="22"/>
      <c r="F80" s="20"/>
      <c r="G80" s="21" t="str">
        <f>IMAGE("https://assets.tcgdex.net/de/sv/sv06/098/low.jpg", 1)</f>
        <v/>
      </c>
      <c r="H80" s="22"/>
      <c r="I80" s="20"/>
      <c r="J80" s="21" t="str">
        <f>IMAGE("https://assets.tcgdex.net/de/sv/sv06/099/low.jpg", 1)</f>
        <v/>
      </c>
      <c r="K80" s="22"/>
      <c r="L80" s="20"/>
      <c r="M80" s="21" t="str">
        <f>IMAGE("https://assets.tcgdex.net/de/sv/sv06/100/low.jpg", 1)</f>
        <v/>
      </c>
      <c r="N80" s="22"/>
      <c r="O80" s="20"/>
    </row>
    <row r="81" ht="22.5" customHeight="1">
      <c r="A81" s="23" t="b">
        <v>0</v>
      </c>
      <c r="B81" s="24" t="b">
        <v>0</v>
      </c>
      <c r="C81" s="25" t="str">
        <f>HYPERLINK("https://www.cardmarket.com/en/Pokemon/Products/Singles?idCategory=1&amp;idProduct=sv6-96", "CM")</f>
        <v>CM</v>
      </c>
      <c r="D81" s="23" t="b">
        <v>0</v>
      </c>
      <c r="E81" s="24" t="b">
        <v>0</v>
      </c>
      <c r="F81" s="25" t="str">
        <f>HYPERLINK("https://www.cardmarket.com/en/Pokemon/Products/Singles?idCategory=1&amp;idProduct=sv6-97", "CM")</f>
        <v>CM</v>
      </c>
      <c r="G81" s="23" t="b">
        <v>0</v>
      </c>
      <c r="H81" s="24" t="b">
        <v>0</v>
      </c>
      <c r="I81" s="25" t="str">
        <f>HYPERLINK("https://www.cardmarket.com/en/Pokemon/Products/Singles?idCategory=1&amp;idProduct=sv6-98", "CM")</f>
        <v>CM</v>
      </c>
      <c r="J81" s="23" t="b">
        <v>0</v>
      </c>
      <c r="K81" s="24" t="b">
        <v>0</v>
      </c>
      <c r="L81" s="25" t="str">
        <f>HYPERLINK("https://www.cardmarket.com/en/Pokemon/Products/Singles?idCategory=1&amp;idProduct=sv6-99", "CM")</f>
        <v>CM</v>
      </c>
      <c r="M81" s="23" t="b">
        <v>0</v>
      </c>
      <c r="N81" s="24" t="b">
        <v>0</v>
      </c>
      <c r="O81" s="25" t="str">
        <f>HYPERLINK("https://www.cardmarket.com/en/Pokemon/Products/Singles?idCategory=1&amp;idProduct=sv6-100", "CM")</f>
        <v>CM</v>
      </c>
    </row>
    <row r="82" ht="7.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</row>
    <row r="83" ht="18.75" customHeight="1">
      <c r="A83" s="18" t="s">
        <v>629</v>
      </c>
      <c r="B83" s="19" t="s">
        <v>1420</v>
      </c>
      <c r="C83" s="20"/>
      <c r="D83" s="18" t="s">
        <v>630</v>
      </c>
      <c r="E83" s="19" t="s">
        <v>1440</v>
      </c>
      <c r="F83" s="20"/>
      <c r="G83" s="18" t="s">
        <v>632</v>
      </c>
      <c r="H83" s="19" t="s">
        <v>1909</v>
      </c>
      <c r="I83" s="20"/>
      <c r="J83" s="18" t="s">
        <v>634</v>
      </c>
      <c r="K83" s="19" t="s">
        <v>1910</v>
      </c>
      <c r="L83" s="20"/>
      <c r="M83" s="18" t="s">
        <v>636</v>
      </c>
      <c r="N83" s="19" t="s">
        <v>1911</v>
      </c>
      <c r="O83" s="20"/>
    </row>
    <row r="84" ht="180.0" customHeight="1">
      <c r="A84" s="21" t="str">
        <f>IMAGE("https://assets.tcgdex.net/de/sv/sv06/101/low.jpg", 1)</f>
        <v/>
      </c>
      <c r="B84" s="22"/>
      <c r="C84" s="20"/>
      <c r="D84" s="21" t="str">
        <f>IMAGE("https://assets.tcgdex.net/de/sv/sv06/102/low.jpg", 1)</f>
        <v/>
      </c>
      <c r="E84" s="22"/>
      <c r="F84" s="20"/>
      <c r="G84" s="21" t="str">
        <f>IMAGE("https://assets.tcgdex.net/de/sv/sv06/103/low.jpg", 1)</f>
        <v/>
      </c>
      <c r="H84" s="22"/>
      <c r="I84" s="20"/>
      <c r="J84" s="21" t="str">
        <f>IMAGE("https://assets.tcgdex.net/de/sv/sv06/104/low.jpg", 1)</f>
        <v/>
      </c>
      <c r="K84" s="22"/>
      <c r="L84" s="20"/>
      <c r="M84" s="21" t="str">
        <f>IMAGE("https://assets.tcgdex.net/de/sv/sv06/105/low.jpg", 1)</f>
        <v/>
      </c>
      <c r="N84" s="22"/>
      <c r="O84" s="20"/>
    </row>
    <row r="85" ht="22.5" customHeight="1">
      <c r="A85" s="23" t="b">
        <v>0</v>
      </c>
      <c r="B85" s="24" t="b">
        <v>0</v>
      </c>
      <c r="C85" s="25" t="str">
        <f>HYPERLINK("https://www.cardmarket.com/en/Pokemon/Products/Singles?idCategory=1&amp;idProduct=sv6-101", "CM")</f>
        <v>CM</v>
      </c>
      <c r="D85" s="23" t="b">
        <v>0</v>
      </c>
      <c r="E85" s="24" t="b">
        <v>0</v>
      </c>
      <c r="F85" s="25" t="str">
        <f>HYPERLINK("https://www.cardmarket.com/en/Pokemon/Products/Singles?idCategory=1&amp;idProduct=sv6-102", "CM")</f>
        <v>CM</v>
      </c>
      <c r="G85" s="23" t="b">
        <v>0</v>
      </c>
      <c r="H85" s="24" t="b">
        <v>0</v>
      </c>
      <c r="I85" s="25" t="str">
        <f>HYPERLINK("https://www.cardmarket.com/en/Pokemon/Products/Singles?idCategory=1&amp;idProduct=sv6-103", "CM")</f>
        <v>CM</v>
      </c>
      <c r="J85" s="23" t="b">
        <v>0</v>
      </c>
      <c r="K85" s="24" t="b">
        <v>0</v>
      </c>
      <c r="L85" s="25" t="str">
        <f>HYPERLINK("https://www.cardmarket.com/en/Pokemon/Products/Singles?idCategory=1&amp;idProduct=sv6-104", "CM")</f>
        <v>CM</v>
      </c>
      <c r="M85" s="23" t="b">
        <v>0</v>
      </c>
      <c r="N85" s="24" t="b">
        <v>0</v>
      </c>
      <c r="O85" s="25" t="str">
        <f>HYPERLINK("https://www.cardmarket.com/en/Pokemon/Products/Singles?idCategory=1&amp;idProduct=sv6-105", "CM")</f>
        <v>CM</v>
      </c>
    </row>
    <row r="86" ht="7.5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</row>
    <row r="87" ht="18.75" customHeight="1">
      <c r="A87" s="18" t="s">
        <v>638</v>
      </c>
      <c r="B87" s="19" t="s">
        <v>584</v>
      </c>
      <c r="C87" s="20"/>
      <c r="D87" s="18" t="s">
        <v>640</v>
      </c>
      <c r="E87" s="19" t="s">
        <v>745</v>
      </c>
      <c r="F87" s="20"/>
      <c r="G87" s="18" t="s">
        <v>642</v>
      </c>
      <c r="H87" s="19" t="s">
        <v>1429</v>
      </c>
      <c r="I87" s="20"/>
      <c r="J87" s="18" t="s">
        <v>643</v>
      </c>
      <c r="K87" s="19" t="s">
        <v>1912</v>
      </c>
      <c r="L87" s="20"/>
      <c r="M87" s="18" t="s">
        <v>645</v>
      </c>
      <c r="N87" s="19" t="s">
        <v>1659</v>
      </c>
      <c r="O87" s="20"/>
    </row>
    <row r="88" ht="180.0" customHeight="1">
      <c r="A88" s="21" t="str">
        <f>IMAGE("https://assets.tcgdex.net/de/sv/sv06/106/low.jpg", 1)</f>
        <v/>
      </c>
      <c r="B88" s="22"/>
      <c r="C88" s="20"/>
      <c r="D88" s="21" t="str">
        <f>IMAGE("https://assets.tcgdex.net/de/sv/sv06/107/low.jpg", 1)</f>
        <v/>
      </c>
      <c r="E88" s="22"/>
      <c r="F88" s="20"/>
      <c r="G88" s="21" t="str">
        <f>IMAGE("https://assets.tcgdex.net/de/sv/sv06/108/low.jpg", 1)</f>
        <v/>
      </c>
      <c r="H88" s="22"/>
      <c r="I88" s="20"/>
      <c r="J88" s="21" t="str">
        <f>IMAGE("https://assets.tcgdex.net/de/sv/sv06/109/low.jpg", 1)</f>
        <v/>
      </c>
      <c r="K88" s="22"/>
      <c r="L88" s="20"/>
      <c r="M88" s="21" t="str">
        <f>IMAGE("https://assets.tcgdex.net/de/sv/sv06/110/low.jpg", 1)</f>
        <v/>
      </c>
      <c r="N88" s="22"/>
      <c r="O88" s="20"/>
    </row>
    <row r="89" ht="22.5" customHeight="1">
      <c r="A89" s="23" t="b">
        <v>0</v>
      </c>
      <c r="B89" s="24" t="b">
        <v>0</v>
      </c>
      <c r="C89" s="25" t="str">
        <f>HYPERLINK("https://www.cardmarket.com/en/Pokemon/Products/Singles?idCategory=1&amp;idProduct=sv6-106", "CM")</f>
        <v>CM</v>
      </c>
      <c r="D89" s="23" t="b">
        <v>0</v>
      </c>
      <c r="E89" s="24" t="b">
        <v>0</v>
      </c>
      <c r="F89" s="25" t="str">
        <f>HYPERLINK("https://www.cardmarket.com/en/Pokemon/Products/Singles?idCategory=1&amp;idProduct=sv6-107", "CM")</f>
        <v>CM</v>
      </c>
      <c r="G89" s="23" t="b">
        <v>0</v>
      </c>
      <c r="H89" s="24" t="b">
        <v>0</v>
      </c>
      <c r="I89" s="25" t="str">
        <f>HYPERLINK("https://www.cardmarket.com/en/Pokemon/Products/Singles?idCategory=1&amp;idProduct=sv6-108", "CM")</f>
        <v>CM</v>
      </c>
      <c r="J89" s="23" t="b">
        <v>0</v>
      </c>
      <c r="K89" s="24" t="b">
        <v>0</v>
      </c>
      <c r="L89" s="25" t="str">
        <f>HYPERLINK("https://www.cardmarket.com/en/Pokemon/Products/Singles?idCategory=1&amp;idProduct=sv6-109", "CM")</f>
        <v>CM</v>
      </c>
      <c r="M89" s="23" t="b">
        <v>0</v>
      </c>
      <c r="N89" s="24" t="b">
        <v>0</v>
      </c>
      <c r="O89" s="25" t="str">
        <f>HYPERLINK("https://www.cardmarket.com/en/Pokemon/Products/Singles?idCategory=1&amp;idProduct=sv6-110", "CM")</f>
        <v>CM</v>
      </c>
    </row>
    <row r="90" ht="7.5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</row>
    <row r="91" ht="18.75" customHeight="1">
      <c r="A91" s="18" t="s">
        <v>647</v>
      </c>
      <c r="B91" s="19" t="s">
        <v>1913</v>
      </c>
      <c r="C91" s="20"/>
      <c r="D91" s="18" t="s">
        <v>649</v>
      </c>
      <c r="E91" s="19" t="s">
        <v>1914</v>
      </c>
      <c r="F91" s="20"/>
      <c r="G91" s="18" t="s">
        <v>651</v>
      </c>
      <c r="H91" s="19" t="s">
        <v>1829</v>
      </c>
      <c r="I91" s="20"/>
      <c r="J91" s="18" t="s">
        <v>823</v>
      </c>
      <c r="K91" s="19" t="s">
        <v>1830</v>
      </c>
      <c r="L91" s="20"/>
      <c r="M91" s="18" t="s">
        <v>653</v>
      </c>
      <c r="N91" s="19" t="s">
        <v>1915</v>
      </c>
      <c r="O91" s="20"/>
    </row>
    <row r="92" ht="180.0" customHeight="1">
      <c r="A92" s="21" t="str">
        <f>IMAGE("https://assets.tcgdex.net/de/sv/sv06/111/low.jpg", 1)</f>
        <v/>
      </c>
      <c r="B92" s="22"/>
      <c r="C92" s="20"/>
      <c r="D92" s="21" t="str">
        <f>IMAGE("https://assets.tcgdex.net/de/sv/sv06/112/low.jpg", 1)</f>
        <v/>
      </c>
      <c r="E92" s="22"/>
      <c r="F92" s="20"/>
      <c r="G92" s="21" t="str">
        <f>IMAGE("https://assets.tcgdex.net/de/sv/sv06/113/low.jpg", 1)</f>
        <v/>
      </c>
      <c r="H92" s="22"/>
      <c r="I92" s="20"/>
      <c r="J92" s="21" t="str">
        <f>IMAGE("https://assets.tcgdex.net/de/sv/sv06/114/low.jpg", 1)</f>
        <v/>
      </c>
      <c r="K92" s="22"/>
      <c r="L92" s="20"/>
      <c r="M92" s="21" t="str">
        <f>IMAGE("https://assets.tcgdex.net/de/sv/sv06/115/low.jpg", 1)</f>
        <v/>
      </c>
      <c r="N92" s="22"/>
      <c r="O92" s="20"/>
    </row>
    <row r="93" ht="22.5" customHeight="1">
      <c r="A93" s="23" t="b">
        <v>0</v>
      </c>
      <c r="B93" s="24" t="b">
        <v>0</v>
      </c>
      <c r="C93" s="25" t="str">
        <f>HYPERLINK("https://www.cardmarket.com/en/Pokemon/Products/Singles?idCategory=1&amp;idProduct=sv6-111", "CM")</f>
        <v>CM</v>
      </c>
      <c r="D93" s="23" t="b">
        <v>0</v>
      </c>
      <c r="E93" s="24" t="b">
        <v>0</v>
      </c>
      <c r="F93" s="25" t="str">
        <f>HYPERLINK("https://www.cardmarket.com/en/Pokemon/Products/Singles?idCategory=1&amp;idProduct=sv6-112", "CM")</f>
        <v>CM</v>
      </c>
      <c r="G93" s="23" t="b">
        <v>0</v>
      </c>
      <c r="H93" s="24" t="b">
        <v>0</v>
      </c>
      <c r="I93" s="25" t="str">
        <f>HYPERLINK("https://www.cardmarket.com/en/Pokemon/Products/Singles?idCategory=1&amp;idProduct=sv6-113", "CM")</f>
        <v>CM</v>
      </c>
      <c r="J93" s="23" t="b">
        <v>0</v>
      </c>
      <c r="K93" s="24" t="b">
        <v>0</v>
      </c>
      <c r="L93" s="25" t="str">
        <f>HYPERLINK("https://www.cardmarket.com/en/Pokemon/Products/Singles?idCategory=1&amp;idProduct=sv6-114", "CM")</f>
        <v>CM</v>
      </c>
      <c r="M93" s="23" t="b">
        <v>0</v>
      </c>
      <c r="N93" s="24" t="b">
        <v>0</v>
      </c>
      <c r="O93" s="25" t="str">
        <f>HYPERLINK("https://www.cardmarket.com/en/Pokemon/Products/Singles?idCategory=1&amp;idProduct=sv6-115", "CM")</f>
        <v>CM</v>
      </c>
    </row>
    <row r="94" ht="7.5" customHeigh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</row>
    <row r="95" ht="18.75" customHeight="1">
      <c r="A95" s="18" t="s">
        <v>825</v>
      </c>
      <c r="B95" s="19" t="s">
        <v>1916</v>
      </c>
      <c r="C95" s="20"/>
      <c r="D95" s="18" t="s">
        <v>655</v>
      </c>
      <c r="E95" s="19" t="s">
        <v>1917</v>
      </c>
      <c r="F95" s="20"/>
      <c r="G95" s="18" t="s">
        <v>827</v>
      </c>
      <c r="H95" s="19" t="s">
        <v>1668</v>
      </c>
      <c r="I95" s="20"/>
      <c r="J95" s="18" t="s">
        <v>657</v>
      </c>
      <c r="K95" s="19" t="s">
        <v>1437</v>
      </c>
      <c r="L95" s="20"/>
      <c r="M95" s="18" t="s">
        <v>659</v>
      </c>
      <c r="N95" s="19" t="s">
        <v>937</v>
      </c>
      <c r="O95" s="20"/>
    </row>
    <row r="96" ht="180.0" customHeight="1">
      <c r="A96" s="21" t="str">
        <f>IMAGE("https://assets.tcgdex.net/de/sv/sv06/116/low.jpg", 1)</f>
        <v/>
      </c>
      <c r="B96" s="22"/>
      <c r="C96" s="20"/>
      <c r="D96" s="21" t="str">
        <f>IMAGE("https://assets.tcgdex.net/de/sv/sv06/117/low.jpg", 1)</f>
        <v/>
      </c>
      <c r="E96" s="22"/>
      <c r="F96" s="20"/>
      <c r="G96" s="21" t="str">
        <f>IMAGE("https://assets.tcgdex.net/de/sv/sv06/118/low.jpg", 1)</f>
        <v/>
      </c>
      <c r="H96" s="22"/>
      <c r="I96" s="20"/>
      <c r="J96" s="21" t="str">
        <f>IMAGE("https://assets.tcgdex.net/de/sv/sv06/119/low.jpg", 1)</f>
        <v/>
      </c>
      <c r="K96" s="22"/>
      <c r="L96" s="20"/>
      <c r="M96" s="21" t="str">
        <f>IMAGE("https://assets.tcgdex.net/de/sv/sv06/120/low.jpg", 1)</f>
        <v/>
      </c>
      <c r="N96" s="22"/>
      <c r="O96" s="20"/>
    </row>
    <row r="97" ht="22.5" customHeight="1">
      <c r="A97" s="23" t="b">
        <v>0</v>
      </c>
      <c r="B97" s="24" t="b">
        <v>0</v>
      </c>
      <c r="C97" s="25" t="str">
        <f>HYPERLINK("https://www.cardmarket.com/en/Pokemon/Products/Singles?idCategory=1&amp;idProduct=sv6-116", "CM")</f>
        <v>CM</v>
      </c>
      <c r="D97" s="23" t="b">
        <v>0</v>
      </c>
      <c r="E97" s="24" t="b">
        <v>0</v>
      </c>
      <c r="F97" s="25" t="str">
        <f>HYPERLINK("https://www.cardmarket.com/en/Pokemon/Products/Singles?idCategory=1&amp;idProduct=sv6-117", "CM")</f>
        <v>CM</v>
      </c>
      <c r="G97" s="23" t="b">
        <v>0</v>
      </c>
      <c r="H97" s="24" t="b">
        <v>0</v>
      </c>
      <c r="I97" s="25" t="str">
        <f>HYPERLINK("https://www.cardmarket.com/en/Pokemon/Products/Singles?idCategory=1&amp;idProduct=sv6-118", "CM")</f>
        <v>CM</v>
      </c>
      <c r="J97" s="23" t="b">
        <v>0</v>
      </c>
      <c r="K97" s="24" t="b">
        <v>0</v>
      </c>
      <c r="L97" s="25" t="str">
        <f>HYPERLINK("https://www.cardmarket.com/en/Pokemon/Products/Singles?idCategory=1&amp;idProduct=sv6-119", "CM")</f>
        <v>CM</v>
      </c>
      <c r="M97" s="23" t="b">
        <v>0</v>
      </c>
      <c r="N97" s="24" t="b">
        <v>0</v>
      </c>
      <c r="O97" s="25" t="str">
        <f>HYPERLINK("https://www.cardmarket.com/en/Pokemon/Products/Singles?idCategory=1&amp;idProduct=sv6-120", "CM")</f>
        <v>CM</v>
      </c>
    </row>
    <row r="98" ht="7.5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</row>
    <row r="99" ht="18.75" customHeight="1">
      <c r="A99" s="18" t="s">
        <v>829</v>
      </c>
      <c r="B99" s="19" t="s">
        <v>938</v>
      </c>
      <c r="C99" s="20"/>
      <c r="D99" s="18" t="s">
        <v>830</v>
      </c>
      <c r="E99" s="19" t="s">
        <v>1009</v>
      </c>
      <c r="F99" s="20"/>
      <c r="G99" s="18" t="s">
        <v>831</v>
      </c>
      <c r="H99" s="19" t="s">
        <v>1918</v>
      </c>
      <c r="I99" s="20"/>
      <c r="J99" s="18" t="s">
        <v>833</v>
      </c>
      <c r="K99" s="19" t="s">
        <v>761</v>
      </c>
      <c r="L99" s="20"/>
      <c r="M99" s="18" t="s">
        <v>661</v>
      </c>
      <c r="N99" s="19" t="s">
        <v>532</v>
      </c>
      <c r="O99" s="20"/>
    </row>
    <row r="100" ht="180.0" customHeight="1">
      <c r="A100" s="21" t="str">
        <f>IMAGE("https://assets.tcgdex.net/de/sv/sv06/121/low.jpg", 1)</f>
        <v/>
      </c>
      <c r="B100" s="22"/>
      <c r="C100" s="20"/>
      <c r="D100" s="21" t="str">
        <f>IMAGE("https://assets.tcgdex.net/de/sv/sv06/122/low.jpg", 1)</f>
        <v/>
      </c>
      <c r="E100" s="22"/>
      <c r="F100" s="20"/>
      <c r="G100" s="21" t="str">
        <f>IMAGE("https://assets.tcgdex.net/de/sv/sv06/123/low.jpg", 1)</f>
        <v/>
      </c>
      <c r="H100" s="22"/>
      <c r="I100" s="20"/>
      <c r="J100" s="21" t="str">
        <f>IMAGE("https://assets.tcgdex.net/de/sv/sv06/124/low.jpg", 1)</f>
        <v/>
      </c>
      <c r="K100" s="22"/>
      <c r="L100" s="20"/>
      <c r="M100" s="21" t="str">
        <f>IMAGE("https://assets.tcgdex.net/de/sv/sv06/125/low.jpg", 1)</f>
        <v/>
      </c>
      <c r="N100" s="22"/>
      <c r="O100" s="20"/>
    </row>
    <row r="101" ht="22.5" customHeight="1">
      <c r="A101" s="23" t="b">
        <v>0</v>
      </c>
      <c r="B101" s="24" t="b">
        <v>0</v>
      </c>
      <c r="C101" s="25" t="str">
        <f>HYPERLINK("https://www.cardmarket.com/en/Pokemon/Products/Singles?idCategory=1&amp;idProduct=sv6-121", "CM")</f>
        <v>CM</v>
      </c>
      <c r="D101" s="23" t="b">
        <v>0</v>
      </c>
      <c r="E101" s="24" t="b">
        <v>0</v>
      </c>
      <c r="F101" s="25" t="str">
        <f>HYPERLINK("https://www.cardmarket.com/en/Pokemon/Products/Singles?idCategory=1&amp;idProduct=sv6-122", "CM")</f>
        <v>CM</v>
      </c>
      <c r="G101" s="23" t="b">
        <v>0</v>
      </c>
      <c r="H101" s="24" t="b">
        <v>0</v>
      </c>
      <c r="I101" s="25" t="str">
        <f>HYPERLINK("https://www.cardmarket.com/en/Pokemon/Products/Singles?idCategory=1&amp;idProduct=sv6-123", "CM")</f>
        <v>CM</v>
      </c>
      <c r="J101" s="23" t="b">
        <v>0</v>
      </c>
      <c r="K101" s="24" t="b">
        <v>0</v>
      </c>
      <c r="L101" s="25" t="str">
        <f>HYPERLINK("https://www.cardmarket.com/en/Pokemon/Products/Singles?idCategory=1&amp;idProduct=sv6-124", "CM")</f>
        <v>CM</v>
      </c>
      <c r="M101" s="23" t="b">
        <v>0</v>
      </c>
      <c r="N101" s="24" t="b">
        <v>0</v>
      </c>
      <c r="O101" s="25" t="str">
        <f>HYPERLINK("https://www.cardmarket.com/en/Pokemon/Products/Singles?idCategory=1&amp;idProduct=sv6-125", "CM")</f>
        <v>CM</v>
      </c>
    </row>
    <row r="102" ht="7.5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</row>
    <row r="103" ht="18.75" customHeight="1">
      <c r="A103" s="18" t="s">
        <v>835</v>
      </c>
      <c r="B103" s="19" t="s">
        <v>1879</v>
      </c>
      <c r="C103" s="20"/>
      <c r="D103" s="18" t="s">
        <v>662</v>
      </c>
      <c r="E103" s="19" t="s">
        <v>1880</v>
      </c>
      <c r="F103" s="20"/>
      <c r="G103" s="18" t="s">
        <v>837</v>
      </c>
      <c r="H103" s="19" t="s">
        <v>1919</v>
      </c>
      <c r="I103" s="20"/>
      <c r="J103" s="18" t="s">
        <v>839</v>
      </c>
      <c r="K103" s="19" t="s">
        <v>1920</v>
      </c>
      <c r="L103" s="20"/>
      <c r="M103" s="18" t="s">
        <v>841</v>
      </c>
      <c r="N103" s="19" t="s">
        <v>1921</v>
      </c>
      <c r="O103" s="20"/>
    </row>
    <row r="104" ht="180.0" customHeight="1">
      <c r="A104" s="21" t="str">
        <f>IMAGE("https://assets.tcgdex.net/de/sv/sv06/126/low.jpg", 1)</f>
        <v/>
      </c>
      <c r="B104" s="22"/>
      <c r="C104" s="20"/>
      <c r="D104" s="21" t="str">
        <f>IMAGE("https://assets.tcgdex.net/de/sv/sv06/127/low.jpg", 1)</f>
        <v/>
      </c>
      <c r="E104" s="22"/>
      <c r="F104" s="20"/>
      <c r="G104" s="21" t="str">
        <f>IMAGE("https://assets.tcgdex.net/de/sv/sv06/128/low.jpg", 1)</f>
        <v/>
      </c>
      <c r="H104" s="22"/>
      <c r="I104" s="20"/>
      <c r="J104" s="21" t="str">
        <f>IMAGE("https://assets.tcgdex.net/de/sv/sv06/129/low.jpg", 1)</f>
        <v/>
      </c>
      <c r="K104" s="22"/>
      <c r="L104" s="20"/>
      <c r="M104" s="21" t="str">
        <f>IMAGE("https://assets.tcgdex.net/de/sv/sv06/130/low.jpg", 1)</f>
        <v/>
      </c>
      <c r="N104" s="22"/>
      <c r="O104" s="20"/>
    </row>
    <row r="105" ht="22.5" customHeight="1">
      <c r="A105" s="23" t="b">
        <v>0</v>
      </c>
      <c r="B105" s="24" t="b">
        <v>0</v>
      </c>
      <c r="C105" s="25" t="str">
        <f>HYPERLINK("https://www.cardmarket.com/en/Pokemon/Products/Singles?idCategory=1&amp;idProduct=sv6-126", "CM")</f>
        <v>CM</v>
      </c>
      <c r="D105" s="23" t="b">
        <v>0</v>
      </c>
      <c r="E105" s="24" t="b">
        <v>0</v>
      </c>
      <c r="F105" s="25" t="str">
        <f>HYPERLINK("https://www.cardmarket.com/en/Pokemon/Products/Singles?idCategory=1&amp;idProduct=sv6-127", "CM")</f>
        <v>CM</v>
      </c>
      <c r="G105" s="23" t="b">
        <v>0</v>
      </c>
      <c r="H105" s="24" t="b">
        <v>0</v>
      </c>
      <c r="I105" s="25" t="str">
        <f>HYPERLINK("https://www.cardmarket.com/en/Pokemon/Products/Singles?idCategory=1&amp;idProduct=sv6-128", "CM")</f>
        <v>CM</v>
      </c>
      <c r="J105" s="23" t="b">
        <v>0</v>
      </c>
      <c r="K105" s="24" t="b">
        <v>0</v>
      </c>
      <c r="L105" s="25" t="str">
        <f>HYPERLINK("https://www.cardmarket.com/en/Pokemon/Products/Singles?idCategory=1&amp;idProduct=sv6-129", "CM")</f>
        <v>CM</v>
      </c>
      <c r="M105" s="23" t="b">
        <v>0</v>
      </c>
      <c r="N105" s="24" t="b">
        <v>0</v>
      </c>
      <c r="O105" s="25" t="str">
        <f>HYPERLINK("https://www.cardmarket.com/en/Pokemon/Products/Singles?idCategory=1&amp;idProduct=sv6-130", "CM")</f>
        <v>CM</v>
      </c>
    </row>
    <row r="106" ht="7.5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</row>
    <row r="107" ht="18.75" customHeight="1">
      <c r="A107" s="18" t="s">
        <v>842</v>
      </c>
      <c r="B107" s="19" t="s">
        <v>828</v>
      </c>
      <c r="C107" s="20"/>
      <c r="D107" s="18" t="s">
        <v>844</v>
      </c>
      <c r="E107" s="19" t="s">
        <v>1533</v>
      </c>
      <c r="F107" s="20"/>
      <c r="G107" s="18" t="s">
        <v>664</v>
      </c>
      <c r="H107" s="19" t="s">
        <v>1296</v>
      </c>
      <c r="I107" s="20"/>
      <c r="J107" s="18" t="s">
        <v>666</v>
      </c>
      <c r="K107" s="19" t="s">
        <v>1922</v>
      </c>
      <c r="L107" s="20"/>
      <c r="M107" s="18" t="s">
        <v>845</v>
      </c>
      <c r="N107" s="19" t="s">
        <v>764</v>
      </c>
      <c r="O107" s="20"/>
    </row>
    <row r="108" ht="180.0" customHeight="1">
      <c r="A108" s="21" t="str">
        <f>IMAGE("https://assets.tcgdex.net/de/sv/sv06/131/low.jpg", 1)</f>
        <v/>
      </c>
      <c r="B108" s="22"/>
      <c r="C108" s="20"/>
      <c r="D108" s="21" t="str">
        <f>IMAGE("https://assets.tcgdex.net/de/sv/sv06/132/low.jpg", 1)</f>
        <v/>
      </c>
      <c r="E108" s="22"/>
      <c r="F108" s="20"/>
      <c r="G108" s="21" t="str">
        <f>IMAGE("https://assets.tcgdex.net/de/sv/sv06/133/low.jpg", 1)</f>
        <v/>
      </c>
      <c r="H108" s="22"/>
      <c r="I108" s="20"/>
      <c r="J108" s="21" t="str">
        <f>IMAGE("https://assets.tcgdex.net/de/sv/sv06/134/low.jpg", 1)</f>
        <v/>
      </c>
      <c r="K108" s="22"/>
      <c r="L108" s="20"/>
      <c r="M108" s="21" t="str">
        <f>IMAGE("https://assets.tcgdex.net/de/sv/sv06/135/low.jpg", 1)</f>
        <v/>
      </c>
      <c r="N108" s="22"/>
      <c r="O108" s="20"/>
    </row>
    <row r="109" ht="22.5" customHeight="1">
      <c r="A109" s="23" t="b">
        <v>0</v>
      </c>
      <c r="B109" s="24" t="b">
        <v>0</v>
      </c>
      <c r="C109" s="25" t="str">
        <f>HYPERLINK("https://www.cardmarket.com/en/Pokemon/Products/Singles?idCategory=1&amp;idProduct=sv6-131", "CM")</f>
        <v>CM</v>
      </c>
      <c r="D109" s="23" t="b">
        <v>0</v>
      </c>
      <c r="E109" s="24" t="b">
        <v>0</v>
      </c>
      <c r="F109" s="25" t="str">
        <f>HYPERLINK("https://www.cardmarket.com/en/Pokemon/Products/Singles?idCategory=1&amp;idProduct=sv6-132", "CM")</f>
        <v>CM</v>
      </c>
      <c r="G109" s="23" t="b">
        <v>0</v>
      </c>
      <c r="H109" s="24" t="b">
        <v>0</v>
      </c>
      <c r="I109" s="25" t="str">
        <f>HYPERLINK("https://www.cardmarket.com/en/Pokemon/Products/Singles?idCategory=1&amp;idProduct=sv6-133", "CM")</f>
        <v>CM</v>
      </c>
      <c r="J109" s="23" t="b">
        <v>0</v>
      </c>
      <c r="K109" s="24" t="b">
        <v>0</v>
      </c>
      <c r="L109" s="25" t="str">
        <f>HYPERLINK("https://www.cardmarket.com/en/Pokemon/Products/Singles?idCategory=1&amp;idProduct=sv6-134", "CM")</f>
        <v>CM</v>
      </c>
      <c r="M109" s="23" t="b">
        <v>0</v>
      </c>
      <c r="N109" s="24" t="b">
        <v>0</v>
      </c>
      <c r="O109" s="25" t="str">
        <f>HYPERLINK("https://www.cardmarket.com/en/Pokemon/Products/Singles?idCategory=1&amp;idProduct=sv6-135", "CM")</f>
        <v>CM</v>
      </c>
    </row>
    <row r="110" ht="7.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</row>
    <row r="111" ht="18.75" customHeight="1">
      <c r="A111" s="18" t="s">
        <v>668</v>
      </c>
      <c r="B111" s="19" t="s">
        <v>777</v>
      </c>
      <c r="C111" s="20"/>
      <c r="D111" s="18" t="s">
        <v>670</v>
      </c>
      <c r="E111" s="19" t="s">
        <v>1681</v>
      </c>
      <c r="F111" s="20"/>
      <c r="G111" s="18" t="s">
        <v>672</v>
      </c>
      <c r="H111" s="19" t="s">
        <v>1682</v>
      </c>
      <c r="I111" s="20"/>
      <c r="J111" s="18" t="s">
        <v>674</v>
      </c>
      <c r="K111" s="19" t="s">
        <v>1923</v>
      </c>
      <c r="L111" s="20"/>
      <c r="M111" s="18" t="s">
        <v>847</v>
      </c>
      <c r="N111" s="19" t="s">
        <v>1924</v>
      </c>
      <c r="O111" s="20"/>
    </row>
    <row r="112" ht="180.0" customHeight="1">
      <c r="A112" s="21" t="str">
        <f>IMAGE("https://assets.tcgdex.net/de/sv/sv06/136/low.jpg", 1)</f>
        <v/>
      </c>
      <c r="B112" s="22"/>
      <c r="C112" s="20"/>
      <c r="D112" s="21" t="str">
        <f>IMAGE("https://assets.tcgdex.net/de/sv/sv06/137/low.jpg", 1)</f>
        <v/>
      </c>
      <c r="E112" s="22"/>
      <c r="F112" s="20"/>
      <c r="G112" s="21" t="str">
        <f>IMAGE("https://assets.tcgdex.net/de/sv/sv06/138/low.jpg", 1)</f>
        <v/>
      </c>
      <c r="H112" s="22"/>
      <c r="I112" s="20"/>
      <c r="J112" s="21" t="str">
        <f>IMAGE("https://assets.tcgdex.net/de/sv/sv06/139/low.jpg", 1)</f>
        <v/>
      </c>
      <c r="K112" s="22"/>
      <c r="L112" s="20"/>
      <c r="M112" s="21" t="str">
        <f>IMAGE("https://assets.tcgdex.net/de/sv/sv06/140/low.jpg", 1)</f>
        <v/>
      </c>
      <c r="N112" s="22"/>
      <c r="O112" s="20"/>
    </row>
    <row r="113" ht="22.5" customHeight="1">
      <c r="A113" s="23" t="b">
        <v>0</v>
      </c>
      <c r="B113" s="24" t="b">
        <v>0</v>
      </c>
      <c r="C113" s="25" t="str">
        <f>HYPERLINK("https://www.cardmarket.com/en/Pokemon/Products/Singles?idCategory=1&amp;idProduct=sv6-136", "CM")</f>
        <v>CM</v>
      </c>
      <c r="D113" s="23" t="b">
        <v>0</v>
      </c>
      <c r="E113" s="24" t="b">
        <v>0</v>
      </c>
      <c r="F113" s="25" t="str">
        <f>HYPERLINK("https://www.cardmarket.com/en/Pokemon/Products/Singles?idCategory=1&amp;idProduct=sv6-137", "CM")</f>
        <v>CM</v>
      </c>
      <c r="G113" s="23" t="b">
        <v>0</v>
      </c>
      <c r="H113" s="24" t="b">
        <v>0</v>
      </c>
      <c r="I113" s="25" t="str">
        <f>HYPERLINK("https://www.cardmarket.com/en/Pokemon/Products/Singles?idCategory=1&amp;idProduct=sv6-138", "CM")</f>
        <v>CM</v>
      </c>
      <c r="J113" s="23" t="b">
        <v>0</v>
      </c>
      <c r="K113" s="24" t="b">
        <v>0</v>
      </c>
      <c r="L113" s="25" t="str">
        <f>HYPERLINK("https://www.cardmarket.com/en/Pokemon/Products/Singles?idCategory=1&amp;idProduct=sv6-139", "CM")</f>
        <v>CM</v>
      </c>
      <c r="M113" s="23" t="b">
        <v>0</v>
      </c>
      <c r="N113" s="24" t="b">
        <v>0</v>
      </c>
      <c r="O113" s="25" t="str">
        <f>HYPERLINK("https://www.cardmarket.com/en/Pokemon/Products/Singles?idCategory=1&amp;idProduct=sv6-140", "CM")</f>
        <v>CM</v>
      </c>
    </row>
    <row r="114" ht="7.5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</row>
    <row r="115" ht="18.75" customHeight="1">
      <c r="A115" s="18" t="s">
        <v>848</v>
      </c>
      <c r="B115" s="19" t="s">
        <v>885</v>
      </c>
      <c r="C115" s="20"/>
      <c r="D115" s="18" t="s">
        <v>676</v>
      </c>
      <c r="E115" s="19" t="s">
        <v>1925</v>
      </c>
      <c r="F115" s="20"/>
      <c r="G115" s="18" t="s">
        <v>678</v>
      </c>
      <c r="H115" s="19" t="s">
        <v>1926</v>
      </c>
      <c r="I115" s="20"/>
      <c r="J115" s="18" t="s">
        <v>679</v>
      </c>
      <c r="K115" s="19" t="s">
        <v>1927</v>
      </c>
      <c r="L115" s="20"/>
      <c r="M115" s="18" t="s">
        <v>850</v>
      </c>
      <c r="N115" s="19" t="s">
        <v>1928</v>
      </c>
      <c r="O115" s="20"/>
    </row>
    <row r="116" ht="180.0" customHeight="1">
      <c r="A116" s="21" t="str">
        <f>IMAGE("https://assets.tcgdex.net/de/sv/sv06/141/low.jpg", 1)</f>
        <v/>
      </c>
      <c r="B116" s="22"/>
      <c r="C116" s="20"/>
      <c r="D116" s="21" t="str">
        <f>IMAGE("https://assets.tcgdex.net/de/sv/sv06/142/low.jpg", 1)</f>
        <v/>
      </c>
      <c r="E116" s="22"/>
      <c r="F116" s="20"/>
      <c r="G116" s="21" t="str">
        <f>IMAGE("https://assets.tcgdex.net/de/sv/sv06/143/low.jpg", 1)</f>
        <v/>
      </c>
      <c r="H116" s="22"/>
      <c r="I116" s="20"/>
      <c r="J116" s="21" t="str">
        <f>IMAGE("https://assets.tcgdex.net/de/sv/sv06/144/low.jpg", 1)</f>
        <v/>
      </c>
      <c r="K116" s="22"/>
      <c r="L116" s="20"/>
      <c r="M116" s="21" t="str">
        <f>IMAGE("https://assets.tcgdex.net/de/sv/sv06/145/low.jpg", 1)</f>
        <v/>
      </c>
      <c r="N116" s="22"/>
      <c r="O116" s="20"/>
    </row>
    <row r="117" ht="22.5" customHeight="1">
      <c r="A117" s="23" t="b">
        <v>0</v>
      </c>
      <c r="B117" s="24" t="b">
        <v>0</v>
      </c>
      <c r="C117" s="25" t="str">
        <f>HYPERLINK("https://www.cardmarket.com/en/Pokemon/Products/Singles?idCategory=1&amp;idProduct=sv6-141", "CM")</f>
        <v>CM</v>
      </c>
      <c r="D117" s="23" t="b">
        <v>0</v>
      </c>
      <c r="E117" s="24" t="b">
        <v>0</v>
      </c>
      <c r="F117" s="25" t="str">
        <f>HYPERLINK("https://www.cardmarket.com/en/Pokemon/Products/Singles?idCategory=1&amp;idProduct=sv6-142", "CM")</f>
        <v>CM</v>
      </c>
      <c r="G117" s="23" t="b">
        <v>0</v>
      </c>
      <c r="H117" s="24" t="b">
        <v>0</v>
      </c>
      <c r="I117" s="25" t="str">
        <f>HYPERLINK("https://www.cardmarket.com/en/Pokemon/Products/Singles?idCategory=1&amp;idProduct=sv6-143", "CM")</f>
        <v>CM</v>
      </c>
      <c r="J117" s="23" t="b">
        <v>0</v>
      </c>
      <c r="K117" s="24" t="b">
        <v>0</v>
      </c>
      <c r="L117" s="25" t="str">
        <f>HYPERLINK("https://www.cardmarket.com/en/Pokemon/Products/Singles?idCategory=1&amp;idProduct=sv6-144", "CM")</f>
        <v>CM</v>
      </c>
      <c r="M117" s="23" t="b">
        <v>0</v>
      </c>
      <c r="N117" s="24" t="b">
        <v>0</v>
      </c>
      <c r="O117" s="25" t="str">
        <f>HYPERLINK("https://www.cardmarket.com/en/Pokemon/Products/Singles?idCategory=1&amp;idProduct=sv6-145", "CM")</f>
        <v>CM</v>
      </c>
    </row>
    <row r="118" ht="7.5" customHeigh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</row>
    <row r="119" ht="18.75" customHeight="1">
      <c r="A119" s="18" t="s">
        <v>681</v>
      </c>
      <c r="B119" s="19" t="s">
        <v>1929</v>
      </c>
      <c r="C119" s="20"/>
      <c r="D119" s="18" t="s">
        <v>683</v>
      </c>
      <c r="E119" s="19" t="s">
        <v>1930</v>
      </c>
      <c r="F119" s="20"/>
      <c r="G119" s="18" t="s">
        <v>685</v>
      </c>
      <c r="H119" s="19" t="s">
        <v>1931</v>
      </c>
      <c r="I119" s="20"/>
      <c r="J119" s="18" t="s">
        <v>852</v>
      </c>
      <c r="K119" s="19" t="s">
        <v>1932</v>
      </c>
      <c r="L119" s="20"/>
      <c r="M119" s="18" t="s">
        <v>686</v>
      </c>
      <c r="N119" s="19" t="s">
        <v>1933</v>
      </c>
      <c r="O119" s="20"/>
    </row>
    <row r="120" ht="180.0" customHeight="1">
      <c r="A120" s="21" t="str">
        <f>IMAGE("https://assets.tcgdex.net/de/sv/sv06/146/low.jpg", 1)</f>
        <v/>
      </c>
      <c r="B120" s="22"/>
      <c r="C120" s="20"/>
      <c r="D120" s="21" t="str">
        <f>IMAGE("https://assets.tcgdex.net/de/sv/sv06/147/low.jpg", 1)</f>
        <v/>
      </c>
      <c r="E120" s="22"/>
      <c r="F120" s="20"/>
      <c r="G120" s="21" t="str">
        <f>IMAGE("https://assets.tcgdex.net/de/sv/sv06/148/low.jpg", 1)</f>
        <v/>
      </c>
      <c r="H120" s="22"/>
      <c r="I120" s="20"/>
      <c r="J120" s="21" t="str">
        <f>IMAGE("https://assets.tcgdex.net/de/sv/sv06/149/low.jpg", 1)</f>
        <v/>
      </c>
      <c r="K120" s="22"/>
      <c r="L120" s="20"/>
      <c r="M120" s="21" t="str">
        <f>IMAGE("https://assets.tcgdex.net/de/sv/sv06/150/low.jpg", 1)</f>
        <v/>
      </c>
      <c r="N120" s="22"/>
      <c r="O120" s="20"/>
    </row>
    <row r="121" ht="22.5" customHeight="1">
      <c r="A121" s="23" t="b">
        <v>0</v>
      </c>
      <c r="B121" s="24" t="b">
        <v>0</v>
      </c>
      <c r="C121" s="25" t="str">
        <f>HYPERLINK("https://www.cardmarket.com/en/Pokemon/Products/Singles?idCategory=1&amp;idProduct=sv6-146", "CM")</f>
        <v>CM</v>
      </c>
      <c r="D121" s="23" t="b">
        <v>0</v>
      </c>
      <c r="E121" s="24" t="b">
        <v>0</v>
      </c>
      <c r="F121" s="25" t="str">
        <f>HYPERLINK("https://www.cardmarket.com/en/Pokemon/Products/Singles?idCategory=1&amp;idProduct=sv6-147", "CM")</f>
        <v>CM</v>
      </c>
      <c r="G121" s="23" t="b">
        <v>0</v>
      </c>
      <c r="H121" s="24" t="b">
        <v>0</v>
      </c>
      <c r="I121" s="25" t="str">
        <f>HYPERLINK("https://www.cardmarket.com/en/Pokemon/Products/Singles?idCategory=1&amp;idProduct=sv6-148", "CM")</f>
        <v>CM</v>
      </c>
      <c r="J121" s="23" t="b">
        <v>0</v>
      </c>
      <c r="K121" s="24" t="b">
        <v>0</v>
      </c>
      <c r="L121" s="25" t="str">
        <f>HYPERLINK("https://www.cardmarket.com/en/Pokemon/Products/Singles?idCategory=1&amp;idProduct=sv6-149", "CM")</f>
        <v>CM</v>
      </c>
      <c r="M121" s="23" t="b">
        <v>0</v>
      </c>
      <c r="N121" s="24" t="b">
        <v>0</v>
      </c>
      <c r="O121" s="25" t="str">
        <f>HYPERLINK("https://www.cardmarket.com/en/Pokemon/Products/Singles?idCategory=1&amp;idProduct=sv6-150", "CM")</f>
        <v>CM</v>
      </c>
    </row>
    <row r="122" ht="7.5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</row>
    <row r="123" ht="18.75" customHeight="1">
      <c r="A123" s="18" t="s">
        <v>853</v>
      </c>
      <c r="B123" s="19" t="s">
        <v>1934</v>
      </c>
      <c r="C123" s="20"/>
      <c r="D123" s="18" t="s">
        <v>855</v>
      </c>
      <c r="E123" s="19" t="s">
        <v>1935</v>
      </c>
      <c r="F123" s="20"/>
      <c r="G123" s="18" t="s">
        <v>687</v>
      </c>
      <c r="H123" s="19" t="s">
        <v>1936</v>
      </c>
      <c r="I123" s="20"/>
      <c r="J123" s="18" t="s">
        <v>689</v>
      </c>
      <c r="K123" s="19" t="s">
        <v>1937</v>
      </c>
      <c r="L123" s="20"/>
      <c r="M123" s="18" t="s">
        <v>691</v>
      </c>
      <c r="N123" s="19" t="s">
        <v>1938</v>
      </c>
      <c r="O123" s="20"/>
    </row>
    <row r="124" ht="180.0" customHeight="1">
      <c r="A124" s="21" t="str">
        <f>IMAGE("https://assets.tcgdex.net/de/sv/sv06/151/low.jpg", 1)</f>
        <v/>
      </c>
      <c r="B124" s="22"/>
      <c r="C124" s="20"/>
      <c r="D124" s="21" t="str">
        <f>IMAGE("https://assets.tcgdex.net/de/sv/sv06/152/low.jpg", 1)</f>
        <v/>
      </c>
      <c r="E124" s="22"/>
      <c r="F124" s="20"/>
      <c r="G124" s="21" t="str">
        <f>IMAGE("https://assets.tcgdex.net/de/sv/sv06/153/low.jpg", 1)</f>
        <v/>
      </c>
      <c r="H124" s="22"/>
      <c r="I124" s="20"/>
      <c r="J124" s="21" t="str">
        <f>IMAGE("https://assets.tcgdex.net/de/sv/sv06/154/low.jpg", 1)</f>
        <v/>
      </c>
      <c r="K124" s="22"/>
      <c r="L124" s="20"/>
      <c r="M124" s="21" t="str">
        <f>IMAGE("https://assets.tcgdex.net/de/sv/sv06/155/low.jpg", 1)</f>
        <v/>
      </c>
      <c r="N124" s="22"/>
      <c r="O124" s="20"/>
    </row>
    <row r="125" ht="22.5" customHeight="1">
      <c r="A125" s="23" t="b">
        <v>0</v>
      </c>
      <c r="B125" s="24" t="b">
        <v>0</v>
      </c>
      <c r="C125" s="25" t="str">
        <f>HYPERLINK("https://www.cardmarket.com/en/Pokemon/Products/Singles?idCategory=1&amp;idProduct=sv6-151", "CM")</f>
        <v>CM</v>
      </c>
      <c r="D125" s="23" t="b">
        <v>0</v>
      </c>
      <c r="E125" s="24" t="b">
        <v>0</v>
      </c>
      <c r="F125" s="25" t="str">
        <f>HYPERLINK("https://www.cardmarket.com/en/Pokemon/Products/Singles?idCategory=1&amp;idProduct=sv6-152", "CM")</f>
        <v>CM</v>
      </c>
      <c r="G125" s="23" t="b">
        <v>0</v>
      </c>
      <c r="H125" s="24" t="b">
        <v>0</v>
      </c>
      <c r="I125" s="25" t="str">
        <f>HYPERLINK("https://www.cardmarket.com/en/Pokemon/Products/Singles?idCategory=1&amp;idProduct=sv6-153", "CM")</f>
        <v>CM</v>
      </c>
      <c r="J125" s="23" t="b">
        <v>0</v>
      </c>
      <c r="K125" s="24" t="b">
        <v>0</v>
      </c>
      <c r="L125" s="25" t="str">
        <f>HYPERLINK("https://www.cardmarket.com/en/Pokemon/Products/Singles?idCategory=1&amp;idProduct=sv6-154", "CM")</f>
        <v>CM</v>
      </c>
      <c r="M125" s="23" t="b">
        <v>0</v>
      </c>
      <c r="N125" s="24" t="b">
        <v>0</v>
      </c>
      <c r="O125" s="25" t="str">
        <f>HYPERLINK("https://www.cardmarket.com/en/Pokemon/Products/Singles?idCategory=1&amp;idProduct=sv6-155", "CM")</f>
        <v>CM</v>
      </c>
    </row>
    <row r="126" ht="7.5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</row>
    <row r="127" ht="18.75" customHeight="1">
      <c r="A127" s="18" t="s">
        <v>857</v>
      </c>
      <c r="B127" s="19" t="s">
        <v>1939</v>
      </c>
      <c r="C127" s="20"/>
      <c r="D127" s="18" t="s">
        <v>859</v>
      </c>
      <c r="E127" s="19" t="s">
        <v>1940</v>
      </c>
      <c r="F127" s="20"/>
      <c r="G127" s="18" t="s">
        <v>693</v>
      </c>
      <c r="H127" s="19" t="s">
        <v>1941</v>
      </c>
      <c r="I127" s="20"/>
      <c r="J127" s="18" t="s">
        <v>861</v>
      </c>
      <c r="K127" s="19" t="s">
        <v>1942</v>
      </c>
      <c r="L127" s="20"/>
      <c r="M127" s="18" t="s">
        <v>695</v>
      </c>
      <c r="N127" s="19" t="s">
        <v>1943</v>
      </c>
      <c r="O127" s="20"/>
    </row>
    <row r="128" ht="180.0" customHeight="1">
      <c r="A128" s="21" t="str">
        <f>IMAGE("https://assets.tcgdex.net/de/sv/sv06/156/low.jpg", 1)</f>
        <v/>
      </c>
      <c r="B128" s="22"/>
      <c r="C128" s="20"/>
      <c r="D128" s="21" t="str">
        <f>IMAGE("https://assets.tcgdex.net/de/sv/sv06/157/low.jpg", 1)</f>
        <v/>
      </c>
      <c r="E128" s="22"/>
      <c r="F128" s="20"/>
      <c r="G128" s="21" t="str">
        <f>IMAGE("https://assets.tcgdex.net/de/sv/sv06/158/low.jpg", 1)</f>
        <v/>
      </c>
      <c r="H128" s="22"/>
      <c r="I128" s="20"/>
      <c r="J128" s="21" t="str">
        <f>IMAGE("https://assets.tcgdex.net/de/sv/sv06/159/low.jpg", 1)</f>
        <v/>
      </c>
      <c r="K128" s="22"/>
      <c r="L128" s="20"/>
      <c r="M128" s="21" t="str">
        <f>IMAGE("https://assets.tcgdex.net/de/sv/sv06/160/low.jpg", 1)</f>
        <v/>
      </c>
      <c r="N128" s="22"/>
      <c r="O128" s="20"/>
    </row>
    <row r="129" ht="22.5" customHeight="1">
      <c r="A129" s="23" t="b">
        <v>0</v>
      </c>
      <c r="B129" s="24" t="b">
        <v>0</v>
      </c>
      <c r="C129" s="25" t="str">
        <f>HYPERLINK("https://www.cardmarket.com/en/Pokemon/Products/Singles?idCategory=1&amp;idProduct=sv6-156", "CM")</f>
        <v>CM</v>
      </c>
      <c r="D129" s="23" t="b">
        <v>0</v>
      </c>
      <c r="E129" s="24" t="b">
        <v>0</v>
      </c>
      <c r="F129" s="25" t="str">
        <f>HYPERLINK("https://www.cardmarket.com/en/Pokemon/Products/Singles?idCategory=1&amp;idProduct=sv6-157", "CM")</f>
        <v>CM</v>
      </c>
      <c r="G129" s="23" t="b">
        <v>0</v>
      </c>
      <c r="H129" s="24" t="b">
        <v>0</v>
      </c>
      <c r="I129" s="25" t="str">
        <f>HYPERLINK("https://www.cardmarket.com/en/Pokemon/Products/Singles?idCategory=1&amp;idProduct=sv6-158", "CM")</f>
        <v>CM</v>
      </c>
      <c r="J129" s="23" t="b">
        <v>0</v>
      </c>
      <c r="K129" s="24" t="b">
        <v>0</v>
      </c>
      <c r="L129" s="25" t="str">
        <f>HYPERLINK("https://www.cardmarket.com/en/Pokemon/Products/Singles?idCategory=1&amp;idProduct=sv6-159", "CM")</f>
        <v>CM</v>
      </c>
      <c r="M129" s="23" t="b">
        <v>0</v>
      </c>
      <c r="N129" s="24" t="b">
        <v>0</v>
      </c>
      <c r="O129" s="25" t="str">
        <f>HYPERLINK("https://www.cardmarket.com/en/Pokemon/Products/Singles?idCategory=1&amp;idProduct=sv6-160", "CM")</f>
        <v>CM</v>
      </c>
    </row>
    <row r="130" ht="7.5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</row>
    <row r="131" ht="18.75" customHeight="1">
      <c r="A131" s="18" t="s">
        <v>862</v>
      </c>
      <c r="B131" s="19" t="s">
        <v>1944</v>
      </c>
      <c r="C131" s="20"/>
      <c r="D131" s="18" t="s">
        <v>697</v>
      </c>
      <c r="E131" s="19" t="s">
        <v>1945</v>
      </c>
      <c r="F131" s="20"/>
      <c r="G131" s="18" t="s">
        <v>863</v>
      </c>
      <c r="H131" s="19" t="s">
        <v>1946</v>
      </c>
      <c r="I131" s="20"/>
      <c r="J131" s="18" t="s">
        <v>865</v>
      </c>
      <c r="K131" s="19" t="s">
        <v>1947</v>
      </c>
      <c r="L131" s="20"/>
      <c r="M131" s="18" t="s">
        <v>867</v>
      </c>
      <c r="N131" s="19" t="s">
        <v>1948</v>
      </c>
      <c r="O131" s="20"/>
    </row>
    <row r="132" ht="180.0" customHeight="1">
      <c r="A132" s="21" t="str">
        <f>IMAGE("https://assets.tcgdex.net/de/sv/sv06/161/low.jpg", 1)</f>
        <v/>
      </c>
      <c r="B132" s="22"/>
      <c r="C132" s="20"/>
      <c r="D132" s="21" t="str">
        <f>IMAGE("https://assets.tcgdex.net/de/sv/sv06/162/low.jpg", 1)</f>
        <v/>
      </c>
      <c r="E132" s="22"/>
      <c r="F132" s="20"/>
      <c r="G132" s="21" t="str">
        <f>IMAGE("https://assets.tcgdex.net/de/sv/sv06/163/low.jpg", 1)</f>
        <v/>
      </c>
      <c r="H132" s="22"/>
      <c r="I132" s="20"/>
      <c r="J132" s="21" t="str">
        <f>IMAGE("https://assets.tcgdex.net/de/sv/sv06/164/low.jpg", 1)</f>
        <v/>
      </c>
      <c r="K132" s="22"/>
      <c r="L132" s="20"/>
      <c r="M132" s="21" t="str">
        <f>IMAGE("https://assets.tcgdex.net/de/sv/sv06/165/low.jpg", 1)</f>
        <v/>
      </c>
      <c r="N132" s="22"/>
      <c r="O132" s="20"/>
    </row>
    <row r="133" ht="22.5" customHeight="1">
      <c r="A133" s="23" t="b">
        <v>0</v>
      </c>
      <c r="B133" s="24" t="b">
        <v>0</v>
      </c>
      <c r="C133" s="25" t="str">
        <f>HYPERLINK("https://www.cardmarket.com/en/Pokemon/Products/Singles?idCategory=1&amp;idProduct=sv6-161", "CM")</f>
        <v>CM</v>
      </c>
      <c r="D133" s="23" t="b">
        <v>0</v>
      </c>
      <c r="E133" s="24" t="b">
        <v>0</v>
      </c>
      <c r="F133" s="25" t="str">
        <f>HYPERLINK("https://www.cardmarket.com/en/Pokemon/Products/Singles?idCategory=1&amp;idProduct=sv6-162", "CM")</f>
        <v>CM</v>
      </c>
      <c r="G133" s="23" t="b">
        <v>0</v>
      </c>
      <c r="H133" s="24" t="b">
        <v>0</v>
      </c>
      <c r="I133" s="25" t="str">
        <f>HYPERLINK("https://www.cardmarket.com/en/Pokemon/Products/Singles?idCategory=1&amp;idProduct=sv6-163", "CM")</f>
        <v>CM</v>
      </c>
      <c r="J133" s="23" t="b">
        <v>0</v>
      </c>
      <c r="K133" s="24" t="b">
        <v>0</v>
      </c>
      <c r="L133" s="25" t="str">
        <f>HYPERLINK("https://www.cardmarket.com/en/Pokemon/Products/Singles?idCategory=1&amp;idProduct=sv6-164", "CM")</f>
        <v>CM</v>
      </c>
      <c r="M133" s="23" t="b">
        <v>0</v>
      </c>
      <c r="N133" s="24" t="b">
        <v>0</v>
      </c>
      <c r="O133" s="25" t="str">
        <f>HYPERLINK("https://www.cardmarket.com/en/Pokemon/Products/Singles?idCategory=1&amp;idProduct=sv6-165", "CM")</f>
        <v>CM</v>
      </c>
    </row>
    <row r="134" ht="7.5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</row>
    <row r="135" ht="18.75" customHeight="1">
      <c r="A135" s="18" t="s">
        <v>869</v>
      </c>
      <c r="B135" s="19" t="s">
        <v>1949</v>
      </c>
      <c r="C135" s="20"/>
      <c r="D135" s="18" t="s">
        <v>871</v>
      </c>
      <c r="E135" s="19" t="s">
        <v>1950</v>
      </c>
      <c r="F135" s="20"/>
      <c r="G135" s="18" t="s">
        <v>873</v>
      </c>
      <c r="H135" s="19" t="s">
        <v>1564</v>
      </c>
      <c r="I135" s="20"/>
      <c r="J135" s="18" t="s">
        <v>875</v>
      </c>
      <c r="K135" s="19" t="s">
        <v>1874</v>
      </c>
      <c r="L135" s="20"/>
      <c r="M135" s="18" t="s">
        <v>877</v>
      </c>
      <c r="N135" s="19" t="s">
        <v>1880</v>
      </c>
      <c r="O135" s="20"/>
    </row>
    <row r="136" ht="180.0" customHeight="1">
      <c r="A136" s="21" t="str">
        <f>IMAGE("https://assets.tcgdex.net/de/sv/sv06/166/low.jpg", 1)</f>
        <v/>
      </c>
      <c r="B136" s="22"/>
      <c r="C136" s="20"/>
      <c r="D136" s="21" t="str">
        <f>IMAGE("https://assets.tcgdex.net/de/sv/sv06/167/low.jpg", 1)</f>
        <v/>
      </c>
      <c r="E136" s="22"/>
      <c r="F136" s="20"/>
      <c r="G136" s="21" t="str">
        <f>IMAGE("https://assets.tcgdex.net/de/sv/sv06/168/low.jpg", 1)</f>
        <v/>
      </c>
      <c r="H136" s="22"/>
      <c r="I136" s="20"/>
      <c r="J136" s="21" t="str">
        <f>IMAGE("https://assets.tcgdex.net/de/sv/sv06/169/low.jpg", 1)</f>
        <v/>
      </c>
      <c r="K136" s="22"/>
      <c r="L136" s="20"/>
      <c r="M136" s="21" t="str">
        <f>IMAGE("https://assets.tcgdex.net/de/sv/sv06/170/low.jpg", 1)</f>
        <v/>
      </c>
      <c r="N136" s="22"/>
      <c r="O136" s="20"/>
    </row>
    <row r="137" ht="22.5" customHeight="1">
      <c r="A137" s="23" t="b">
        <v>0</v>
      </c>
      <c r="B137" s="24" t="b">
        <v>0</v>
      </c>
      <c r="C137" s="25" t="str">
        <f>HYPERLINK("https://www.cardmarket.com/en/Pokemon/Products/Singles?idCategory=1&amp;idProduct=sv6-166", "CM")</f>
        <v>CM</v>
      </c>
      <c r="D137" s="23" t="b">
        <v>0</v>
      </c>
      <c r="E137" s="24" t="b">
        <v>0</v>
      </c>
      <c r="F137" s="25" t="str">
        <f>HYPERLINK("https://www.cardmarket.com/en/Pokemon/Products/Singles?idCategory=1&amp;idProduct=sv6-167", "CM")</f>
        <v>CM</v>
      </c>
      <c r="G137" s="23" t="b">
        <v>0</v>
      </c>
      <c r="H137" s="24" t="b">
        <v>0</v>
      </c>
      <c r="I137" s="25" t="str">
        <f>HYPERLINK("https://www.cardmarket.com/en/Pokemon/Products/Singles?idCategory=1&amp;idProduct=sv6-168", "CM")</f>
        <v>CM</v>
      </c>
      <c r="J137" s="23" t="b">
        <v>0</v>
      </c>
      <c r="K137" s="24" t="b">
        <v>0</v>
      </c>
      <c r="L137" s="25" t="str">
        <f>HYPERLINK("https://www.cardmarket.com/en/Pokemon/Products/Singles?idCategory=1&amp;idProduct=sv6-169", "CM")</f>
        <v>CM</v>
      </c>
      <c r="M137" s="23" t="b">
        <v>0</v>
      </c>
      <c r="N137" s="24" t="b">
        <v>0</v>
      </c>
      <c r="O137" s="25" t="str">
        <f>HYPERLINK("https://www.cardmarket.com/en/Pokemon/Products/Singles?idCategory=1&amp;idProduct=sv6-170", "CM")</f>
        <v>CM</v>
      </c>
    </row>
    <row r="138" ht="7.5" customHeight="1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</row>
    <row r="139" ht="18.75" customHeight="1">
      <c r="A139" s="18" t="s">
        <v>879</v>
      </c>
      <c r="B139" s="19" t="s">
        <v>1882</v>
      </c>
      <c r="C139" s="20"/>
      <c r="D139" s="18" t="s">
        <v>881</v>
      </c>
      <c r="E139" s="19" t="s">
        <v>1256</v>
      </c>
      <c r="F139" s="20"/>
      <c r="G139" s="18" t="s">
        <v>883</v>
      </c>
      <c r="H139" s="19" t="s">
        <v>826</v>
      </c>
      <c r="I139" s="20"/>
      <c r="J139" s="18" t="s">
        <v>699</v>
      </c>
      <c r="K139" s="19" t="s">
        <v>656</v>
      </c>
      <c r="L139" s="20"/>
      <c r="M139" s="18" t="s">
        <v>1304</v>
      </c>
      <c r="N139" s="19" t="s">
        <v>1892</v>
      </c>
      <c r="O139" s="20"/>
    </row>
    <row r="140" ht="180.0" customHeight="1">
      <c r="A140" s="21" t="str">
        <f>IMAGE("https://assets.tcgdex.net/de/sv/sv06/171/low.jpg", 1)</f>
        <v/>
      </c>
      <c r="B140" s="22"/>
      <c r="C140" s="20"/>
      <c r="D140" s="21" t="str">
        <f>IMAGE("https://assets.tcgdex.net/de/sv/sv06/172/low.jpg", 1)</f>
        <v/>
      </c>
      <c r="E140" s="22"/>
      <c r="F140" s="20"/>
      <c r="G140" s="21" t="str">
        <f>IMAGE("https://assets.tcgdex.net/de/sv/sv06/173/low.jpg", 1)</f>
        <v/>
      </c>
      <c r="H140" s="22"/>
      <c r="I140" s="20"/>
      <c r="J140" s="21" t="str">
        <f>IMAGE("https://assets.tcgdex.net/de/sv/sv06/174/low.jpg", 1)</f>
        <v/>
      </c>
      <c r="K140" s="22"/>
      <c r="L140" s="20"/>
      <c r="M140" s="21" t="str">
        <f>IMAGE("https://assets.tcgdex.net/de/sv/sv06/175/low.jpg", 1)</f>
        <v/>
      </c>
      <c r="N140" s="22"/>
      <c r="O140" s="20"/>
    </row>
    <row r="141" ht="22.5" customHeight="1">
      <c r="A141" s="23" t="b">
        <v>0</v>
      </c>
      <c r="B141" s="24" t="b">
        <v>0</v>
      </c>
      <c r="C141" s="25" t="str">
        <f>HYPERLINK("https://www.cardmarket.com/en/Pokemon/Products/Singles?idCategory=1&amp;idProduct=sv6-171", "CM")</f>
        <v>CM</v>
      </c>
      <c r="D141" s="23" t="b">
        <v>0</v>
      </c>
      <c r="E141" s="24" t="b">
        <v>0</v>
      </c>
      <c r="F141" s="25" t="str">
        <f>HYPERLINK("https://www.cardmarket.com/en/Pokemon/Products/Singles?idCategory=1&amp;idProduct=sv6-172", "CM")</f>
        <v>CM</v>
      </c>
      <c r="G141" s="23" t="b">
        <v>0</v>
      </c>
      <c r="H141" s="24" t="b">
        <v>0</v>
      </c>
      <c r="I141" s="25" t="str">
        <f>HYPERLINK("https://www.cardmarket.com/en/Pokemon/Products/Singles?idCategory=1&amp;idProduct=sv6-173", "CM")</f>
        <v>CM</v>
      </c>
      <c r="J141" s="23" t="b">
        <v>0</v>
      </c>
      <c r="K141" s="24" t="b">
        <v>0</v>
      </c>
      <c r="L141" s="25" t="str">
        <f>HYPERLINK("https://www.cardmarket.com/en/Pokemon/Products/Singles?idCategory=1&amp;idProduct=sv6-174", "CM")</f>
        <v>CM</v>
      </c>
      <c r="M141" s="23" t="b">
        <v>0</v>
      </c>
      <c r="N141" s="24" t="b">
        <v>0</v>
      </c>
      <c r="O141" s="25" t="str">
        <f>HYPERLINK("https://www.cardmarket.com/en/Pokemon/Products/Singles?idCategory=1&amp;idProduct=sv6-175", "CM")</f>
        <v>CM</v>
      </c>
    </row>
    <row r="142" ht="7.5" customHeight="1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</row>
    <row r="143" ht="18.75" customHeight="1">
      <c r="A143" s="18" t="s">
        <v>1306</v>
      </c>
      <c r="B143" s="19" t="s">
        <v>1893</v>
      </c>
      <c r="C143" s="20"/>
      <c r="D143" s="18" t="s">
        <v>884</v>
      </c>
      <c r="E143" s="19" t="s">
        <v>985</v>
      </c>
      <c r="F143" s="20"/>
      <c r="G143" s="18" t="s">
        <v>701</v>
      </c>
      <c r="H143" s="19" t="s">
        <v>1216</v>
      </c>
      <c r="I143" s="20"/>
      <c r="J143" s="18" t="s">
        <v>703</v>
      </c>
      <c r="K143" s="19" t="s">
        <v>1733</v>
      </c>
      <c r="L143" s="20"/>
      <c r="M143" s="18" t="s">
        <v>886</v>
      </c>
      <c r="N143" s="19" t="s">
        <v>995</v>
      </c>
      <c r="O143" s="20"/>
    </row>
    <row r="144" ht="180.0" customHeight="1">
      <c r="A144" s="21" t="str">
        <f>IMAGE("https://assets.tcgdex.net/de/sv/sv06/176/low.jpg", 1)</f>
        <v/>
      </c>
      <c r="B144" s="22"/>
      <c r="C144" s="20"/>
      <c r="D144" s="21" t="str">
        <f>IMAGE("https://assets.tcgdex.net/de/sv/sv06/177/low.jpg", 1)</f>
        <v/>
      </c>
      <c r="E144" s="22"/>
      <c r="F144" s="20"/>
      <c r="G144" s="21" t="str">
        <f>IMAGE("https://assets.tcgdex.net/de/sv/sv06/178/low.jpg", 1)</f>
        <v/>
      </c>
      <c r="H144" s="22"/>
      <c r="I144" s="20"/>
      <c r="J144" s="21" t="str">
        <f>IMAGE("https://assets.tcgdex.net/de/sv/sv06/179/low.jpg", 1)</f>
        <v/>
      </c>
      <c r="K144" s="22"/>
      <c r="L144" s="20"/>
      <c r="M144" s="21" t="str">
        <f>IMAGE("https://assets.tcgdex.net/de/sv/sv06/180/low.jpg", 1)</f>
        <v/>
      </c>
      <c r="N144" s="22"/>
      <c r="O144" s="20"/>
    </row>
    <row r="145" ht="22.5" customHeight="1">
      <c r="A145" s="23" t="b">
        <v>0</v>
      </c>
      <c r="B145" s="24" t="b">
        <v>0</v>
      </c>
      <c r="C145" s="25" t="str">
        <f>HYPERLINK("https://www.cardmarket.com/en/Pokemon/Products/Singles?idCategory=1&amp;idProduct=sv6-176", "CM")</f>
        <v>CM</v>
      </c>
      <c r="D145" s="23" t="b">
        <v>0</v>
      </c>
      <c r="E145" s="24" t="b">
        <v>0</v>
      </c>
      <c r="F145" s="25" t="str">
        <f>HYPERLINK("https://www.cardmarket.com/en/Pokemon/Products/Singles?idCategory=1&amp;idProduct=sv6-177", "CM")</f>
        <v>CM</v>
      </c>
      <c r="G145" s="23" t="b">
        <v>0</v>
      </c>
      <c r="H145" s="24" t="b">
        <v>0</v>
      </c>
      <c r="I145" s="25" t="str">
        <f>HYPERLINK("https://www.cardmarket.com/en/Pokemon/Products/Singles?idCategory=1&amp;idProduct=sv6-178", "CM")</f>
        <v>CM</v>
      </c>
      <c r="J145" s="23" t="b">
        <v>0</v>
      </c>
      <c r="K145" s="24" t="b">
        <v>0</v>
      </c>
      <c r="L145" s="25" t="str">
        <f>HYPERLINK("https://www.cardmarket.com/en/Pokemon/Products/Singles?idCategory=1&amp;idProduct=sv6-179", "CM")</f>
        <v>CM</v>
      </c>
      <c r="M145" s="23" t="b">
        <v>0</v>
      </c>
      <c r="N145" s="24" t="b">
        <v>0</v>
      </c>
      <c r="O145" s="25" t="str">
        <f>HYPERLINK("https://www.cardmarket.com/en/Pokemon/Products/Singles?idCategory=1&amp;idProduct=sv6-180", "CM")</f>
        <v>CM</v>
      </c>
    </row>
    <row r="146" ht="7.5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</row>
    <row r="147" ht="18.75" customHeight="1">
      <c r="A147" s="18" t="s">
        <v>888</v>
      </c>
      <c r="B147" s="19" t="s">
        <v>1907</v>
      </c>
      <c r="C147" s="20"/>
      <c r="D147" s="18" t="s">
        <v>705</v>
      </c>
      <c r="E147" s="19" t="s">
        <v>1440</v>
      </c>
      <c r="F147" s="20"/>
      <c r="G147" s="18" t="s">
        <v>890</v>
      </c>
      <c r="H147" s="19" t="s">
        <v>1909</v>
      </c>
      <c r="I147" s="20"/>
      <c r="J147" s="18" t="s">
        <v>707</v>
      </c>
      <c r="K147" s="19" t="s">
        <v>938</v>
      </c>
      <c r="L147" s="20"/>
      <c r="M147" s="18" t="s">
        <v>709</v>
      </c>
      <c r="N147" s="19" t="s">
        <v>1879</v>
      </c>
      <c r="O147" s="20"/>
    </row>
    <row r="148" ht="180.0" customHeight="1">
      <c r="A148" s="21" t="str">
        <f>IMAGE("https://assets.tcgdex.net/de/sv/sv06/181/low.jpg", 1)</f>
        <v/>
      </c>
      <c r="B148" s="22"/>
      <c r="C148" s="20"/>
      <c r="D148" s="21" t="str">
        <f>IMAGE("https://assets.tcgdex.net/de/sv/sv06/182/low.jpg", 1)</f>
        <v/>
      </c>
      <c r="E148" s="22"/>
      <c r="F148" s="20"/>
      <c r="G148" s="21" t="str">
        <f>IMAGE("https://assets.tcgdex.net/de/sv/sv06/183/low.jpg", 1)</f>
        <v/>
      </c>
      <c r="H148" s="22"/>
      <c r="I148" s="20"/>
      <c r="J148" s="21" t="str">
        <f>IMAGE("https://assets.tcgdex.net/de/sv/sv06/184/low.jpg", 1)</f>
        <v/>
      </c>
      <c r="K148" s="22"/>
      <c r="L148" s="20"/>
      <c r="M148" s="21" t="str">
        <f>IMAGE("https://assets.tcgdex.net/de/sv/sv06/185/low.jpg", 1)</f>
        <v/>
      </c>
      <c r="N148" s="22"/>
      <c r="O148" s="20"/>
    </row>
    <row r="149" ht="22.5" customHeight="1">
      <c r="A149" s="23" t="b">
        <v>0</v>
      </c>
      <c r="B149" s="24" t="b">
        <v>0</v>
      </c>
      <c r="C149" s="25" t="str">
        <f>HYPERLINK("https://www.cardmarket.com/en/Pokemon/Products/Singles?idCategory=1&amp;idProduct=sv6-181", "CM")</f>
        <v>CM</v>
      </c>
      <c r="D149" s="23" t="b">
        <v>0</v>
      </c>
      <c r="E149" s="24" t="b">
        <v>0</v>
      </c>
      <c r="F149" s="25" t="str">
        <f>HYPERLINK("https://www.cardmarket.com/en/Pokemon/Products/Singles?idCategory=1&amp;idProduct=sv6-182", "CM")</f>
        <v>CM</v>
      </c>
      <c r="G149" s="23" t="b">
        <v>0</v>
      </c>
      <c r="H149" s="24" t="b">
        <v>0</v>
      </c>
      <c r="I149" s="25" t="str">
        <f>HYPERLINK("https://www.cardmarket.com/en/Pokemon/Products/Singles?idCategory=1&amp;idProduct=sv6-183", "CM")</f>
        <v>CM</v>
      </c>
      <c r="J149" s="23" t="b">
        <v>0</v>
      </c>
      <c r="K149" s="24" t="b">
        <v>0</v>
      </c>
      <c r="L149" s="25" t="str">
        <f>HYPERLINK("https://www.cardmarket.com/en/Pokemon/Products/Singles?idCategory=1&amp;idProduct=sv6-184", "CM")</f>
        <v>CM</v>
      </c>
      <c r="M149" s="23" t="b">
        <v>0</v>
      </c>
      <c r="N149" s="24" t="b">
        <v>0</v>
      </c>
      <c r="O149" s="25" t="str">
        <f>HYPERLINK("https://www.cardmarket.com/en/Pokemon/Products/Singles?idCategory=1&amp;idProduct=sv6-185", "CM")</f>
        <v>CM</v>
      </c>
    </row>
    <row r="150" ht="7.5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</row>
    <row r="151" ht="18.75" customHeight="1">
      <c r="A151" s="18" t="s">
        <v>711</v>
      </c>
      <c r="B151" s="19" t="s">
        <v>828</v>
      </c>
      <c r="C151" s="20"/>
      <c r="D151" s="18" t="s">
        <v>892</v>
      </c>
      <c r="E151" s="19" t="s">
        <v>1296</v>
      </c>
      <c r="F151" s="20"/>
      <c r="G151" s="18" t="s">
        <v>894</v>
      </c>
      <c r="H151" s="19" t="s">
        <v>764</v>
      </c>
      <c r="I151" s="20"/>
      <c r="J151" s="18" t="s">
        <v>896</v>
      </c>
      <c r="K151" s="19" t="s">
        <v>1884</v>
      </c>
      <c r="L151" s="20"/>
      <c r="M151" s="18" t="s">
        <v>1312</v>
      </c>
      <c r="N151" s="19" t="s">
        <v>870</v>
      </c>
      <c r="O151" s="20"/>
    </row>
    <row r="152" ht="180.0" customHeight="1">
      <c r="A152" s="21" t="str">
        <f>IMAGE("https://assets.tcgdex.net/de/sv/sv06/186/low.jpg", 1)</f>
        <v/>
      </c>
      <c r="B152" s="22"/>
      <c r="C152" s="20"/>
      <c r="D152" s="21" t="str">
        <f>IMAGE("https://assets.tcgdex.net/de/sv/sv06/187/low.jpg", 1)</f>
        <v/>
      </c>
      <c r="E152" s="22"/>
      <c r="F152" s="20"/>
      <c r="G152" s="21" t="str">
        <f>IMAGE("https://assets.tcgdex.net/de/sv/sv06/188/low.jpg", 1)</f>
        <v/>
      </c>
      <c r="H152" s="22"/>
      <c r="I152" s="20"/>
      <c r="J152" s="21" t="str">
        <f>IMAGE("https://assets.tcgdex.net/de/sv/sv06/189/low.jpg", 1)</f>
        <v/>
      </c>
      <c r="K152" s="22"/>
      <c r="L152" s="20"/>
      <c r="M152" s="21" t="str">
        <f>IMAGE("https://assets.tcgdex.net/de/sv/sv06/190/low.jpg", 1)</f>
        <v/>
      </c>
      <c r="N152" s="22"/>
      <c r="O152" s="20"/>
    </row>
    <row r="153" ht="22.5" customHeight="1">
      <c r="A153" s="23" t="b">
        <v>0</v>
      </c>
      <c r="B153" s="24" t="b">
        <v>0</v>
      </c>
      <c r="C153" s="25" t="str">
        <f>HYPERLINK("https://www.cardmarket.com/en/Pokemon/Products/Singles?idCategory=1&amp;idProduct=sv6-186", "CM")</f>
        <v>CM</v>
      </c>
      <c r="D153" s="23" t="b">
        <v>0</v>
      </c>
      <c r="E153" s="24" t="b">
        <v>0</v>
      </c>
      <c r="F153" s="25" t="str">
        <f>HYPERLINK("https://www.cardmarket.com/en/Pokemon/Products/Singles?idCategory=1&amp;idProduct=sv6-187", "CM")</f>
        <v>CM</v>
      </c>
      <c r="G153" s="23" t="b">
        <v>0</v>
      </c>
      <c r="H153" s="24" t="b">
        <v>0</v>
      </c>
      <c r="I153" s="25" t="str">
        <f>HYPERLINK("https://www.cardmarket.com/en/Pokemon/Products/Singles?idCategory=1&amp;idProduct=sv6-188", "CM")</f>
        <v>CM</v>
      </c>
      <c r="J153" s="23" t="b">
        <v>0</v>
      </c>
      <c r="K153" s="24" t="b">
        <v>0</v>
      </c>
      <c r="L153" s="25" t="str">
        <f>HYPERLINK("https://www.cardmarket.com/en/Pokemon/Products/Singles?idCategory=1&amp;idProduct=sv6-189", "CM")</f>
        <v>CM</v>
      </c>
      <c r="M153" s="23" t="b">
        <v>0</v>
      </c>
      <c r="N153" s="24" t="b">
        <v>0</v>
      </c>
      <c r="O153" s="25" t="str">
        <f>HYPERLINK("https://www.cardmarket.com/en/Pokemon/Products/Singles?idCategory=1&amp;idProduct=sv6-190", "CM")</f>
        <v>CM</v>
      </c>
    </row>
    <row r="154" ht="7.5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</row>
    <row r="155" ht="18.75" customHeight="1">
      <c r="A155" s="18" t="s">
        <v>1240</v>
      </c>
      <c r="B155" s="19" t="s">
        <v>1885</v>
      </c>
      <c r="C155" s="20"/>
      <c r="D155" s="18" t="s">
        <v>1313</v>
      </c>
      <c r="E155" s="19" t="s">
        <v>1888</v>
      </c>
      <c r="F155" s="20"/>
      <c r="G155" s="18" t="s">
        <v>898</v>
      </c>
      <c r="H155" s="19" t="s">
        <v>836</v>
      </c>
      <c r="I155" s="20"/>
      <c r="J155" s="18" t="s">
        <v>713</v>
      </c>
      <c r="K155" s="19" t="s">
        <v>1895</v>
      </c>
      <c r="L155" s="20"/>
      <c r="M155" s="18" t="s">
        <v>715</v>
      </c>
      <c r="N155" s="19" t="s">
        <v>1896</v>
      </c>
      <c r="O155" s="20"/>
    </row>
    <row r="156" ht="180.0" customHeight="1">
      <c r="A156" s="21" t="str">
        <f>IMAGE("https://assets.tcgdex.net/de/sv/sv06/191/low.jpg", 1)</f>
        <v/>
      </c>
      <c r="B156" s="22"/>
      <c r="C156" s="20"/>
      <c r="D156" s="21" t="str">
        <f>IMAGE("https://assets.tcgdex.net/de/sv/sv06/192/low.jpg", 1)</f>
        <v/>
      </c>
      <c r="E156" s="22"/>
      <c r="F156" s="20"/>
      <c r="G156" s="21" t="str">
        <f>IMAGE("https://assets.tcgdex.net/de/sv/sv06/193/low.jpg", 1)</f>
        <v/>
      </c>
      <c r="H156" s="22"/>
      <c r="I156" s="20"/>
      <c r="J156" s="21" t="str">
        <f>IMAGE("https://assets.tcgdex.net/de/sv/sv06/194/low.jpg", 1)</f>
        <v/>
      </c>
      <c r="K156" s="22"/>
      <c r="L156" s="20"/>
      <c r="M156" s="21" t="str">
        <f>IMAGE("https://assets.tcgdex.net/de/sv/sv06/195/low.jpg", 1)</f>
        <v/>
      </c>
      <c r="N156" s="22"/>
      <c r="O156" s="20"/>
    </row>
    <row r="157" ht="22.5" customHeight="1">
      <c r="A157" s="23" t="b">
        <v>0</v>
      </c>
      <c r="B157" s="24" t="b">
        <v>0</v>
      </c>
      <c r="C157" s="25" t="str">
        <f>HYPERLINK("https://www.cardmarket.com/en/Pokemon/Products/Singles?idCategory=1&amp;idProduct=sv6-191", "CM")</f>
        <v>CM</v>
      </c>
      <c r="D157" s="23" t="b">
        <v>0</v>
      </c>
      <c r="E157" s="24" t="b">
        <v>0</v>
      </c>
      <c r="F157" s="25" t="str">
        <f>HYPERLINK("https://www.cardmarket.com/en/Pokemon/Products/Singles?idCategory=1&amp;idProduct=sv6-192", "CM")</f>
        <v>CM</v>
      </c>
      <c r="G157" s="23" t="b">
        <v>0</v>
      </c>
      <c r="H157" s="24" t="b">
        <v>0</v>
      </c>
      <c r="I157" s="25" t="str">
        <f>HYPERLINK("https://www.cardmarket.com/en/Pokemon/Products/Singles?idCategory=1&amp;idProduct=sv6-193", "CM")</f>
        <v>CM</v>
      </c>
      <c r="J157" s="23" t="b">
        <v>0</v>
      </c>
      <c r="K157" s="24" t="b">
        <v>0</v>
      </c>
      <c r="L157" s="25" t="str">
        <f>HYPERLINK("https://www.cardmarket.com/en/Pokemon/Products/Singles?idCategory=1&amp;idProduct=sv6-194", "CM")</f>
        <v>CM</v>
      </c>
      <c r="M157" s="23" t="b">
        <v>0</v>
      </c>
      <c r="N157" s="24" t="b">
        <v>0</v>
      </c>
      <c r="O157" s="25" t="str">
        <f>HYPERLINK("https://www.cardmarket.com/en/Pokemon/Products/Singles?idCategory=1&amp;idProduct=sv6-195", "CM")</f>
        <v>CM</v>
      </c>
    </row>
    <row r="158" ht="7.5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</row>
    <row r="159" ht="18.75" customHeight="1">
      <c r="A159" s="18" t="s">
        <v>717</v>
      </c>
      <c r="B159" s="19" t="s">
        <v>1897</v>
      </c>
      <c r="C159" s="20"/>
      <c r="D159" s="18" t="s">
        <v>719</v>
      </c>
      <c r="E159" s="19" t="s">
        <v>1904</v>
      </c>
      <c r="F159" s="20"/>
      <c r="G159" s="18" t="s">
        <v>720</v>
      </c>
      <c r="H159" s="19" t="s">
        <v>584</v>
      </c>
      <c r="I159" s="20"/>
      <c r="J159" s="18" t="s">
        <v>722</v>
      </c>
      <c r="K159" s="19" t="s">
        <v>1914</v>
      </c>
      <c r="L159" s="20"/>
      <c r="M159" s="18" t="s">
        <v>724</v>
      </c>
      <c r="N159" s="19" t="s">
        <v>1921</v>
      </c>
      <c r="O159" s="20"/>
    </row>
    <row r="160" ht="180.0" customHeight="1">
      <c r="A160" s="21" t="str">
        <f>IMAGE("https://assets.tcgdex.net/de/sv/sv06/196/low.jpg", 1)</f>
        <v/>
      </c>
      <c r="B160" s="22"/>
      <c r="C160" s="20"/>
      <c r="D160" s="21" t="str">
        <f>IMAGE("https://assets.tcgdex.net/de/sv/sv06/197/low.jpg", 1)</f>
        <v/>
      </c>
      <c r="E160" s="22"/>
      <c r="F160" s="20"/>
      <c r="G160" s="21" t="str">
        <f>IMAGE("https://assets.tcgdex.net/de/sv/sv06/198/low.jpg", 1)</f>
        <v/>
      </c>
      <c r="H160" s="22"/>
      <c r="I160" s="20"/>
      <c r="J160" s="21" t="str">
        <f>IMAGE("https://assets.tcgdex.net/de/sv/sv06/199/low.jpg", 1)</f>
        <v/>
      </c>
      <c r="K160" s="22"/>
      <c r="L160" s="20"/>
      <c r="M160" s="21" t="str">
        <f>IMAGE("https://assets.tcgdex.net/de/sv/sv06/200/low.jpg", 1)</f>
        <v/>
      </c>
      <c r="N160" s="22"/>
      <c r="O160" s="20"/>
    </row>
    <row r="161" ht="22.5" customHeight="1">
      <c r="A161" s="23" t="b">
        <v>0</v>
      </c>
      <c r="B161" s="24" t="b">
        <v>0</v>
      </c>
      <c r="C161" s="25" t="str">
        <f>HYPERLINK("https://www.cardmarket.com/en/Pokemon/Products/Singles?idCategory=1&amp;idProduct=sv6-196", "CM")</f>
        <v>CM</v>
      </c>
      <c r="D161" s="23" t="b">
        <v>0</v>
      </c>
      <c r="E161" s="24" t="b">
        <v>0</v>
      </c>
      <c r="F161" s="25" t="str">
        <f>HYPERLINK("https://www.cardmarket.com/en/Pokemon/Products/Singles?idCategory=1&amp;idProduct=sv6-197", "CM")</f>
        <v>CM</v>
      </c>
      <c r="G161" s="23" t="b">
        <v>0</v>
      </c>
      <c r="H161" s="24" t="b">
        <v>0</v>
      </c>
      <c r="I161" s="25" t="str">
        <f>HYPERLINK("https://www.cardmarket.com/en/Pokemon/Products/Singles?idCategory=1&amp;idProduct=sv6-198", "CM")</f>
        <v>CM</v>
      </c>
      <c r="J161" s="23" t="b">
        <v>0</v>
      </c>
      <c r="K161" s="24" t="b">
        <v>0</v>
      </c>
      <c r="L161" s="25" t="str">
        <f>HYPERLINK("https://www.cardmarket.com/en/Pokemon/Products/Singles?idCategory=1&amp;idProduct=sv6-199", "CM")</f>
        <v>CM</v>
      </c>
      <c r="M161" s="23" t="b">
        <v>0</v>
      </c>
      <c r="N161" s="24" t="b">
        <v>0</v>
      </c>
      <c r="O161" s="25" t="str">
        <f>HYPERLINK("https://www.cardmarket.com/en/Pokemon/Products/Singles?idCategory=1&amp;idProduct=sv6-200", "CM")</f>
        <v>CM</v>
      </c>
    </row>
    <row r="162" ht="7.5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</row>
    <row r="163" ht="18.75" customHeight="1">
      <c r="A163" s="18" t="s">
        <v>726</v>
      </c>
      <c r="B163" s="19" t="s">
        <v>1922</v>
      </c>
      <c r="C163" s="20"/>
      <c r="D163" s="18" t="s">
        <v>728</v>
      </c>
      <c r="E163" s="19" t="s">
        <v>885</v>
      </c>
      <c r="F163" s="20"/>
      <c r="G163" s="18" t="s">
        <v>730</v>
      </c>
      <c r="H163" s="19" t="s">
        <v>1927</v>
      </c>
      <c r="I163" s="20"/>
      <c r="J163" s="18" t="s">
        <v>1241</v>
      </c>
      <c r="K163" s="19" t="s">
        <v>1928</v>
      </c>
      <c r="L163" s="20"/>
      <c r="M163" s="18" t="s">
        <v>1319</v>
      </c>
      <c r="N163" s="19" t="s">
        <v>1934</v>
      </c>
      <c r="O163" s="20"/>
    </row>
    <row r="164" ht="180.0" customHeight="1">
      <c r="A164" s="21" t="str">
        <f>IMAGE("https://assets.tcgdex.net/de/sv/sv06/201/low.jpg", 1)</f>
        <v/>
      </c>
      <c r="B164" s="22"/>
      <c r="C164" s="20"/>
      <c r="D164" s="21" t="str">
        <f>IMAGE("https://assets.tcgdex.net/de/sv/sv06/202/low.jpg", 1)</f>
        <v/>
      </c>
      <c r="E164" s="22"/>
      <c r="F164" s="20"/>
      <c r="G164" s="21" t="str">
        <f>IMAGE("https://assets.tcgdex.net/de/sv/sv06/203/low.jpg", 1)</f>
        <v/>
      </c>
      <c r="H164" s="22"/>
      <c r="I164" s="20"/>
      <c r="J164" s="21" t="str">
        <f>IMAGE("https://assets.tcgdex.net/de/sv/sv06/204/low.jpg", 1)</f>
        <v/>
      </c>
      <c r="K164" s="22"/>
      <c r="L164" s="20"/>
      <c r="M164" s="21" t="str">
        <f>IMAGE("https://assets.tcgdex.net/de/sv/sv06/205/low.jpg", 1)</f>
        <v/>
      </c>
      <c r="N164" s="22"/>
      <c r="O164" s="20"/>
    </row>
    <row r="165" ht="22.5" customHeight="1">
      <c r="A165" s="23" t="b">
        <v>0</v>
      </c>
      <c r="B165" s="24" t="b">
        <v>0</v>
      </c>
      <c r="C165" s="25" t="str">
        <f>HYPERLINK("https://www.cardmarket.com/en/Pokemon/Products/Singles?idCategory=1&amp;idProduct=sv6-201", "CM")</f>
        <v>CM</v>
      </c>
      <c r="D165" s="23" t="b">
        <v>0</v>
      </c>
      <c r="E165" s="24" t="b">
        <v>0</v>
      </c>
      <c r="F165" s="25" t="str">
        <f>HYPERLINK("https://www.cardmarket.com/en/Pokemon/Products/Singles?idCategory=1&amp;idProduct=sv6-202", "CM")</f>
        <v>CM</v>
      </c>
      <c r="G165" s="23" t="b">
        <v>0</v>
      </c>
      <c r="H165" s="24" t="b">
        <v>0</v>
      </c>
      <c r="I165" s="25" t="str">
        <f>HYPERLINK("https://www.cardmarket.com/en/Pokemon/Products/Singles?idCategory=1&amp;idProduct=sv6-203", "CM")</f>
        <v>CM</v>
      </c>
      <c r="J165" s="23" t="b">
        <v>0</v>
      </c>
      <c r="K165" s="24" t="b">
        <v>0</v>
      </c>
      <c r="L165" s="25" t="str">
        <f>HYPERLINK("https://www.cardmarket.com/en/Pokemon/Products/Singles?idCategory=1&amp;idProduct=sv6-204", "CM")</f>
        <v>CM</v>
      </c>
      <c r="M165" s="23" t="b">
        <v>0</v>
      </c>
      <c r="N165" s="24" t="b">
        <v>0</v>
      </c>
      <c r="O165" s="25" t="str">
        <f>HYPERLINK("https://www.cardmarket.com/en/Pokemon/Products/Singles?idCategory=1&amp;idProduct=sv6-205", "CM")</f>
        <v>CM</v>
      </c>
    </row>
    <row r="166" ht="7.5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</row>
    <row r="167" ht="18.75" customHeight="1">
      <c r="A167" s="18" t="s">
        <v>732</v>
      </c>
      <c r="B167" s="19" t="s">
        <v>1937</v>
      </c>
      <c r="C167" s="20"/>
      <c r="D167" s="18" t="s">
        <v>734</v>
      </c>
      <c r="E167" s="19" t="s">
        <v>1938</v>
      </c>
      <c r="F167" s="20"/>
      <c r="G167" s="18" t="s">
        <v>1183</v>
      </c>
      <c r="H167" s="19" t="s">
        <v>1940</v>
      </c>
      <c r="I167" s="20"/>
      <c r="J167" s="18" t="s">
        <v>1320</v>
      </c>
      <c r="K167" s="19" t="s">
        <v>1943</v>
      </c>
      <c r="L167" s="20"/>
      <c r="M167" s="18" t="s">
        <v>1184</v>
      </c>
      <c r="N167" s="19" t="s">
        <v>1884</v>
      </c>
      <c r="O167" s="20"/>
    </row>
    <row r="168" ht="180.0" customHeight="1">
      <c r="A168" s="21" t="str">
        <f>IMAGE("https://assets.tcgdex.net/de/sv/sv06/206/low.jpg", 1)</f>
        <v/>
      </c>
      <c r="B168" s="22"/>
      <c r="C168" s="20"/>
      <c r="D168" s="21" t="str">
        <f>IMAGE("https://assets.tcgdex.net/de/sv/sv06/207/low.jpg", 1)</f>
        <v/>
      </c>
      <c r="E168" s="22"/>
      <c r="F168" s="20"/>
      <c r="G168" s="21" t="str">
        <f>IMAGE("https://assets.tcgdex.net/de/sv/sv06/208/low.jpg", 1)</f>
        <v/>
      </c>
      <c r="H168" s="22"/>
      <c r="I168" s="20"/>
      <c r="J168" s="21" t="str">
        <f>IMAGE("https://assets.tcgdex.net/de/sv/sv06/209/low.jpg", 1)</f>
        <v/>
      </c>
      <c r="K168" s="22"/>
      <c r="L168" s="20"/>
      <c r="M168" s="21" t="str">
        <f>IMAGE("https://assets.tcgdex.net/de/sv/sv06/210/low.jpg", 1)</f>
        <v/>
      </c>
      <c r="N168" s="22"/>
      <c r="O168" s="20"/>
    </row>
    <row r="169" ht="22.5" customHeight="1">
      <c r="A169" s="23" t="b">
        <v>0</v>
      </c>
      <c r="B169" s="24" t="b">
        <v>0</v>
      </c>
      <c r="C169" s="25" t="str">
        <f>HYPERLINK("https://www.cardmarket.com/en/Pokemon/Products/Singles?idCategory=1&amp;idProduct=sv6-206", "CM")</f>
        <v>CM</v>
      </c>
      <c r="D169" s="23" t="b">
        <v>0</v>
      </c>
      <c r="E169" s="24" t="b">
        <v>0</v>
      </c>
      <c r="F169" s="25" t="str">
        <f>HYPERLINK("https://www.cardmarket.com/en/Pokemon/Products/Singles?idCategory=1&amp;idProduct=sv6-207", "CM")</f>
        <v>CM</v>
      </c>
      <c r="G169" s="23" t="b">
        <v>0</v>
      </c>
      <c r="H169" s="24" t="b">
        <v>0</v>
      </c>
      <c r="I169" s="25" t="str">
        <f>HYPERLINK("https://www.cardmarket.com/en/Pokemon/Products/Singles?idCategory=1&amp;idProduct=sv6-208", "CM")</f>
        <v>CM</v>
      </c>
      <c r="J169" s="23" t="b">
        <v>0</v>
      </c>
      <c r="K169" s="24" t="b">
        <v>0</v>
      </c>
      <c r="L169" s="25" t="str">
        <f>HYPERLINK("https://www.cardmarket.com/en/Pokemon/Products/Singles?idCategory=1&amp;idProduct=sv6-209", "CM")</f>
        <v>CM</v>
      </c>
      <c r="M169" s="23" t="b">
        <v>0</v>
      </c>
      <c r="N169" s="24" t="b">
        <v>0</v>
      </c>
      <c r="O169" s="25" t="str">
        <f>HYPERLINK("https://www.cardmarket.com/en/Pokemon/Products/Singles?idCategory=1&amp;idProduct=sv6-210", "CM")</f>
        <v>CM</v>
      </c>
    </row>
    <row r="170" ht="7.5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</row>
    <row r="171" ht="18.75" customHeight="1">
      <c r="A171" s="18" t="s">
        <v>1321</v>
      </c>
      <c r="B171" s="19" t="s">
        <v>870</v>
      </c>
      <c r="C171" s="20"/>
      <c r="D171" s="18" t="s">
        <v>1322</v>
      </c>
      <c r="E171" s="19" t="s">
        <v>1888</v>
      </c>
      <c r="F171" s="20"/>
      <c r="G171" s="18" t="s">
        <v>1323</v>
      </c>
      <c r="H171" s="19" t="s">
        <v>1895</v>
      </c>
      <c r="I171" s="20"/>
      <c r="J171" s="18" t="s">
        <v>1186</v>
      </c>
      <c r="K171" s="19" t="s">
        <v>584</v>
      </c>
      <c r="L171" s="20"/>
      <c r="M171" s="18" t="s">
        <v>1324</v>
      </c>
      <c r="N171" s="19" t="s">
        <v>1914</v>
      </c>
      <c r="O171" s="20"/>
    </row>
    <row r="172" ht="180.0" customHeight="1">
      <c r="A172" s="21" t="str">
        <f>IMAGE("https://assets.tcgdex.net/de/sv/sv06/211/low.jpg", 1)</f>
        <v/>
      </c>
      <c r="B172" s="22"/>
      <c r="C172" s="20"/>
      <c r="D172" s="21" t="str">
        <f>IMAGE("https://assets.tcgdex.net/de/sv/sv06/212/low.jpg", 1)</f>
        <v/>
      </c>
      <c r="E172" s="22"/>
      <c r="F172" s="20"/>
      <c r="G172" s="21" t="str">
        <f>IMAGE("https://assets.tcgdex.net/de/sv/sv06/213/low.jpg", 1)</f>
        <v/>
      </c>
      <c r="H172" s="22"/>
      <c r="I172" s="20"/>
      <c r="J172" s="21" t="str">
        <f>IMAGE("https://assets.tcgdex.net/de/sv/sv06/214/low.jpg", 1)</f>
        <v/>
      </c>
      <c r="K172" s="22"/>
      <c r="L172" s="20"/>
      <c r="M172" s="21" t="str">
        <f>IMAGE("https://assets.tcgdex.net/de/sv/sv06/215/low.jpg", 1)</f>
        <v/>
      </c>
      <c r="N172" s="22"/>
      <c r="O172" s="20"/>
    </row>
    <row r="173" ht="22.5" customHeight="1">
      <c r="A173" s="23" t="b">
        <v>0</v>
      </c>
      <c r="B173" s="24" t="b">
        <v>0</v>
      </c>
      <c r="C173" s="25" t="str">
        <f>HYPERLINK("https://www.cardmarket.com/en/Pokemon/Products/Singles?idCategory=1&amp;idProduct=sv6-211", "CM")</f>
        <v>CM</v>
      </c>
      <c r="D173" s="23" t="b">
        <v>0</v>
      </c>
      <c r="E173" s="24" t="b">
        <v>0</v>
      </c>
      <c r="F173" s="25" t="str">
        <f>HYPERLINK("https://www.cardmarket.com/en/Pokemon/Products/Singles?idCategory=1&amp;idProduct=sv6-212", "CM")</f>
        <v>CM</v>
      </c>
      <c r="G173" s="23" t="b">
        <v>0</v>
      </c>
      <c r="H173" s="24" t="b">
        <v>0</v>
      </c>
      <c r="I173" s="25" t="str">
        <f>HYPERLINK("https://www.cardmarket.com/en/Pokemon/Products/Singles?idCategory=1&amp;idProduct=sv6-213", "CM")</f>
        <v>CM</v>
      </c>
      <c r="J173" s="23" t="b">
        <v>0</v>
      </c>
      <c r="K173" s="24" t="b">
        <v>0</v>
      </c>
      <c r="L173" s="25" t="str">
        <f>HYPERLINK("https://www.cardmarket.com/en/Pokemon/Products/Singles?idCategory=1&amp;idProduct=sv6-214", "CM")</f>
        <v>CM</v>
      </c>
      <c r="M173" s="23" t="b">
        <v>0</v>
      </c>
      <c r="N173" s="24" t="b">
        <v>0</v>
      </c>
      <c r="O173" s="25" t="str">
        <f>HYPERLINK("https://www.cardmarket.com/en/Pokemon/Products/Singles?idCategory=1&amp;idProduct=sv6-215", "CM")</f>
        <v>CM</v>
      </c>
    </row>
    <row r="174" ht="7.5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</row>
    <row r="175" ht="18.75" customHeight="1">
      <c r="A175" s="18" t="s">
        <v>1325</v>
      </c>
      <c r="B175" s="19" t="s">
        <v>885</v>
      </c>
      <c r="C175" s="20"/>
      <c r="D175" s="18" t="s">
        <v>1326</v>
      </c>
      <c r="E175" s="19" t="s">
        <v>1928</v>
      </c>
      <c r="F175" s="20"/>
      <c r="G175" s="18" t="s">
        <v>1327</v>
      </c>
      <c r="H175" s="19" t="s">
        <v>1937</v>
      </c>
      <c r="I175" s="20"/>
      <c r="J175" s="18" t="s">
        <v>1328</v>
      </c>
      <c r="K175" s="19" t="s">
        <v>1938</v>
      </c>
      <c r="L175" s="20"/>
      <c r="M175" s="18" t="s">
        <v>1329</v>
      </c>
      <c r="N175" s="19" t="s">
        <v>1943</v>
      </c>
      <c r="O175" s="20"/>
    </row>
    <row r="176" ht="180.0" customHeight="1">
      <c r="A176" s="21" t="str">
        <f>IMAGE("https://assets.tcgdex.net/de/sv/sv06/216/low.jpg", 1)</f>
        <v/>
      </c>
      <c r="B176" s="22"/>
      <c r="C176" s="20"/>
      <c r="D176" s="21" t="str">
        <f>IMAGE("https://assets.tcgdex.net/de/sv/sv06/217/low.jpg", 1)</f>
        <v/>
      </c>
      <c r="E176" s="22"/>
      <c r="F176" s="20"/>
      <c r="G176" s="21" t="str">
        <f>IMAGE("https://assets.tcgdex.net/de/sv/sv06/218/low.jpg", 1)</f>
        <v/>
      </c>
      <c r="H176" s="22"/>
      <c r="I176" s="20"/>
      <c r="J176" s="21" t="str">
        <f>IMAGE("https://assets.tcgdex.net/de/sv/sv06/219/low.jpg", 1)</f>
        <v/>
      </c>
      <c r="K176" s="22"/>
      <c r="L176" s="20"/>
      <c r="M176" s="21" t="str">
        <f>IMAGE("https://assets.tcgdex.net/de/sv/sv06/220/low.jpg", 1)</f>
        <v/>
      </c>
      <c r="N176" s="22"/>
      <c r="O176" s="20"/>
    </row>
    <row r="177" ht="22.5" customHeight="1">
      <c r="A177" s="23" t="b">
        <v>0</v>
      </c>
      <c r="B177" s="24" t="b">
        <v>0</v>
      </c>
      <c r="C177" s="25" t="str">
        <f>HYPERLINK("https://www.cardmarket.com/en/Pokemon/Products/Singles?idCategory=1&amp;idProduct=sv6-216", "CM")</f>
        <v>CM</v>
      </c>
      <c r="D177" s="23" t="b">
        <v>0</v>
      </c>
      <c r="E177" s="24" t="b">
        <v>0</v>
      </c>
      <c r="F177" s="25" t="str">
        <f>HYPERLINK("https://www.cardmarket.com/en/Pokemon/Products/Singles?idCategory=1&amp;idProduct=sv6-217", "CM")</f>
        <v>CM</v>
      </c>
      <c r="G177" s="23" t="b">
        <v>0</v>
      </c>
      <c r="H177" s="24" t="b">
        <v>0</v>
      </c>
      <c r="I177" s="25" t="str">
        <f>HYPERLINK("https://www.cardmarket.com/en/Pokemon/Products/Singles?idCategory=1&amp;idProduct=sv6-218", "CM")</f>
        <v>CM</v>
      </c>
      <c r="J177" s="23" t="b">
        <v>0</v>
      </c>
      <c r="K177" s="24" t="b">
        <v>0</v>
      </c>
      <c r="L177" s="25" t="str">
        <f>HYPERLINK("https://www.cardmarket.com/en/Pokemon/Products/Singles?idCategory=1&amp;idProduct=sv6-219", "CM")</f>
        <v>CM</v>
      </c>
      <c r="M177" s="23" t="b">
        <v>0</v>
      </c>
      <c r="N177" s="24" t="b">
        <v>0</v>
      </c>
      <c r="O177" s="25" t="str">
        <f>HYPERLINK("https://www.cardmarket.com/en/Pokemon/Products/Singles?idCategory=1&amp;idProduct=sv6-220", "CM")</f>
        <v>CM</v>
      </c>
    </row>
    <row r="178" ht="7.5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</row>
    <row r="179" ht="18.75" customHeight="1">
      <c r="A179" s="18" t="s">
        <v>1330</v>
      </c>
      <c r="B179" s="19" t="s">
        <v>870</v>
      </c>
      <c r="C179" s="20"/>
      <c r="D179" s="18" t="s">
        <v>1187</v>
      </c>
      <c r="E179" s="19" t="s">
        <v>885</v>
      </c>
      <c r="F179" s="20"/>
      <c r="G179" s="18" t="s">
        <v>1331</v>
      </c>
      <c r="H179" s="19" t="s">
        <v>1852</v>
      </c>
      <c r="I179" s="20"/>
      <c r="J179" s="18" t="s">
        <v>1332</v>
      </c>
      <c r="K179" s="19" t="s">
        <v>1931</v>
      </c>
      <c r="L179" s="20"/>
      <c r="M179" s="18" t="s">
        <v>1333</v>
      </c>
      <c r="N179" s="19" t="s">
        <v>1866</v>
      </c>
      <c r="O179" s="20"/>
    </row>
    <row r="180" ht="180.0" customHeight="1">
      <c r="A180" s="21" t="str">
        <f>IMAGE("https://assets.tcgdex.net/de/sv/sv06/221/low.jpg", 1)</f>
        <v/>
      </c>
      <c r="B180" s="22"/>
      <c r="C180" s="20"/>
      <c r="D180" s="21" t="str">
        <f>IMAGE("https://assets.tcgdex.net/de/sv/sv06/222/low.jpg", 1)</f>
        <v/>
      </c>
      <c r="E180" s="22"/>
      <c r="F180" s="20"/>
      <c r="G180" s="21" t="str">
        <f>IMAGE("https://assets.tcgdex.net/de/sv/sv06/223/low.jpg", 1)</f>
        <v/>
      </c>
      <c r="H180" s="22"/>
      <c r="I180" s="20"/>
      <c r="J180" s="21" t="str">
        <f>IMAGE("https://assets.tcgdex.net/de/sv/sv06/224/low.jpg", 1)</f>
        <v/>
      </c>
      <c r="K180" s="22"/>
      <c r="L180" s="20"/>
      <c r="M180" s="21" t="str">
        <f>IMAGE("https://assets.tcgdex.net/de/sv/sv06/225/low.jpg", 1)</f>
        <v/>
      </c>
      <c r="N180" s="22"/>
      <c r="O180" s="20"/>
    </row>
    <row r="181" ht="22.5" customHeight="1">
      <c r="A181" s="23" t="b">
        <v>0</v>
      </c>
      <c r="B181" s="24" t="b">
        <v>0</v>
      </c>
      <c r="C181" s="25" t="str">
        <f>HYPERLINK("https://www.cardmarket.com/en/Pokemon/Products/Singles?idCategory=1&amp;idProduct=sv6-221", "CM")</f>
        <v>CM</v>
      </c>
      <c r="D181" s="23" t="b">
        <v>0</v>
      </c>
      <c r="E181" s="24" t="b">
        <v>0</v>
      </c>
      <c r="F181" s="25" t="str">
        <f>HYPERLINK("https://www.cardmarket.com/en/Pokemon/Products/Singles?idCategory=1&amp;idProduct=sv6-222", "CM")</f>
        <v>CM</v>
      </c>
      <c r="G181" s="23" t="b">
        <v>0</v>
      </c>
      <c r="H181" s="24" t="b">
        <v>0</v>
      </c>
      <c r="I181" s="25" t="str">
        <f>HYPERLINK("https://www.cardmarket.com/en/Pokemon/Products/Singles?idCategory=1&amp;idProduct=sv6-223", "CM")</f>
        <v>CM</v>
      </c>
      <c r="J181" s="23" t="b">
        <v>0</v>
      </c>
      <c r="K181" s="24" t="b">
        <v>0</v>
      </c>
      <c r="L181" s="25" t="str">
        <f>HYPERLINK("https://www.cardmarket.com/en/Pokemon/Products/Singles?idCategory=1&amp;idProduct=sv6-224", "CM")</f>
        <v>CM</v>
      </c>
      <c r="M181" s="23" t="b">
        <v>0</v>
      </c>
      <c r="N181" s="24" t="b">
        <v>0</v>
      </c>
      <c r="O181" s="25" t="str">
        <f>HYPERLINK("https://www.cardmarket.com/en/Pokemon/Products/Singles?idCategory=1&amp;idProduct=sv6-225", "CM")</f>
        <v>CM</v>
      </c>
    </row>
    <row r="182" ht="7.5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</row>
    <row r="183" ht="18.75" customHeight="1">
      <c r="A183" s="18" t="s">
        <v>1189</v>
      </c>
      <c r="B183" s="19" t="s">
        <v>1951</v>
      </c>
      <c r="C183" s="20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</row>
    <row r="184" ht="180.0" customHeight="1">
      <c r="A184" s="21" t="str">
        <f>IMAGE("https://assets.tcgdex.net/de/sv/sv06/226/low.jpg", 1)</f>
        <v/>
      </c>
      <c r="B184" s="22"/>
      <c r="C184" s="20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</row>
    <row r="185" ht="22.5" customHeight="1">
      <c r="A185" s="23" t="b">
        <v>0</v>
      </c>
      <c r="B185" s="24" t="b">
        <v>0</v>
      </c>
      <c r="C185" s="25" t="str">
        <f>HYPERLINK("https://www.cardmarket.com/en/Pokemon/Products/Singles?idCategory=1&amp;idProduct=sv6-226", "CM")</f>
        <v>CM</v>
      </c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</row>
    <row r="186" ht="7.5" customHeigh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</row>
  </sheetData>
  <mergeCells count="454">
    <mergeCell ref="H3:I3"/>
    <mergeCell ref="K3:L3"/>
    <mergeCell ref="J4:L4"/>
    <mergeCell ref="N3:O3"/>
    <mergeCell ref="M4:O4"/>
    <mergeCell ref="A1:N1"/>
    <mergeCell ref="A2:O2"/>
    <mergeCell ref="B3:C3"/>
    <mergeCell ref="A4:C4"/>
    <mergeCell ref="E3:F3"/>
    <mergeCell ref="D4:F4"/>
    <mergeCell ref="G4:I4"/>
    <mergeCell ref="K7:L7"/>
    <mergeCell ref="N7:O7"/>
    <mergeCell ref="M8:O8"/>
    <mergeCell ref="B7:C7"/>
    <mergeCell ref="A8:C8"/>
    <mergeCell ref="E7:F7"/>
    <mergeCell ref="D8:F8"/>
    <mergeCell ref="H7:I7"/>
    <mergeCell ref="G8:I8"/>
    <mergeCell ref="J8:L8"/>
    <mergeCell ref="K11:L11"/>
    <mergeCell ref="N11:O11"/>
    <mergeCell ref="M12:O12"/>
    <mergeCell ref="B11:C11"/>
    <mergeCell ref="A12:C12"/>
    <mergeCell ref="E11:F11"/>
    <mergeCell ref="D12:F12"/>
    <mergeCell ref="H11:I11"/>
    <mergeCell ref="G12:I12"/>
    <mergeCell ref="J12:L12"/>
    <mergeCell ref="K27:L27"/>
    <mergeCell ref="N27:O27"/>
    <mergeCell ref="M28:O28"/>
    <mergeCell ref="B27:C27"/>
    <mergeCell ref="A28:C28"/>
    <mergeCell ref="E27:F27"/>
    <mergeCell ref="D28:F28"/>
    <mergeCell ref="H27:I27"/>
    <mergeCell ref="G28:I28"/>
    <mergeCell ref="J28:L28"/>
    <mergeCell ref="K31:L31"/>
    <mergeCell ref="N31:O31"/>
    <mergeCell ref="M32:O32"/>
    <mergeCell ref="B31:C31"/>
    <mergeCell ref="A32:C32"/>
    <mergeCell ref="E31:F31"/>
    <mergeCell ref="D32:F32"/>
    <mergeCell ref="H31:I31"/>
    <mergeCell ref="G32:I32"/>
    <mergeCell ref="J32:L32"/>
    <mergeCell ref="K35:L35"/>
    <mergeCell ref="N35:O35"/>
    <mergeCell ref="M36:O36"/>
    <mergeCell ref="B35:C35"/>
    <mergeCell ref="A36:C36"/>
    <mergeCell ref="E35:F35"/>
    <mergeCell ref="D36:F36"/>
    <mergeCell ref="H35:I35"/>
    <mergeCell ref="G36:I36"/>
    <mergeCell ref="J36:L36"/>
    <mergeCell ref="K39:L39"/>
    <mergeCell ref="N39:O39"/>
    <mergeCell ref="M40:O40"/>
    <mergeCell ref="B39:C39"/>
    <mergeCell ref="A40:C40"/>
    <mergeCell ref="E39:F39"/>
    <mergeCell ref="D40:F40"/>
    <mergeCell ref="H39:I39"/>
    <mergeCell ref="G40:I40"/>
    <mergeCell ref="J40:L40"/>
    <mergeCell ref="K43:L43"/>
    <mergeCell ref="N43:O43"/>
    <mergeCell ref="M44:O44"/>
    <mergeCell ref="B43:C43"/>
    <mergeCell ref="A44:C44"/>
    <mergeCell ref="E43:F43"/>
    <mergeCell ref="D44:F44"/>
    <mergeCell ref="H43:I43"/>
    <mergeCell ref="G44:I44"/>
    <mergeCell ref="J44:L44"/>
    <mergeCell ref="K47:L47"/>
    <mergeCell ref="N47:O47"/>
    <mergeCell ref="M48:O48"/>
    <mergeCell ref="B47:C47"/>
    <mergeCell ref="A48:C48"/>
    <mergeCell ref="E47:F47"/>
    <mergeCell ref="D48:F48"/>
    <mergeCell ref="H47:I47"/>
    <mergeCell ref="G48:I48"/>
    <mergeCell ref="J48:L48"/>
    <mergeCell ref="K51:L51"/>
    <mergeCell ref="N51:O51"/>
    <mergeCell ref="M52:O52"/>
    <mergeCell ref="B51:C51"/>
    <mergeCell ref="A52:C52"/>
    <mergeCell ref="E51:F51"/>
    <mergeCell ref="D52:F52"/>
    <mergeCell ref="H51:I51"/>
    <mergeCell ref="G52:I52"/>
    <mergeCell ref="J52:L52"/>
    <mergeCell ref="K55:L55"/>
    <mergeCell ref="N55:O55"/>
    <mergeCell ref="M56:O56"/>
    <mergeCell ref="B55:C55"/>
    <mergeCell ref="A56:C56"/>
    <mergeCell ref="E55:F55"/>
    <mergeCell ref="D56:F56"/>
    <mergeCell ref="H55:I55"/>
    <mergeCell ref="G56:I56"/>
    <mergeCell ref="J56:L56"/>
    <mergeCell ref="K59:L59"/>
    <mergeCell ref="N59:O59"/>
    <mergeCell ref="M60:O60"/>
    <mergeCell ref="B59:C59"/>
    <mergeCell ref="A60:C60"/>
    <mergeCell ref="E59:F59"/>
    <mergeCell ref="D60:F60"/>
    <mergeCell ref="H59:I59"/>
    <mergeCell ref="G60:I60"/>
    <mergeCell ref="J60:L60"/>
    <mergeCell ref="K63:L63"/>
    <mergeCell ref="N63:O63"/>
    <mergeCell ref="M64:O64"/>
    <mergeCell ref="B63:C63"/>
    <mergeCell ref="A64:C64"/>
    <mergeCell ref="E63:F63"/>
    <mergeCell ref="D64:F64"/>
    <mergeCell ref="H63:I63"/>
    <mergeCell ref="G64:I64"/>
    <mergeCell ref="J64:L64"/>
    <mergeCell ref="K67:L67"/>
    <mergeCell ref="N67:O67"/>
    <mergeCell ref="M68:O68"/>
    <mergeCell ref="B67:C67"/>
    <mergeCell ref="A68:C68"/>
    <mergeCell ref="E67:F67"/>
    <mergeCell ref="D68:F68"/>
    <mergeCell ref="H67:I67"/>
    <mergeCell ref="G68:I68"/>
    <mergeCell ref="J68:L68"/>
    <mergeCell ref="K71:L71"/>
    <mergeCell ref="N71:O71"/>
    <mergeCell ref="M72:O72"/>
    <mergeCell ref="B71:C71"/>
    <mergeCell ref="A72:C72"/>
    <mergeCell ref="E71:F71"/>
    <mergeCell ref="D72:F72"/>
    <mergeCell ref="H71:I71"/>
    <mergeCell ref="G72:I72"/>
    <mergeCell ref="J72:L72"/>
    <mergeCell ref="K75:L75"/>
    <mergeCell ref="N75:O75"/>
    <mergeCell ref="M76:O76"/>
    <mergeCell ref="B75:C75"/>
    <mergeCell ref="A76:C76"/>
    <mergeCell ref="E75:F75"/>
    <mergeCell ref="D76:F76"/>
    <mergeCell ref="H75:I75"/>
    <mergeCell ref="G76:I76"/>
    <mergeCell ref="J76:L76"/>
    <mergeCell ref="K79:L79"/>
    <mergeCell ref="N79:O79"/>
    <mergeCell ref="M80:O80"/>
    <mergeCell ref="B79:C79"/>
    <mergeCell ref="A80:C80"/>
    <mergeCell ref="E79:F79"/>
    <mergeCell ref="D80:F80"/>
    <mergeCell ref="H79:I79"/>
    <mergeCell ref="G80:I80"/>
    <mergeCell ref="J80:L80"/>
    <mergeCell ref="K83:L83"/>
    <mergeCell ref="N83:O83"/>
    <mergeCell ref="M84:O84"/>
    <mergeCell ref="B83:C83"/>
    <mergeCell ref="A84:C84"/>
    <mergeCell ref="E83:F83"/>
    <mergeCell ref="D84:F84"/>
    <mergeCell ref="H83:I83"/>
    <mergeCell ref="G84:I84"/>
    <mergeCell ref="J84:L84"/>
    <mergeCell ref="K87:L87"/>
    <mergeCell ref="N87:O87"/>
    <mergeCell ref="M88:O88"/>
    <mergeCell ref="B87:C87"/>
    <mergeCell ref="A88:C88"/>
    <mergeCell ref="E87:F87"/>
    <mergeCell ref="D88:F88"/>
    <mergeCell ref="H87:I87"/>
    <mergeCell ref="G88:I88"/>
    <mergeCell ref="J88:L88"/>
    <mergeCell ref="K91:L91"/>
    <mergeCell ref="N91:O91"/>
    <mergeCell ref="M92:O92"/>
    <mergeCell ref="B91:C91"/>
    <mergeCell ref="A92:C92"/>
    <mergeCell ref="E91:F91"/>
    <mergeCell ref="D92:F92"/>
    <mergeCell ref="H91:I91"/>
    <mergeCell ref="G92:I92"/>
    <mergeCell ref="J92:L92"/>
    <mergeCell ref="K95:L95"/>
    <mergeCell ref="N95:O95"/>
    <mergeCell ref="M96:O96"/>
    <mergeCell ref="B95:C95"/>
    <mergeCell ref="A96:C96"/>
    <mergeCell ref="E95:F95"/>
    <mergeCell ref="D96:F96"/>
    <mergeCell ref="H95:I95"/>
    <mergeCell ref="G96:I96"/>
    <mergeCell ref="J96:L96"/>
    <mergeCell ref="K99:L99"/>
    <mergeCell ref="N99:O99"/>
    <mergeCell ref="M100:O100"/>
    <mergeCell ref="B99:C99"/>
    <mergeCell ref="A100:C100"/>
    <mergeCell ref="E99:F99"/>
    <mergeCell ref="D100:F100"/>
    <mergeCell ref="H99:I99"/>
    <mergeCell ref="G100:I100"/>
    <mergeCell ref="J100:L100"/>
    <mergeCell ref="K103:L103"/>
    <mergeCell ref="N103:O103"/>
    <mergeCell ref="M104:O104"/>
    <mergeCell ref="B103:C103"/>
    <mergeCell ref="A104:C104"/>
    <mergeCell ref="E103:F103"/>
    <mergeCell ref="D104:F104"/>
    <mergeCell ref="H103:I103"/>
    <mergeCell ref="G104:I104"/>
    <mergeCell ref="J104:L104"/>
    <mergeCell ref="K107:L107"/>
    <mergeCell ref="N107:O107"/>
    <mergeCell ref="M108:O108"/>
    <mergeCell ref="B107:C107"/>
    <mergeCell ref="A108:C108"/>
    <mergeCell ref="E107:F107"/>
    <mergeCell ref="D108:F108"/>
    <mergeCell ref="H107:I107"/>
    <mergeCell ref="G108:I108"/>
    <mergeCell ref="J108:L108"/>
    <mergeCell ref="K111:L111"/>
    <mergeCell ref="N111:O111"/>
    <mergeCell ref="M112:O112"/>
    <mergeCell ref="B111:C111"/>
    <mergeCell ref="A112:C112"/>
    <mergeCell ref="E111:F111"/>
    <mergeCell ref="D112:F112"/>
    <mergeCell ref="H111:I111"/>
    <mergeCell ref="G112:I112"/>
    <mergeCell ref="J112:L112"/>
    <mergeCell ref="K115:L115"/>
    <mergeCell ref="N115:O115"/>
    <mergeCell ref="M116:O116"/>
    <mergeCell ref="B115:C115"/>
    <mergeCell ref="A116:C116"/>
    <mergeCell ref="E115:F115"/>
    <mergeCell ref="D116:F116"/>
    <mergeCell ref="H115:I115"/>
    <mergeCell ref="G116:I116"/>
    <mergeCell ref="J116:L116"/>
    <mergeCell ref="K119:L119"/>
    <mergeCell ref="N119:O119"/>
    <mergeCell ref="M120:O120"/>
    <mergeCell ref="B119:C119"/>
    <mergeCell ref="A120:C120"/>
    <mergeCell ref="E119:F119"/>
    <mergeCell ref="D120:F120"/>
    <mergeCell ref="H119:I119"/>
    <mergeCell ref="G120:I120"/>
    <mergeCell ref="J120:L120"/>
    <mergeCell ref="K123:L123"/>
    <mergeCell ref="N123:O123"/>
    <mergeCell ref="M124:O124"/>
    <mergeCell ref="B123:C123"/>
    <mergeCell ref="A124:C124"/>
    <mergeCell ref="E123:F123"/>
    <mergeCell ref="D124:F124"/>
    <mergeCell ref="H123:I123"/>
    <mergeCell ref="G124:I124"/>
    <mergeCell ref="J124:L124"/>
    <mergeCell ref="K127:L127"/>
    <mergeCell ref="N127:O127"/>
    <mergeCell ref="M128:O128"/>
    <mergeCell ref="B127:C127"/>
    <mergeCell ref="A128:C128"/>
    <mergeCell ref="E127:F127"/>
    <mergeCell ref="D128:F128"/>
    <mergeCell ref="H127:I127"/>
    <mergeCell ref="G128:I128"/>
    <mergeCell ref="J128:L128"/>
    <mergeCell ref="K131:L131"/>
    <mergeCell ref="N131:O131"/>
    <mergeCell ref="M132:O132"/>
    <mergeCell ref="B131:C131"/>
    <mergeCell ref="A132:C132"/>
    <mergeCell ref="E131:F131"/>
    <mergeCell ref="D132:F132"/>
    <mergeCell ref="H131:I131"/>
    <mergeCell ref="G132:I132"/>
    <mergeCell ref="J132:L132"/>
    <mergeCell ref="K163:L163"/>
    <mergeCell ref="N163:O163"/>
    <mergeCell ref="M164:O164"/>
    <mergeCell ref="B163:C163"/>
    <mergeCell ref="A164:C164"/>
    <mergeCell ref="E163:F163"/>
    <mergeCell ref="D164:F164"/>
    <mergeCell ref="H163:I163"/>
    <mergeCell ref="G164:I164"/>
    <mergeCell ref="J164:L164"/>
    <mergeCell ref="K167:L167"/>
    <mergeCell ref="N167:O167"/>
    <mergeCell ref="M168:O168"/>
    <mergeCell ref="B167:C167"/>
    <mergeCell ref="A168:C168"/>
    <mergeCell ref="E167:F167"/>
    <mergeCell ref="D168:F168"/>
    <mergeCell ref="H167:I167"/>
    <mergeCell ref="G168:I168"/>
    <mergeCell ref="J168:L168"/>
    <mergeCell ref="K171:L171"/>
    <mergeCell ref="N171:O171"/>
    <mergeCell ref="M172:O172"/>
    <mergeCell ref="B171:C171"/>
    <mergeCell ref="A172:C172"/>
    <mergeCell ref="E171:F171"/>
    <mergeCell ref="D172:F172"/>
    <mergeCell ref="H171:I171"/>
    <mergeCell ref="G172:I172"/>
    <mergeCell ref="J172:L172"/>
    <mergeCell ref="K175:L175"/>
    <mergeCell ref="N175:O175"/>
    <mergeCell ref="M176:O176"/>
    <mergeCell ref="B175:C175"/>
    <mergeCell ref="A176:C176"/>
    <mergeCell ref="E175:F175"/>
    <mergeCell ref="D176:F176"/>
    <mergeCell ref="H175:I175"/>
    <mergeCell ref="G176:I176"/>
    <mergeCell ref="J176:L176"/>
    <mergeCell ref="K179:L179"/>
    <mergeCell ref="N179:O179"/>
    <mergeCell ref="M180:O180"/>
    <mergeCell ref="B179:C179"/>
    <mergeCell ref="A180:C180"/>
    <mergeCell ref="E179:F179"/>
    <mergeCell ref="D180:F180"/>
    <mergeCell ref="H179:I179"/>
    <mergeCell ref="G180:I180"/>
    <mergeCell ref="J180:L180"/>
    <mergeCell ref="K15:L15"/>
    <mergeCell ref="N15:O15"/>
    <mergeCell ref="M16:O16"/>
    <mergeCell ref="B15:C15"/>
    <mergeCell ref="A16:C16"/>
    <mergeCell ref="E15:F15"/>
    <mergeCell ref="D16:F16"/>
    <mergeCell ref="H15:I15"/>
    <mergeCell ref="G16:I16"/>
    <mergeCell ref="J16:L16"/>
    <mergeCell ref="K19:L19"/>
    <mergeCell ref="N19:O19"/>
    <mergeCell ref="M20:O20"/>
    <mergeCell ref="B19:C19"/>
    <mergeCell ref="A20:C20"/>
    <mergeCell ref="E19:F19"/>
    <mergeCell ref="D20:F20"/>
    <mergeCell ref="H19:I19"/>
    <mergeCell ref="G20:I20"/>
    <mergeCell ref="J20:L20"/>
    <mergeCell ref="K23:L23"/>
    <mergeCell ref="N23:O23"/>
    <mergeCell ref="M24:O24"/>
    <mergeCell ref="B23:C23"/>
    <mergeCell ref="A24:C24"/>
    <mergeCell ref="E23:F23"/>
    <mergeCell ref="D24:F24"/>
    <mergeCell ref="H23:I23"/>
    <mergeCell ref="G24:I24"/>
    <mergeCell ref="J24:L24"/>
    <mergeCell ref="B183:C183"/>
    <mergeCell ref="A184:C184"/>
    <mergeCell ref="K135:L135"/>
    <mergeCell ref="N135:O135"/>
    <mergeCell ref="M136:O136"/>
    <mergeCell ref="B135:C135"/>
    <mergeCell ref="A136:C136"/>
    <mergeCell ref="E135:F135"/>
    <mergeCell ref="D136:F136"/>
    <mergeCell ref="H135:I135"/>
    <mergeCell ref="G136:I136"/>
    <mergeCell ref="J136:L136"/>
    <mergeCell ref="K139:L139"/>
    <mergeCell ref="N139:O139"/>
    <mergeCell ref="M140:O140"/>
    <mergeCell ref="B139:C139"/>
    <mergeCell ref="A140:C140"/>
    <mergeCell ref="E139:F139"/>
    <mergeCell ref="D140:F140"/>
    <mergeCell ref="H139:I139"/>
    <mergeCell ref="G140:I140"/>
    <mergeCell ref="J140:L140"/>
    <mergeCell ref="K143:L143"/>
    <mergeCell ref="N143:O143"/>
    <mergeCell ref="M144:O144"/>
    <mergeCell ref="B143:C143"/>
    <mergeCell ref="A144:C144"/>
    <mergeCell ref="E143:F143"/>
    <mergeCell ref="D144:F144"/>
    <mergeCell ref="H143:I143"/>
    <mergeCell ref="G144:I144"/>
    <mergeCell ref="J144:L144"/>
    <mergeCell ref="K147:L147"/>
    <mergeCell ref="N147:O147"/>
    <mergeCell ref="M148:O148"/>
    <mergeCell ref="B147:C147"/>
    <mergeCell ref="A148:C148"/>
    <mergeCell ref="E147:F147"/>
    <mergeCell ref="D148:F148"/>
    <mergeCell ref="H147:I147"/>
    <mergeCell ref="G148:I148"/>
    <mergeCell ref="J148:L148"/>
    <mergeCell ref="K151:L151"/>
    <mergeCell ref="N151:O151"/>
    <mergeCell ref="M152:O152"/>
    <mergeCell ref="B151:C151"/>
    <mergeCell ref="A152:C152"/>
    <mergeCell ref="E151:F151"/>
    <mergeCell ref="D152:F152"/>
    <mergeCell ref="H151:I151"/>
    <mergeCell ref="G152:I152"/>
    <mergeCell ref="J152:L152"/>
    <mergeCell ref="K155:L155"/>
    <mergeCell ref="N155:O155"/>
    <mergeCell ref="M156:O156"/>
    <mergeCell ref="B155:C155"/>
    <mergeCell ref="A156:C156"/>
    <mergeCell ref="E155:F155"/>
    <mergeCell ref="D156:F156"/>
    <mergeCell ref="H155:I155"/>
    <mergeCell ref="G156:I156"/>
    <mergeCell ref="J156:L156"/>
    <mergeCell ref="K159:L159"/>
    <mergeCell ref="N159:O159"/>
    <mergeCell ref="M160:O160"/>
    <mergeCell ref="B159:C159"/>
    <mergeCell ref="A160:C160"/>
    <mergeCell ref="E159:F159"/>
    <mergeCell ref="D160:F160"/>
    <mergeCell ref="H159:I159"/>
    <mergeCell ref="G160:I160"/>
    <mergeCell ref="J160:L160"/>
  </mergeCells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.13"/>
    <col customWidth="1" min="3" max="3" width="12.63"/>
    <col customWidth="1" min="4" max="5" width="5.13"/>
    <col customWidth="1" min="6" max="6" width="12.63"/>
    <col customWidth="1" min="7" max="8" width="5.13"/>
    <col customWidth="1" min="9" max="9" width="12.63"/>
    <col customWidth="1" min="10" max="11" width="5.13"/>
    <col customWidth="1" min="12" max="12" width="12.63"/>
    <col customWidth="1" min="13" max="14" width="5.13"/>
    <col customWidth="1" min="15" max="15" width="12.63"/>
  </cols>
  <sheetData>
    <row r="1" ht="18.75" customHeight="1">
      <c r="A1" s="16" t="s">
        <v>1952</v>
      </c>
      <c r="O1" s="17" t="b">
        <v>0</v>
      </c>
    </row>
    <row r="2" ht="18.75" customHeight="1">
      <c r="A2" s="3" t="s">
        <v>1953</v>
      </c>
    </row>
    <row r="3" ht="18.75" customHeight="1">
      <c r="A3" s="18" t="s">
        <v>736</v>
      </c>
      <c r="B3" s="19" t="s">
        <v>1630</v>
      </c>
      <c r="C3" s="20"/>
      <c r="D3" s="18" t="s">
        <v>738</v>
      </c>
      <c r="E3" s="19" t="s">
        <v>1631</v>
      </c>
      <c r="F3" s="20"/>
      <c r="G3" s="18" t="s">
        <v>739</v>
      </c>
      <c r="H3" s="19" t="s">
        <v>1370</v>
      </c>
      <c r="I3" s="20"/>
      <c r="J3" s="18" t="s">
        <v>740</v>
      </c>
      <c r="K3" s="19" t="s">
        <v>1371</v>
      </c>
      <c r="L3" s="20"/>
      <c r="M3" s="18" t="s">
        <v>742</v>
      </c>
      <c r="N3" s="19" t="s">
        <v>1954</v>
      </c>
      <c r="O3" s="20"/>
    </row>
    <row r="4" ht="180.0" customHeight="1">
      <c r="A4" s="21" t="str">
        <f>IMAGE("https://assets.tcgdex.net/de/sv/sv06.5/001/low.jpg", 1)</f>
        <v/>
      </c>
      <c r="B4" s="22"/>
      <c r="C4" s="20"/>
      <c r="D4" s="21" t="str">
        <f>IMAGE("https://assets.tcgdex.net/de/sv/sv06.5/002/low.jpg", 1)</f>
        <v/>
      </c>
      <c r="E4" s="22"/>
      <c r="F4" s="20"/>
      <c r="G4" s="21" t="str">
        <f>IMAGE("https://assets.tcgdex.net/de/sv/sv06.5/003/low.jpg", 1)</f>
        <v/>
      </c>
      <c r="H4" s="22"/>
      <c r="I4" s="20"/>
      <c r="J4" s="21" t="str">
        <f>IMAGE("https://assets.tcgdex.net/de/sv/sv06.5/004/low.jpg", 1)</f>
        <v/>
      </c>
      <c r="K4" s="22"/>
      <c r="L4" s="20"/>
      <c r="M4" s="21" t="str">
        <f>IMAGE("https://assets.tcgdex.net/de/sv/sv06.5/005/low.jpg", 1)</f>
        <v/>
      </c>
      <c r="N4" s="22"/>
      <c r="O4" s="20"/>
    </row>
    <row r="5" ht="22.5" customHeight="1">
      <c r="A5" s="23" t="b">
        <v>0</v>
      </c>
      <c r="B5" s="24" t="b">
        <v>0</v>
      </c>
      <c r="C5" s="25" t="str">
        <f>HYPERLINK("https://www.cardmarket.com/en/Pokemon/Products/Singles?idCategory=1&amp;idProduct=sv6pt5-1", "CM")</f>
        <v>CM</v>
      </c>
      <c r="D5" s="23" t="b">
        <v>0</v>
      </c>
      <c r="E5" s="24" t="b">
        <v>0</v>
      </c>
      <c r="F5" s="25" t="str">
        <f>HYPERLINK("https://www.cardmarket.com/en/Pokemon/Products/Singles?idCategory=1&amp;idProduct=sv6pt5-2", "CM")</f>
        <v>CM</v>
      </c>
      <c r="G5" s="23" t="b">
        <v>0</v>
      </c>
      <c r="H5" s="24" t="b">
        <v>0</v>
      </c>
      <c r="I5" s="25" t="str">
        <f>HYPERLINK("https://www.cardmarket.com/en/Pokemon/Products/Singles?idCategory=1&amp;idProduct=sv6pt5-3", "CM")</f>
        <v>CM</v>
      </c>
      <c r="J5" s="23" t="b">
        <v>0</v>
      </c>
      <c r="K5" s="24" t="b">
        <v>0</v>
      </c>
      <c r="L5" s="25" t="str">
        <f>HYPERLINK("https://www.cardmarket.com/en/Pokemon/Products/Singles?idCategory=1&amp;idProduct=sv6pt5-4", "CM")</f>
        <v>CM</v>
      </c>
      <c r="M5" s="23" t="b">
        <v>0</v>
      </c>
      <c r="N5" s="24" t="b">
        <v>0</v>
      </c>
      <c r="O5" s="25" t="str">
        <f>HYPERLINK("https://www.cardmarket.com/en/Pokemon/Products/Singles?idCategory=1&amp;idProduct=sv6pt5-5", "CM")</f>
        <v>CM</v>
      </c>
    </row>
    <row r="6" ht="7.5" customHeight="1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</row>
    <row r="7" ht="18.75" customHeight="1">
      <c r="A7" s="18" t="s">
        <v>529</v>
      </c>
      <c r="B7" s="19" t="s">
        <v>1955</v>
      </c>
      <c r="C7" s="20"/>
      <c r="D7" s="18" t="s">
        <v>744</v>
      </c>
      <c r="E7" s="19" t="s">
        <v>1254</v>
      </c>
      <c r="F7" s="20"/>
      <c r="G7" s="18" t="s">
        <v>531</v>
      </c>
      <c r="H7" s="19" t="s">
        <v>1255</v>
      </c>
      <c r="I7" s="20"/>
      <c r="J7" s="18" t="s">
        <v>746</v>
      </c>
      <c r="K7" s="19" t="s">
        <v>1605</v>
      </c>
      <c r="L7" s="20"/>
      <c r="M7" s="18" t="s">
        <v>748</v>
      </c>
      <c r="N7" s="19" t="s">
        <v>671</v>
      </c>
      <c r="O7" s="20"/>
    </row>
    <row r="8" ht="180.0" customHeight="1">
      <c r="A8" s="21" t="str">
        <f>IMAGE("https://assets.tcgdex.net/de/sv/sv06.5/006/low.jpg", 1)</f>
        <v/>
      </c>
      <c r="B8" s="22"/>
      <c r="C8" s="20"/>
      <c r="D8" s="21" t="str">
        <f>IMAGE("https://assets.tcgdex.net/de/sv/sv06.5/007/low.jpg", 1)</f>
        <v/>
      </c>
      <c r="E8" s="22"/>
      <c r="F8" s="20"/>
      <c r="G8" s="21" t="str">
        <f>IMAGE("https://assets.tcgdex.net/de/sv/sv06.5/008/low.jpg", 1)</f>
        <v/>
      </c>
      <c r="H8" s="22"/>
      <c r="I8" s="20"/>
      <c r="J8" s="21" t="str">
        <f>IMAGE("https://assets.tcgdex.net/de/sv/sv06.5/009/low.jpg", 1)</f>
        <v/>
      </c>
      <c r="K8" s="22"/>
      <c r="L8" s="20"/>
      <c r="M8" s="21" t="str">
        <f>IMAGE("https://assets.tcgdex.net/de/sv/sv06.5/010/low.jpg", 1)</f>
        <v/>
      </c>
      <c r="N8" s="22"/>
      <c r="O8" s="20"/>
    </row>
    <row r="9" ht="22.5" customHeight="1">
      <c r="A9" s="23" t="b">
        <v>0</v>
      </c>
      <c r="B9" s="24" t="b">
        <v>0</v>
      </c>
      <c r="C9" s="25" t="str">
        <f>HYPERLINK("https://www.cardmarket.com/en/Pokemon/Products/Singles?idCategory=1&amp;idProduct=sv6pt5-6", "CM")</f>
        <v>CM</v>
      </c>
      <c r="D9" s="23" t="b">
        <v>0</v>
      </c>
      <c r="E9" s="24" t="b">
        <v>0</v>
      </c>
      <c r="F9" s="25" t="str">
        <f>HYPERLINK("https://www.cardmarket.com/en/Pokemon/Products/Singles?idCategory=1&amp;idProduct=sv6pt5-7", "CM")</f>
        <v>CM</v>
      </c>
      <c r="G9" s="23" t="b">
        <v>0</v>
      </c>
      <c r="H9" s="24" t="b">
        <v>0</v>
      </c>
      <c r="I9" s="25" t="str">
        <f>HYPERLINK("https://www.cardmarket.com/en/Pokemon/Products/Singles?idCategory=1&amp;idProduct=sv6pt5-8", "CM")</f>
        <v>CM</v>
      </c>
      <c r="J9" s="23" t="b">
        <v>0</v>
      </c>
      <c r="K9" s="24" t="b">
        <v>0</v>
      </c>
      <c r="L9" s="25" t="str">
        <f>HYPERLINK("https://www.cardmarket.com/en/Pokemon/Products/Singles?idCategory=1&amp;idProduct=sv6pt5-9", "CM")</f>
        <v>CM</v>
      </c>
      <c r="M9" s="23" t="b">
        <v>0</v>
      </c>
      <c r="N9" s="24" t="b">
        <v>0</v>
      </c>
      <c r="O9" s="25" t="str">
        <f>HYPERLINK("https://www.cardmarket.com/en/Pokemon/Products/Singles?idCategory=1&amp;idProduct=sv6pt5-10", "CM")</f>
        <v>CM</v>
      </c>
    </row>
    <row r="10" ht="7.5" customHeight="1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</row>
    <row r="11" ht="18.75" customHeight="1">
      <c r="A11" s="18" t="s">
        <v>750</v>
      </c>
      <c r="B11" s="19" t="s">
        <v>1555</v>
      </c>
      <c r="C11" s="20"/>
      <c r="D11" s="18" t="s">
        <v>752</v>
      </c>
      <c r="E11" s="19" t="s">
        <v>843</v>
      </c>
      <c r="F11" s="20"/>
      <c r="G11" s="18" t="s">
        <v>754</v>
      </c>
      <c r="H11" s="19" t="s">
        <v>1763</v>
      </c>
      <c r="I11" s="20"/>
      <c r="J11" s="18" t="s">
        <v>755</v>
      </c>
      <c r="K11" s="19" t="s">
        <v>1764</v>
      </c>
      <c r="L11" s="20"/>
      <c r="M11" s="18" t="s">
        <v>533</v>
      </c>
      <c r="N11" s="19" t="s">
        <v>1444</v>
      </c>
      <c r="O11" s="20"/>
    </row>
    <row r="12" ht="180.0" customHeight="1">
      <c r="A12" s="21" t="str">
        <f>IMAGE("https://assets.tcgdex.net/de/sv/sv06.5/011/low.jpg", 1)</f>
        <v/>
      </c>
      <c r="B12" s="22"/>
      <c r="C12" s="20"/>
      <c r="D12" s="21" t="str">
        <f>IMAGE("https://assets.tcgdex.net/de/sv/sv06.5/012/low.jpg", 1)</f>
        <v/>
      </c>
      <c r="E12" s="22"/>
      <c r="F12" s="20"/>
      <c r="G12" s="21" t="str">
        <f>IMAGE("https://assets.tcgdex.net/de/sv/sv06.5/013/low.jpg", 1)</f>
        <v/>
      </c>
      <c r="H12" s="22"/>
      <c r="I12" s="20"/>
      <c r="J12" s="21" t="str">
        <f>IMAGE("https://assets.tcgdex.net/de/sv/sv06.5/014/low.jpg", 1)</f>
        <v/>
      </c>
      <c r="K12" s="22"/>
      <c r="L12" s="20"/>
      <c r="M12" s="21" t="str">
        <f>IMAGE("https://assets.tcgdex.net/de/sv/sv06.5/015/low.jpg", 1)</f>
        <v/>
      </c>
      <c r="N12" s="22"/>
      <c r="O12" s="20"/>
    </row>
    <row r="13" ht="22.5" customHeight="1">
      <c r="A13" s="23" t="b">
        <v>0</v>
      </c>
      <c r="B13" s="24" t="b">
        <v>0</v>
      </c>
      <c r="C13" s="25" t="str">
        <f>HYPERLINK("https://www.cardmarket.com/en/Pokemon/Products/Singles?idCategory=1&amp;idProduct=sv6pt5-11", "CM")</f>
        <v>CM</v>
      </c>
      <c r="D13" s="23" t="b">
        <v>0</v>
      </c>
      <c r="E13" s="24" t="b">
        <v>0</v>
      </c>
      <c r="F13" s="25" t="str">
        <f>HYPERLINK("https://www.cardmarket.com/en/Pokemon/Products/Singles?idCategory=1&amp;idProduct=sv6pt5-12", "CM")</f>
        <v>CM</v>
      </c>
      <c r="G13" s="23" t="b">
        <v>0</v>
      </c>
      <c r="H13" s="24" t="b">
        <v>0</v>
      </c>
      <c r="I13" s="25" t="str">
        <f>HYPERLINK("https://www.cardmarket.com/en/Pokemon/Products/Singles?idCategory=1&amp;idProduct=sv6pt5-13", "CM")</f>
        <v>CM</v>
      </c>
      <c r="J13" s="23" t="b">
        <v>0</v>
      </c>
      <c r="K13" s="24" t="b">
        <v>0</v>
      </c>
      <c r="L13" s="25" t="str">
        <f>HYPERLINK("https://www.cardmarket.com/en/Pokemon/Products/Singles?idCategory=1&amp;idProduct=sv6pt5-14", "CM")</f>
        <v>CM</v>
      </c>
      <c r="M13" s="23" t="b">
        <v>0</v>
      </c>
      <c r="N13" s="24" t="b">
        <v>0</v>
      </c>
      <c r="O13" s="25" t="str">
        <f>HYPERLINK("https://www.cardmarket.com/en/Pokemon/Products/Singles?idCategory=1&amp;idProduct=sv6pt5-15", "CM")</f>
        <v>CM</v>
      </c>
    </row>
    <row r="14" ht="7.5" customHeight="1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</row>
    <row r="15" ht="18.75" customHeight="1">
      <c r="A15" s="18" t="s">
        <v>535</v>
      </c>
      <c r="B15" s="19" t="s">
        <v>1185</v>
      </c>
      <c r="C15" s="20"/>
      <c r="D15" s="18" t="s">
        <v>537</v>
      </c>
      <c r="E15" s="19" t="s">
        <v>1272</v>
      </c>
      <c r="F15" s="20"/>
      <c r="G15" s="18" t="s">
        <v>756</v>
      </c>
      <c r="H15" s="19" t="s">
        <v>1956</v>
      </c>
      <c r="I15" s="20"/>
      <c r="J15" s="18" t="s">
        <v>539</v>
      </c>
      <c r="K15" s="19" t="s">
        <v>930</v>
      </c>
      <c r="L15" s="20"/>
      <c r="M15" s="18" t="s">
        <v>541</v>
      </c>
      <c r="N15" s="19" t="s">
        <v>1957</v>
      </c>
      <c r="O15" s="20"/>
    </row>
    <row r="16" ht="180.0" customHeight="1">
      <c r="A16" s="21" t="str">
        <f>IMAGE("https://assets.tcgdex.net/de/sv/sv06.5/016/low.jpg", 1)</f>
        <v/>
      </c>
      <c r="B16" s="22"/>
      <c r="C16" s="20"/>
      <c r="D16" s="21" t="str">
        <f>IMAGE("https://assets.tcgdex.net/de/sv/sv06.5/017/low.jpg", 1)</f>
        <v/>
      </c>
      <c r="E16" s="22"/>
      <c r="F16" s="20"/>
      <c r="G16" s="21" t="str">
        <f>IMAGE("https://assets.tcgdex.net/de/sv/sv06.5/018/low.jpg", 1)</f>
        <v/>
      </c>
      <c r="H16" s="22"/>
      <c r="I16" s="20"/>
      <c r="J16" s="21" t="str">
        <f>IMAGE("https://assets.tcgdex.net/de/sv/sv06.5/019/low.jpg", 1)</f>
        <v/>
      </c>
      <c r="K16" s="22"/>
      <c r="L16" s="20"/>
      <c r="M16" s="21" t="str">
        <f>IMAGE("https://assets.tcgdex.net/de/sv/sv06.5/020/low.jpg", 1)</f>
        <v/>
      </c>
      <c r="N16" s="22"/>
      <c r="O16" s="20"/>
    </row>
    <row r="17" ht="22.5" customHeight="1">
      <c r="A17" s="23" t="b">
        <v>0</v>
      </c>
      <c r="B17" s="24" t="b">
        <v>0</v>
      </c>
      <c r="C17" s="25" t="str">
        <f>HYPERLINK("https://www.cardmarket.com/en/Pokemon/Products/Singles?idCategory=1&amp;idProduct=sv6pt5-16", "CM")</f>
        <v>CM</v>
      </c>
      <c r="D17" s="23" t="b">
        <v>0</v>
      </c>
      <c r="E17" s="24" t="b">
        <v>0</v>
      </c>
      <c r="F17" s="25" t="str">
        <f>HYPERLINK("https://www.cardmarket.com/en/Pokemon/Products/Singles?idCategory=1&amp;idProduct=sv6pt5-17", "CM")</f>
        <v>CM</v>
      </c>
      <c r="G17" s="23" t="b">
        <v>0</v>
      </c>
      <c r="H17" s="24" t="b">
        <v>0</v>
      </c>
      <c r="I17" s="25" t="str">
        <f>HYPERLINK("https://www.cardmarket.com/en/Pokemon/Products/Singles?idCategory=1&amp;idProduct=sv6pt5-18", "CM")</f>
        <v>CM</v>
      </c>
      <c r="J17" s="23" t="b">
        <v>0</v>
      </c>
      <c r="K17" s="24" t="b">
        <v>0</v>
      </c>
      <c r="L17" s="25" t="str">
        <f>HYPERLINK("https://www.cardmarket.com/en/Pokemon/Products/Singles?idCategory=1&amp;idProduct=sv6pt5-19", "CM")</f>
        <v>CM</v>
      </c>
      <c r="M17" s="23" t="b">
        <v>0</v>
      </c>
      <c r="N17" s="24" t="b">
        <v>0</v>
      </c>
      <c r="O17" s="25" t="str">
        <f>HYPERLINK("https://www.cardmarket.com/en/Pokemon/Products/Singles?idCategory=1&amp;idProduct=sv6pt5-20", "CM")</f>
        <v>CM</v>
      </c>
    </row>
    <row r="18" ht="7.5" customHeight="1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</row>
    <row r="19" ht="18.75" customHeight="1">
      <c r="A19" s="18" t="s">
        <v>543</v>
      </c>
      <c r="B19" s="19" t="s">
        <v>1958</v>
      </c>
      <c r="C19" s="20"/>
      <c r="D19" s="18" t="s">
        <v>545</v>
      </c>
      <c r="E19" s="19" t="s">
        <v>882</v>
      </c>
      <c r="F19" s="20"/>
      <c r="G19" s="18" t="s">
        <v>547</v>
      </c>
      <c r="H19" s="19" t="s">
        <v>1292</v>
      </c>
      <c r="I19" s="20"/>
      <c r="J19" s="18" t="s">
        <v>549</v>
      </c>
      <c r="K19" s="19" t="s">
        <v>1959</v>
      </c>
      <c r="L19" s="20"/>
      <c r="M19" s="18" t="s">
        <v>758</v>
      </c>
      <c r="N19" s="19" t="s">
        <v>1960</v>
      </c>
      <c r="O19" s="20"/>
    </row>
    <row r="20" ht="180.0" customHeight="1">
      <c r="A20" s="21" t="str">
        <f>IMAGE("https://assets.tcgdex.net/de/sv/sv06.5/021/low.jpg", 1)</f>
        <v/>
      </c>
      <c r="B20" s="22"/>
      <c r="C20" s="20"/>
      <c r="D20" s="21" t="str">
        <f>IMAGE("https://assets.tcgdex.net/de/sv/sv06.5/022/low.jpg", 1)</f>
        <v/>
      </c>
      <c r="E20" s="22"/>
      <c r="F20" s="20"/>
      <c r="G20" s="21" t="str">
        <f>IMAGE("https://assets.tcgdex.net/de/sv/sv06.5/023/low.jpg", 1)</f>
        <v/>
      </c>
      <c r="H20" s="22"/>
      <c r="I20" s="20"/>
      <c r="J20" s="21" t="str">
        <f>IMAGE("https://assets.tcgdex.net/de/sv/sv06.5/024/low.jpg", 1)</f>
        <v/>
      </c>
      <c r="K20" s="22"/>
      <c r="L20" s="20"/>
      <c r="M20" s="21" t="str">
        <f>IMAGE("https://assets.tcgdex.net/de/sv/sv06.5/025/low.jpg", 1)</f>
        <v/>
      </c>
      <c r="N20" s="22"/>
      <c r="O20" s="20"/>
    </row>
    <row r="21" ht="22.5" customHeight="1">
      <c r="A21" s="23" t="b">
        <v>0</v>
      </c>
      <c r="B21" s="24" t="b">
        <v>0</v>
      </c>
      <c r="C21" s="25" t="str">
        <f>HYPERLINK("https://www.cardmarket.com/en/Pokemon/Products/Singles?idCategory=1&amp;idProduct=sv6pt5-21", "CM")</f>
        <v>CM</v>
      </c>
      <c r="D21" s="23" t="b">
        <v>0</v>
      </c>
      <c r="E21" s="24" t="b">
        <v>0</v>
      </c>
      <c r="F21" s="25" t="str">
        <f>HYPERLINK("https://www.cardmarket.com/en/Pokemon/Products/Singles?idCategory=1&amp;idProduct=sv6pt5-22", "CM")</f>
        <v>CM</v>
      </c>
      <c r="G21" s="23" t="b">
        <v>0</v>
      </c>
      <c r="H21" s="24" t="b">
        <v>0</v>
      </c>
      <c r="I21" s="25" t="str">
        <f>HYPERLINK("https://www.cardmarket.com/en/Pokemon/Products/Singles?idCategory=1&amp;idProduct=sv6pt5-23", "CM")</f>
        <v>CM</v>
      </c>
      <c r="J21" s="23" t="b">
        <v>0</v>
      </c>
      <c r="K21" s="24" t="b">
        <v>0</v>
      </c>
      <c r="L21" s="25" t="str">
        <f>HYPERLINK("https://www.cardmarket.com/en/Pokemon/Products/Singles?idCategory=1&amp;idProduct=sv6pt5-24", "CM")</f>
        <v>CM</v>
      </c>
      <c r="M21" s="23" t="b">
        <v>0</v>
      </c>
      <c r="N21" s="24" t="b">
        <v>0</v>
      </c>
      <c r="O21" s="25" t="str">
        <f>HYPERLINK("https://www.cardmarket.com/en/Pokemon/Products/Singles?idCategory=1&amp;idProduct=sv6pt5-25", "CM")</f>
        <v>CM</v>
      </c>
    </row>
    <row r="22" ht="7.5" customHeight="1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</row>
    <row r="23" ht="18.75" customHeight="1">
      <c r="A23" s="18" t="s">
        <v>760</v>
      </c>
      <c r="B23" s="19" t="s">
        <v>1657</v>
      </c>
      <c r="C23" s="20"/>
      <c r="D23" s="18" t="s">
        <v>762</v>
      </c>
      <c r="E23" s="19" t="s">
        <v>1506</v>
      </c>
      <c r="F23" s="20"/>
      <c r="G23" s="18" t="s">
        <v>551</v>
      </c>
      <c r="H23" s="19" t="s">
        <v>1507</v>
      </c>
      <c r="I23" s="20"/>
      <c r="J23" s="18" t="s">
        <v>553</v>
      </c>
      <c r="K23" s="19" t="s">
        <v>1660</v>
      </c>
      <c r="L23" s="20"/>
      <c r="M23" s="18" t="s">
        <v>555</v>
      </c>
      <c r="N23" s="19" t="s">
        <v>1003</v>
      </c>
      <c r="O23" s="20"/>
    </row>
    <row r="24" ht="180.0" customHeight="1">
      <c r="A24" s="21" t="str">
        <f>IMAGE("https://assets.tcgdex.net/de/sv/sv06.5/026/low.jpg", 1)</f>
        <v/>
      </c>
      <c r="B24" s="22"/>
      <c r="C24" s="20"/>
      <c r="D24" s="21" t="str">
        <f>IMAGE("https://assets.tcgdex.net/de/sv/sv06.5/027/low.jpg", 1)</f>
        <v/>
      </c>
      <c r="E24" s="22"/>
      <c r="F24" s="20"/>
      <c r="G24" s="21" t="str">
        <f>IMAGE("https://assets.tcgdex.net/de/sv/sv06.5/028/low.jpg", 1)</f>
        <v/>
      </c>
      <c r="H24" s="22"/>
      <c r="I24" s="20"/>
      <c r="J24" s="21" t="str">
        <f>IMAGE("https://assets.tcgdex.net/de/sv/sv06.5/029/low.jpg", 1)</f>
        <v/>
      </c>
      <c r="K24" s="22"/>
      <c r="L24" s="20"/>
      <c r="M24" s="21" t="str">
        <f>IMAGE("https://assets.tcgdex.net/de/sv/sv06.5/030/low.jpg", 1)</f>
        <v/>
      </c>
      <c r="N24" s="22"/>
      <c r="O24" s="20"/>
    </row>
    <row r="25" ht="22.5" customHeight="1">
      <c r="A25" s="23" t="b">
        <v>0</v>
      </c>
      <c r="B25" s="24" t="b">
        <v>0</v>
      </c>
      <c r="C25" s="25" t="str">
        <f>HYPERLINK("https://www.cardmarket.com/en/Pokemon/Products/Singles?idCategory=1&amp;idProduct=sv6pt5-26", "CM")</f>
        <v>CM</v>
      </c>
      <c r="D25" s="23" t="b">
        <v>0</v>
      </c>
      <c r="E25" s="24" t="b">
        <v>0</v>
      </c>
      <c r="F25" s="25" t="str">
        <f>HYPERLINK("https://www.cardmarket.com/en/Pokemon/Products/Singles?idCategory=1&amp;idProduct=sv6pt5-27", "CM")</f>
        <v>CM</v>
      </c>
      <c r="G25" s="23" t="b">
        <v>0</v>
      </c>
      <c r="H25" s="24" t="b">
        <v>0</v>
      </c>
      <c r="I25" s="25" t="str">
        <f>HYPERLINK("https://www.cardmarket.com/en/Pokemon/Products/Singles?idCategory=1&amp;idProduct=sv6pt5-28", "CM")</f>
        <v>CM</v>
      </c>
      <c r="J25" s="23" t="b">
        <v>0</v>
      </c>
      <c r="K25" s="24" t="b">
        <v>0</v>
      </c>
      <c r="L25" s="25" t="str">
        <f>HYPERLINK("https://www.cardmarket.com/en/Pokemon/Products/Singles?idCategory=1&amp;idProduct=sv6pt5-29", "CM")</f>
        <v>CM</v>
      </c>
      <c r="M25" s="23" t="b">
        <v>0</v>
      </c>
      <c r="N25" s="24" t="b">
        <v>0</v>
      </c>
      <c r="O25" s="25" t="str">
        <f>HYPERLINK("https://www.cardmarket.com/en/Pokemon/Products/Singles?idCategory=1&amp;idProduct=sv6pt5-30", "CM")</f>
        <v>CM</v>
      </c>
    </row>
    <row r="26" ht="7.5" customHeight="1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</row>
    <row r="27" ht="18.75" customHeight="1">
      <c r="A27" s="18" t="s">
        <v>557</v>
      </c>
      <c r="B27" s="19" t="s">
        <v>1961</v>
      </c>
      <c r="C27" s="20"/>
      <c r="D27" s="18" t="s">
        <v>559</v>
      </c>
      <c r="E27" s="19" t="s">
        <v>1962</v>
      </c>
      <c r="F27" s="20"/>
      <c r="G27" s="18" t="s">
        <v>561</v>
      </c>
      <c r="H27" s="19" t="s">
        <v>1435</v>
      </c>
      <c r="I27" s="20"/>
      <c r="J27" s="18" t="s">
        <v>563</v>
      </c>
      <c r="K27" s="19" t="s">
        <v>1436</v>
      </c>
      <c r="L27" s="20"/>
      <c r="M27" s="18" t="s">
        <v>565</v>
      </c>
      <c r="N27" s="19" t="s">
        <v>1663</v>
      </c>
      <c r="O27" s="20"/>
    </row>
    <row r="28" ht="180.0" customHeight="1">
      <c r="A28" s="21" t="str">
        <f>IMAGE("https://assets.tcgdex.net/de/sv/sv06.5/031/low.jpg", 1)</f>
        <v/>
      </c>
      <c r="B28" s="22"/>
      <c r="C28" s="20"/>
      <c r="D28" s="21" t="str">
        <f>IMAGE("https://assets.tcgdex.net/de/sv/sv06.5/032/low.jpg", 1)</f>
        <v/>
      </c>
      <c r="E28" s="22"/>
      <c r="F28" s="20"/>
      <c r="G28" s="21" t="str">
        <f>IMAGE("https://assets.tcgdex.net/de/sv/sv06.5/033/low.jpg", 1)</f>
        <v/>
      </c>
      <c r="H28" s="22"/>
      <c r="I28" s="20"/>
      <c r="J28" s="21" t="str">
        <f>IMAGE("https://assets.tcgdex.net/de/sv/sv06.5/034/low.jpg", 1)</f>
        <v/>
      </c>
      <c r="K28" s="22"/>
      <c r="L28" s="20"/>
      <c r="M28" s="21" t="str">
        <f>IMAGE("https://assets.tcgdex.net/de/sv/sv06.5/035/low.jpg", 1)</f>
        <v/>
      </c>
      <c r="N28" s="22"/>
      <c r="O28" s="20"/>
    </row>
    <row r="29" ht="22.5" customHeight="1">
      <c r="A29" s="23" t="b">
        <v>0</v>
      </c>
      <c r="B29" s="24" t="b">
        <v>0</v>
      </c>
      <c r="C29" s="25" t="str">
        <f>HYPERLINK("https://www.cardmarket.com/en/Pokemon/Products/Singles?idCategory=1&amp;idProduct=sv6pt5-31", "CM")</f>
        <v>CM</v>
      </c>
      <c r="D29" s="23" t="b">
        <v>0</v>
      </c>
      <c r="E29" s="24" t="b">
        <v>0</v>
      </c>
      <c r="F29" s="25" t="str">
        <f>HYPERLINK("https://www.cardmarket.com/en/Pokemon/Products/Singles?idCategory=1&amp;idProduct=sv6pt5-32", "CM")</f>
        <v>CM</v>
      </c>
      <c r="G29" s="23" t="b">
        <v>0</v>
      </c>
      <c r="H29" s="24" t="b">
        <v>0</v>
      </c>
      <c r="I29" s="25" t="str">
        <f>HYPERLINK("https://www.cardmarket.com/en/Pokemon/Products/Singles?idCategory=1&amp;idProduct=sv6pt5-33", "CM")</f>
        <v>CM</v>
      </c>
      <c r="J29" s="23" t="b">
        <v>0</v>
      </c>
      <c r="K29" s="24" t="b">
        <v>0</v>
      </c>
      <c r="L29" s="25" t="str">
        <f>HYPERLINK("https://www.cardmarket.com/en/Pokemon/Products/Singles?idCategory=1&amp;idProduct=sv6pt5-34", "CM")</f>
        <v>CM</v>
      </c>
      <c r="M29" s="23" t="b">
        <v>0</v>
      </c>
      <c r="N29" s="24" t="b">
        <v>0</v>
      </c>
      <c r="O29" s="25" t="str">
        <f>HYPERLINK("https://www.cardmarket.com/en/Pokemon/Products/Singles?idCategory=1&amp;idProduct=sv6pt5-35", "CM")</f>
        <v>CM</v>
      </c>
    </row>
    <row r="30" ht="7.5" customHeight="1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</row>
    <row r="31" ht="18.75" customHeight="1">
      <c r="A31" s="18" t="s">
        <v>567</v>
      </c>
      <c r="B31" s="19" t="s">
        <v>1963</v>
      </c>
      <c r="C31" s="20"/>
      <c r="D31" s="18" t="s">
        <v>569</v>
      </c>
      <c r="E31" s="19" t="s">
        <v>1964</v>
      </c>
      <c r="F31" s="20"/>
      <c r="G31" s="18" t="s">
        <v>571</v>
      </c>
      <c r="H31" s="19" t="s">
        <v>1965</v>
      </c>
      <c r="I31" s="20"/>
      <c r="J31" s="18" t="s">
        <v>573</v>
      </c>
      <c r="K31" s="19" t="s">
        <v>1966</v>
      </c>
      <c r="L31" s="20"/>
      <c r="M31" s="18" t="s">
        <v>575</v>
      </c>
      <c r="N31" s="19" t="s">
        <v>1967</v>
      </c>
      <c r="O31" s="20"/>
    </row>
    <row r="32" ht="180.0" customHeight="1">
      <c r="A32" s="21" t="str">
        <f>IMAGE("https://assets.tcgdex.net/de/sv/sv06.5/036/low.jpg", 1)</f>
        <v/>
      </c>
      <c r="B32" s="22"/>
      <c r="C32" s="20"/>
      <c r="D32" s="21" t="str">
        <f>IMAGE("https://assets.tcgdex.net/de/sv/sv06.5/037/low.jpg", 1)</f>
        <v/>
      </c>
      <c r="E32" s="22"/>
      <c r="F32" s="20"/>
      <c r="G32" s="21" t="str">
        <f>IMAGE("https://assets.tcgdex.net/de/sv/sv06.5/038/low.jpg", 1)</f>
        <v/>
      </c>
      <c r="H32" s="22"/>
      <c r="I32" s="20"/>
      <c r="J32" s="21" t="str">
        <f>IMAGE("https://assets.tcgdex.net/de/sv/sv06.5/039/low.jpg", 1)</f>
        <v/>
      </c>
      <c r="K32" s="22"/>
      <c r="L32" s="20"/>
      <c r="M32" s="21" t="str">
        <f>IMAGE("https://assets.tcgdex.net/de/sv/sv06.5/040/low.jpg", 1)</f>
        <v/>
      </c>
      <c r="N32" s="22"/>
      <c r="O32" s="20"/>
    </row>
    <row r="33" ht="22.5" customHeight="1">
      <c r="A33" s="23" t="b">
        <v>0</v>
      </c>
      <c r="B33" s="24" t="b">
        <v>0</v>
      </c>
      <c r="C33" s="25" t="str">
        <f>HYPERLINK("https://www.cardmarket.com/en/Pokemon/Products/Singles?idCategory=1&amp;idProduct=sv6pt5-36", "CM")</f>
        <v>CM</v>
      </c>
      <c r="D33" s="23" t="b">
        <v>0</v>
      </c>
      <c r="E33" s="24" t="b">
        <v>0</v>
      </c>
      <c r="F33" s="25" t="str">
        <f>HYPERLINK("https://www.cardmarket.com/en/Pokemon/Products/Singles?idCategory=1&amp;idProduct=sv6pt5-37", "CM")</f>
        <v>CM</v>
      </c>
      <c r="G33" s="23" t="b">
        <v>0</v>
      </c>
      <c r="H33" s="24" t="b">
        <v>0</v>
      </c>
      <c r="I33" s="25" t="str">
        <f>HYPERLINK("https://www.cardmarket.com/en/Pokemon/Products/Singles?idCategory=1&amp;idProduct=sv6pt5-38", "CM")</f>
        <v>CM</v>
      </c>
      <c r="J33" s="23" t="b">
        <v>0</v>
      </c>
      <c r="K33" s="24" t="b">
        <v>0</v>
      </c>
      <c r="L33" s="25" t="str">
        <f>HYPERLINK("https://www.cardmarket.com/en/Pokemon/Products/Singles?idCategory=1&amp;idProduct=sv6pt5-39", "CM")</f>
        <v>CM</v>
      </c>
      <c r="M33" s="23" t="b">
        <v>0</v>
      </c>
      <c r="N33" s="24" t="b">
        <v>0</v>
      </c>
      <c r="O33" s="25" t="str">
        <f>HYPERLINK("https://www.cardmarket.com/en/Pokemon/Products/Singles?idCategory=1&amp;idProduct=sv6pt5-40", "CM")</f>
        <v>CM</v>
      </c>
    </row>
    <row r="34" ht="7.5" customHeight="1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</row>
    <row r="35" ht="18.75" customHeight="1">
      <c r="A35" s="18" t="s">
        <v>577</v>
      </c>
      <c r="B35" s="19" t="s">
        <v>1968</v>
      </c>
      <c r="C35" s="20"/>
      <c r="D35" s="18" t="s">
        <v>579</v>
      </c>
      <c r="E35" s="19" t="s">
        <v>1969</v>
      </c>
      <c r="F35" s="20"/>
      <c r="G35" s="18" t="s">
        <v>763</v>
      </c>
      <c r="H35" s="19" t="s">
        <v>761</v>
      </c>
      <c r="I35" s="20"/>
      <c r="J35" s="18" t="s">
        <v>765</v>
      </c>
      <c r="K35" s="19" t="s">
        <v>1970</v>
      </c>
      <c r="L35" s="20"/>
      <c r="M35" s="18" t="s">
        <v>581</v>
      </c>
      <c r="N35" s="19" t="s">
        <v>1971</v>
      </c>
      <c r="O35" s="20"/>
    </row>
    <row r="36" ht="180.0" customHeight="1">
      <c r="A36" s="21" t="str">
        <f>IMAGE("https://assets.tcgdex.net/de/sv/sv06.5/041/low.jpg", 1)</f>
        <v/>
      </c>
      <c r="B36" s="22"/>
      <c r="C36" s="20"/>
      <c r="D36" s="21" t="str">
        <f>IMAGE("https://assets.tcgdex.net/de/sv/sv06.5/042/low.jpg", 1)</f>
        <v/>
      </c>
      <c r="E36" s="22"/>
      <c r="F36" s="20"/>
      <c r="G36" s="21" t="str">
        <f>IMAGE("https://assets.tcgdex.net/de/sv/sv06.5/043/low.jpg", 1)</f>
        <v/>
      </c>
      <c r="H36" s="22"/>
      <c r="I36" s="20"/>
      <c r="J36" s="21" t="str">
        <f>IMAGE("https://assets.tcgdex.net/de/sv/sv06.5/044/low.jpg", 1)</f>
        <v/>
      </c>
      <c r="K36" s="22"/>
      <c r="L36" s="20"/>
      <c r="M36" s="21" t="str">
        <f>IMAGE("https://assets.tcgdex.net/de/sv/sv06.5/045/low.jpg", 1)</f>
        <v/>
      </c>
      <c r="N36" s="22"/>
      <c r="O36" s="20"/>
    </row>
    <row r="37" ht="22.5" customHeight="1">
      <c r="A37" s="23" t="b">
        <v>0</v>
      </c>
      <c r="B37" s="24" t="b">
        <v>0</v>
      </c>
      <c r="C37" s="25" t="str">
        <f>HYPERLINK("https://www.cardmarket.com/en/Pokemon/Products/Singles?idCategory=1&amp;idProduct=sv6pt5-41", "CM")</f>
        <v>CM</v>
      </c>
      <c r="D37" s="23" t="b">
        <v>0</v>
      </c>
      <c r="E37" s="24" t="b">
        <v>0</v>
      </c>
      <c r="F37" s="25" t="str">
        <f>HYPERLINK("https://www.cardmarket.com/en/Pokemon/Products/Singles?idCategory=1&amp;idProduct=sv6pt5-42", "CM")</f>
        <v>CM</v>
      </c>
      <c r="G37" s="23" t="b">
        <v>0</v>
      </c>
      <c r="H37" s="24" t="b">
        <v>0</v>
      </c>
      <c r="I37" s="25" t="str">
        <f>HYPERLINK("https://www.cardmarket.com/en/Pokemon/Products/Singles?idCategory=1&amp;idProduct=sv6pt5-43", "CM")</f>
        <v>CM</v>
      </c>
      <c r="J37" s="23" t="b">
        <v>0</v>
      </c>
      <c r="K37" s="24" t="b">
        <v>0</v>
      </c>
      <c r="L37" s="25" t="str">
        <f>HYPERLINK("https://www.cardmarket.com/en/Pokemon/Products/Singles?idCategory=1&amp;idProduct=sv6pt5-44", "CM")</f>
        <v>CM</v>
      </c>
      <c r="M37" s="23" t="b">
        <v>0</v>
      </c>
      <c r="N37" s="24" t="b">
        <v>0</v>
      </c>
      <c r="O37" s="25" t="str">
        <f>HYPERLINK("https://www.cardmarket.com/en/Pokemon/Products/Singles?idCategory=1&amp;idProduct=sv6pt5-45", "CM")</f>
        <v>CM</v>
      </c>
    </row>
    <row r="38" ht="7.5" customHeight="1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</row>
    <row r="39" ht="18.75" customHeight="1">
      <c r="A39" s="18" t="s">
        <v>767</v>
      </c>
      <c r="B39" s="19" t="s">
        <v>1972</v>
      </c>
      <c r="C39" s="20"/>
      <c r="D39" s="18" t="s">
        <v>769</v>
      </c>
      <c r="E39" s="19" t="s">
        <v>1973</v>
      </c>
      <c r="F39" s="20"/>
      <c r="G39" s="18" t="s">
        <v>770</v>
      </c>
      <c r="H39" s="19" t="s">
        <v>1512</v>
      </c>
      <c r="I39" s="20"/>
      <c r="J39" s="18" t="s">
        <v>772</v>
      </c>
      <c r="K39" s="19" t="s">
        <v>1513</v>
      </c>
      <c r="L39" s="20"/>
      <c r="M39" s="18" t="s">
        <v>774</v>
      </c>
      <c r="N39" s="19" t="s">
        <v>764</v>
      </c>
      <c r="O39" s="20"/>
    </row>
    <row r="40" ht="180.0" customHeight="1">
      <c r="A40" s="21" t="str">
        <f>IMAGE("https://assets.tcgdex.net/de/sv/sv06.5/046/low.jpg", 1)</f>
        <v/>
      </c>
      <c r="B40" s="22"/>
      <c r="C40" s="20"/>
      <c r="D40" s="21" t="str">
        <f>IMAGE("https://assets.tcgdex.net/de/sv/sv06.5/047/low.jpg", 1)</f>
        <v/>
      </c>
      <c r="E40" s="22"/>
      <c r="F40" s="20"/>
      <c r="G40" s="21" t="str">
        <f>IMAGE("https://assets.tcgdex.net/de/sv/sv06.5/048/low.jpg", 1)</f>
        <v/>
      </c>
      <c r="H40" s="22"/>
      <c r="I40" s="20"/>
      <c r="J40" s="21" t="str">
        <f>IMAGE("https://assets.tcgdex.net/de/sv/sv06.5/049/low.jpg", 1)</f>
        <v/>
      </c>
      <c r="K40" s="22"/>
      <c r="L40" s="20"/>
      <c r="M40" s="21" t="str">
        <f>IMAGE("https://assets.tcgdex.net/de/sv/sv06.5/050/low.jpg", 1)</f>
        <v/>
      </c>
      <c r="N40" s="22"/>
      <c r="O40" s="20"/>
    </row>
    <row r="41" ht="22.5" customHeight="1">
      <c r="A41" s="23" t="b">
        <v>0</v>
      </c>
      <c r="B41" s="24" t="b">
        <v>0</v>
      </c>
      <c r="C41" s="25" t="str">
        <f>HYPERLINK("https://www.cardmarket.com/en/Pokemon/Products/Singles?idCategory=1&amp;idProduct=sv6pt5-46", "CM")</f>
        <v>CM</v>
      </c>
      <c r="D41" s="23" t="b">
        <v>0</v>
      </c>
      <c r="E41" s="24" t="b">
        <v>0</v>
      </c>
      <c r="F41" s="25" t="str">
        <f>HYPERLINK("https://www.cardmarket.com/en/Pokemon/Products/Singles?idCategory=1&amp;idProduct=sv6pt5-47", "CM")</f>
        <v>CM</v>
      </c>
      <c r="G41" s="23" t="b">
        <v>0</v>
      </c>
      <c r="H41" s="24" t="b">
        <v>0</v>
      </c>
      <c r="I41" s="25" t="str">
        <f>HYPERLINK("https://www.cardmarket.com/en/Pokemon/Products/Singles?idCategory=1&amp;idProduct=sv6pt5-48", "CM")</f>
        <v>CM</v>
      </c>
      <c r="J41" s="23" t="b">
        <v>0</v>
      </c>
      <c r="K41" s="24" t="b">
        <v>0</v>
      </c>
      <c r="L41" s="25" t="str">
        <f>HYPERLINK("https://www.cardmarket.com/en/Pokemon/Products/Singles?idCategory=1&amp;idProduct=sv6pt5-49", "CM")</f>
        <v>CM</v>
      </c>
      <c r="M41" s="23" t="b">
        <v>0</v>
      </c>
      <c r="N41" s="24" t="b">
        <v>0</v>
      </c>
      <c r="O41" s="25" t="str">
        <f>HYPERLINK("https://www.cardmarket.com/en/Pokemon/Products/Singles?idCategory=1&amp;idProduct=sv6pt5-50", "CM")</f>
        <v>CM</v>
      </c>
    </row>
    <row r="42" ht="7.5" customHeight="1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</row>
    <row r="43" ht="18.75" customHeight="1">
      <c r="A43" s="18" t="s">
        <v>776</v>
      </c>
      <c r="B43" s="19" t="s">
        <v>1974</v>
      </c>
      <c r="C43" s="20"/>
      <c r="D43" s="18" t="s">
        <v>778</v>
      </c>
      <c r="E43" s="19" t="s">
        <v>1975</v>
      </c>
      <c r="F43" s="20"/>
      <c r="G43" s="18" t="s">
        <v>780</v>
      </c>
      <c r="H43" s="19" t="s">
        <v>1976</v>
      </c>
      <c r="I43" s="20"/>
      <c r="J43" s="18" t="s">
        <v>583</v>
      </c>
      <c r="K43" s="19" t="s">
        <v>1977</v>
      </c>
      <c r="L43" s="20"/>
      <c r="M43" s="18" t="s">
        <v>585</v>
      </c>
      <c r="N43" s="19" t="s">
        <v>1978</v>
      </c>
      <c r="O43" s="20"/>
    </row>
    <row r="44" ht="180.0" customHeight="1">
      <c r="A44" s="21" t="str">
        <f>IMAGE("https://assets.tcgdex.net/de/sv/sv06.5/051/low.jpg", 1)</f>
        <v/>
      </c>
      <c r="B44" s="22"/>
      <c r="C44" s="20"/>
      <c r="D44" s="21" t="str">
        <f>IMAGE("https://assets.tcgdex.net/de/sv/sv06.5/052/low.jpg", 1)</f>
        <v/>
      </c>
      <c r="E44" s="22"/>
      <c r="F44" s="20"/>
      <c r="G44" s="21" t="str">
        <f>IMAGE("https://assets.tcgdex.net/de/sv/sv06.5/053/low.jpg", 1)</f>
        <v/>
      </c>
      <c r="H44" s="22"/>
      <c r="I44" s="20"/>
      <c r="J44" s="21" t="str">
        <f>IMAGE("https://assets.tcgdex.net/de/sv/sv06.5/054/low.jpg", 1)</f>
        <v/>
      </c>
      <c r="K44" s="22"/>
      <c r="L44" s="20"/>
      <c r="M44" s="21" t="str">
        <f>IMAGE("https://assets.tcgdex.net/de/sv/sv06.5/055/low.jpg", 1)</f>
        <v/>
      </c>
      <c r="N44" s="22"/>
      <c r="O44" s="20"/>
    </row>
    <row r="45" ht="22.5" customHeight="1">
      <c r="A45" s="23" t="b">
        <v>0</v>
      </c>
      <c r="B45" s="24" t="b">
        <v>0</v>
      </c>
      <c r="C45" s="25" t="str">
        <f>HYPERLINK("https://www.cardmarket.com/en/Pokemon/Products/Singles?idCategory=1&amp;idProduct=sv6pt5-51", "CM")</f>
        <v>CM</v>
      </c>
      <c r="D45" s="23" t="b">
        <v>0</v>
      </c>
      <c r="E45" s="24" t="b">
        <v>0</v>
      </c>
      <c r="F45" s="25" t="str">
        <f>HYPERLINK("https://www.cardmarket.com/en/Pokemon/Products/Singles?idCategory=1&amp;idProduct=sv6pt5-52", "CM")</f>
        <v>CM</v>
      </c>
      <c r="G45" s="23" t="b">
        <v>0</v>
      </c>
      <c r="H45" s="24" t="b">
        <v>0</v>
      </c>
      <c r="I45" s="25" t="str">
        <f>HYPERLINK("https://www.cardmarket.com/en/Pokemon/Products/Singles?idCategory=1&amp;idProduct=sv6pt5-53", "CM")</f>
        <v>CM</v>
      </c>
      <c r="J45" s="23" t="b">
        <v>0</v>
      </c>
      <c r="K45" s="24" t="b">
        <v>0</v>
      </c>
      <c r="L45" s="25" t="str">
        <f>HYPERLINK("https://www.cardmarket.com/en/Pokemon/Products/Singles?idCategory=1&amp;idProduct=sv6pt5-54", "CM")</f>
        <v>CM</v>
      </c>
      <c r="M45" s="23" t="b">
        <v>0</v>
      </c>
      <c r="N45" s="24" t="b">
        <v>0</v>
      </c>
      <c r="O45" s="25" t="str">
        <f>HYPERLINK("https://www.cardmarket.com/en/Pokemon/Products/Singles?idCategory=1&amp;idProduct=sv6pt5-55", "CM")</f>
        <v>CM</v>
      </c>
    </row>
    <row r="46" ht="7.5" customHeight="1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</row>
    <row r="47" ht="18.75" customHeight="1">
      <c r="A47" s="18" t="s">
        <v>782</v>
      </c>
      <c r="B47" s="19" t="s">
        <v>1979</v>
      </c>
      <c r="C47" s="20"/>
      <c r="D47" s="18" t="s">
        <v>587</v>
      </c>
      <c r="E47" s="19" t="s">
        <v>1980</v>
      </c>
      <c r="F47" s="20"/>
      <c r="G47" s="18" t="s">
        <v>589</v>
      </c>
      <c r="H47" s="19" t="s">
        <v>1981</v>
      </c>
      <c r="I47" s="20"/>
      <c r="J47" s="18" t="s">
        <v>591</v>
      </c>
      <c r="K47" s="19" t="s">
        <v>1982</v>
      </c>
      <c r="L47" s="20"/>
      <c r="M47" s="18" t="s">
        <v>593</v>
      </c>
      <c r="N47" s="19" t="s">
        <v>1983</v>
      </c>
      <c r="O47" s="20"/>
    </row>
    <row r="48" ht="180.0" customHeight="1">
      <c r="A48" s="21" t="str">
        <f>IMAGE("https://assets.tcgdex.net/de/sv/sv06.5/056/low.jpg", 1)</f>
        <v/>
      </c>
      <c r="B48" s="22"/>
      <c r="C48" s="20"/>
      <c r="D48" s="21" t="str">
        <f>IMAGE("https://assets.tcgdex.net/de/sv/sv06.5/057/low.jpg", 1)</f>
        <v/>
      </c>
      <c r="E48" s="22"/>
      <c r="F48" s="20"/>
      <c r="G48" s="21" t="str">
        <f>IMAGE("https://assets.tcgdex.net/de/sv/sv06.5/058/low.jpg", 1)</f>
        <v/>
      </c>
      <c r="H48" s="22"/>
      <c r="I48" s="20"/>
      <c r="J48" s="21" t="str">
        <f>IMAGE("https://assets.tcgdex.net/de/sv/sv06.5/059/low.jpg", 1)</f>
        <v/>
      </c>
      <c r="K48" s="22"/>
      <c r="L48" s="20"/>
      <c r="M48" s="21" t="str">
        <f>IMAGE("https://assets.tcgdex.net/de/sv/sv06.5/060/low.jpg", 1)</f>
        <v/>
      </c>
      <c r="N48" s="22"/>
      <c r="O48" s="20"/>
    </row>
    <row r="49" ht="22.5" customHeight="1">
      <c r="A49" s="23" t="b">
        <v>0</v>
      </c>
      <c r="B49" s="24" t="b">
        <v>0</v>
      </c>
      <c r="C49" s="25" t="str">
        <f>HYPERLINK("https://www.cardmarket.com/en/Pokemon/Products/Singles?idCategory=1&amp;idProduct=sv6pt5-56", "CM")</f>
        <v>CM</v>
      </c>
      <c r="D49" s="23" t="b">
        <v>0</v>
      </c>
      <c r="E49" s="24" t="b">
        <v>0</v>
      </c>
      <c r="F49" s="25" t="str">
        <f>HYPERLINK("https://www.cardmarket.com/en/Pokemon/Products/Singles?idCategory=1&amp;idProduct=sv6pt5-57", "CM")</f>
        <v>CM</v>
      </c>
      <c r="G49" s="23" t="b">
        <v>0</v>
      </c>
      <c r="H49" s="24" t="b">
        <v>0</v>
      </c>
      <c r="I49" s="25" t="str">
        <f>HYPERLINK("https://www.cardmarket.com/en/Pokemon/Products/Singles?idCategory=1&amp;idProduct=sv6pt5-58", "CM")</f>
        <v>CM</v>
      </c>
      <c r="J49" s="23" t="b">
        <v>0</v>
      </c>
      <c r="K49" s="24" t="b">
        <v>0</v>
      </c>
      <c r="L49" s="25" t="str">
        <f>HYPERLINK("https://www.cardmarket.com/en/Pokemon/Products/Singles?idCategory=1&amp;idProduct=sv6pt5-59", "CM")</f>
        <v>CM</v>
      </c>
      <c r="M49" s="23" t="b">
        <v>0</v>
      </c>
      <c r="N49" s="24" t="b">
        <v>0</v>
      </c>
      <c r="O49" s="25" t="str">
        <f>HYPERLINK("https://www.cardmarket.com/en/Pokemon/Products/Singles?idCategory=1&amp;idProduct=sv6pt5-60", "CM")</f>
        <v>CM</v>
      </c>
    </row>
    <row r="50" ht="7.5" customHeight="1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</row>
    <row r="51" ht="18.75" customHeight="1">
      <c r="A51" s="18" t="s">
        <v>595</v>
      </c>
      <c r="B51" s="19" t="s">
        <v>1984</v>
      </c>
      <c r="C51" s="20"/>
      <c r="D51" s="18" t="s">
        <v>597</v>
      </c>
      <c r="E51" s="19" t="s">
        <v>1985</v>
      </c>
      <c r="F51" s="20"/>
      <c r="G51" s="18" t="s">
        <v>784</v>
      </c>
      <c r="H51" s="19" t="s">
        <v>1986</v>
      </c>
      <c r="I51" s="20"/>
      <c r="J51" s="18" t="s">
        <v>786</v>
      </c>
      <c r="K51" s="19" t="s">
        <v>1987</v>
      </c>
      <c r="L51" s="20"/>
      <c r="M51" s="18" t="s">
        <v>788</v>
      </c>
      <c r="N51" s="19" t="s">
        <v>1955</v>
      </c>
      <c r="O51" s="20"/>
    </row>
    <row r="52" ht="180.0" customHeight="1">
      <c r="A52" s="21" t="str">
        <f>IMAGE("https://assets.tcgdex.net/de/sv/sv06.5/061/low.jpg", 1)</f>
        <v/>
      </c>
      <c r="B52" s="22"/>
      <c r="C52" s="20"/>
      <c r="D52" s="21" t="str">
        <f>IMAGE("https://assets.tcgdex.net/de/sv/sv06.5/062/low.jpg", 1)</f>
        <v/>
      </c>
      <c r="E52" s="22"/>
      <c r="F52" s="20"/>
      <c r="G52" s="21" t="str">
        <f>IMAGE("https://assets.tcgdex.net/de/sv/sv06.5/063/low.jpg", 1)</f>
        <v/>
      </c>
      <c r="H52" s="22"/>
      <c r="I52" s="20"/>
      <c r="J52" s="21" t="str">
        <f>IMAGE("https://assets.tcgdex.net/de/sv/sv06.5/064/low.jpg", 1)</f>
        <v/>
      </c>
      <c r="K52" s="22"/>
      <c r="L52" s="20"/>
      <c r="M52" s="21" t="str">
        <f>IMAGE("https://assets.tcgdex.net/de/sv/sv06.5/065/low.jpg", 1)</f>
        <v/>
      </c>
      <c r="N52" s="22"/>
      <c r="O52" s="20"/>
    </row>
    <row r="53" ht="22.5" customHeight="1">
      <c r="A53" s="23" t="b">
        <v>0</v>
      </c>
      <c r="B53" s="24" t="b">
        <v>0</v>
      </c>
      <c r="C53" s="25" t="str">
        <f>HYPERLINK("https://www.cardmarket.com/en/Pokemon/Products/Singles?idCategory=1&amp;idProduct=sv6pt5-61", "CM")</f>
        <v>CM</v>
      </c>
      <c r="D53" s="23" t="b">
        <v>0</v>
      </c>
      <c r="E53" s="24" t="b">
        <v>0</v>
      </c>
      <c r="F53" s="25" t="str">
        <f>HYPERLINK("https://www.cardmarket.com/en/Pokemon/Products/Singles?idCategory=1&amp;idProduct=sv6pt5-62", "CM")</f>
        <v>CM</v>
      </c>
      <c r="G53" s="23" t="b">
        <v>0</v>
      </c>
      <c r="H53" s="24" t="b">
        <v>0</v>
      </c>
      <c r="I53" s="25" t="str">
        <f>HYPERLINK("https://www.cardmarket.com/en/Pokemon/Products/Singles?idCategory=1&amp;idProduct=sv6pt5-63", "CM")</f>
        <v>CM</v>
      </c>
      <c r="J53" s="23" t="b">
        <v>0</v>
      </c>
      <c r="K53" s="24" t="b">
        <v>0</v>
      </c>
      <c r="L53" s="25" t="str">
        <f>HYPERLINK("https://www.cardmarket.com/en/Pokemon/Products/Singles?idCategory=1&amp;idProduct=sv6pt5-64", "CM")</f>
        <v>CM</v>
      </c>
      <c r="M53" s="23" t="b">
        <v>0</v>
      </c>
      <c r="N53" s="24" t="b">
        <v>0</v>
      </c>
      <c r="O53" s="25" t="str">
        <f>HYPERLINK("https://www.cardmarket.com/en/Pokemon/Products/Singles?idCategory=1&amp;idProduct=sv6pt5-65", "CM")</f>
        <v>CM</v>
      </c>
    </row>
    <row r="54" ht="7.5" customHeight="1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</row>
    <row r="55" ht="18.75" customHeight="1">
      <c r="A55" s="18" t="s">
        <v>790</v>
      </c>
      <c r="B55" s="19" t="s">
        <v>1255</v>
      </c>
      <c r="C55" s="20"/>
      <c r="D55" s="18" t="s">
        <v>791</v>
      </c>
      <c r="E55" s="19" t="s">
        <v>671</v>
      </c>
      <c r="F55" s="20"/>
      <c r="G55" s="18" t="s">
        <v>793</v>
      </c>
      <c r="H55" s="19" t="s">
        <v>1956</v>
      </c>
      <c r="I55" s="20"/>
      <c r="J55" s="18" t="s">
        <v>795</v>
      </c>
      <c r="K55" s="19" t="s">
        <v>930</v>
      </c>
      <c r="L55" s="20"/>
      <c r="M55" s="18" t="s">
        <v>797</v>
      </c>
      <c r="N55" s="19" t="s">
        <v>1957</v>
      </c>
      <c r="O55" s="20"/>
    </row>
    <row r="56" ht="180.0" customHeight="1">
      <c r="A56" s="21" t="str">
        <f>IMAGE("https://assets.tcgdex.net/de/sv/sv06.5/066/low.jpg", 1)</f>
        <v/>
      </c>
      <c r="B56" s="22"/>
      <c r="C56" s="20"/>
      <c r="D56" s="21" t="str">
        <f>IMAGE("https://assets.tcgdex.net/de/sv/sv06.5/067/low.jpg", 1)</f>
        <v/>
      </c>
      <c r="E56" s="22"/>
      <c r="F56" s="20"/>
      <c r="G56" s="21" t="str">
        <f>IMAGE("https://assets.tcgdex.net/de/sv/sv06.5/068/low.jpg", 1)</f>
        <v/>
      </c>
      <c r="H56" s="22"/>
      <c r="I56" s="20"/>
      <c r="J56" s="21" t="str">
        <f>IMAGE("https://assets.tcgdex.net/de/sv/sv06.5/069/low.jpg", 1)</f>
        <v/>
      </c>
      <c r="K56" s="22"/>
      <c r="L56" s="20"/>
      <c r="M56" s="21" t="str">
        <f>IMAGE("https://assets.tcgdex.net/de/sv/sv06.5/070/low.jpg", 1)</f>
        <v/>
      </c>
      <c r="N56" s="22"/>
      <c r="O56" s="20"/>
    </row>
    <row r="57" ht="22.5" customHeight="1">
      <c r="A57" s="23" t="b">
        <v>0</v>
      </c>
      <c r="B57" s="24" t="b">
        <v>0</v>
      </c>
      <c r="C57" s="25" t="str">
        <f>HYPERLINK("https://www.cardmarket.com/en/Pokemon/Products/Singles?idCategory=1&amp;idProduct=sv6pt5-66", "CM")</f>
        <v>CM</v>
      </c>
      <c r="D57" s="23" t="b">
        <v>0</v>
      </c>
      <c r="E57" s="24" t="b">
        <v>0</v>
      </c>
      <c r="F57" s="25" t="str">
        <f>HYPERLINK("https://www.cardmarket.com/en/Pokemon/Products/Singles?idCategory=1&amp;idProduct=sv6pt5-67", "CM")</f>
        <v>CM</v>
      </c>
      <c r="G57" s="23" t="b">
        <v>0</v>
      </c>
      <c r="H57" s="24" t="b">
        <v>0</v>
      </c>
      <c r="I57" s="25" t="str">
        <f>HYPERLINK("https://www.cardmarket.com/en/Pokemon/Products/Singles?idCategory=1&amp;idProduct=sv6pt5-68", "CM")</f>
        <v>CM</v>
      </c>
      <c r="J57" s="23" t="b">
        <v>0</v>
      </c>
      <c r="K57" s="24" t="b">
        <v>0</v>
      </c>
      <c r="L57" s="25" t="str">
        <f>HYPERLINK("https://www.cardmarket.com/en/Pokemon/Products/Singles?idCategory=1&amp;idProduct=sv6pt5-69", "CM")</f>
        <v>CM</v>
      </c>
      <c r="M57" s="23" t="b">
        <v>0</v>
      </c>
      <c r="N57" s="24" t="b">
        <v>0</v>
      </c>
      <c r="O57" s="25" t="str">
        <f>HYPERLINK("https://www.cardmarket.com/en/Pokemon/Products/Singles?idCategory=1&amp;idProduct=sv6pt5-70", "CM")</f>
        <v>CM</v>
      </c>
    </row>
    <row r="58" ht="7.5" customHeight="1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</row>
    <row r="59" ht="18.75" customHeight="1">
      <c r="A59" s="18" t="s">
        <v>799</v>
      </c>
      <c r="B59" s="19" t="s">
        <v>1958</v>
      </c>
      <c r="C59" s="20"/>
      <c r="D59" s="18" t="s">
        <v>801</v>
      </c>
      <c r="E59" s="19" t="s">
        <v>1905</v>
      </c>
      <c r="F59" s="20"/>
      <c r="G59" s="18" t="s">
        <v>803</v>
      </c>
      <c r="H59" s="19" t="s">
        <v>1906</v>
      </c>
      <c r="I59" s="20"/>
      <c r="J59" s="18" t="s">
        <v>805</v>
      </c>
      <c r="K59" s="19" t="s">
        <v>1913</v>
      </c>
      <c r="L59" s="20"/>
      <c r="M59" s="18" t="s">
        <v>806</v>
      </c>
      <c r="N59" s="19" t="s">
        <v>1961</v>
      </c>
      <c r="O59" s="20"/>
    </row>
    <row r="60" ht="180.0" customHeight="1">
      <c r="A60" s="21" t="str">
        <f>IMAGE("https://assets.tcgdex.net/de/sv/sv06.5/071/low.jpg", 1)</f>
        <v/>
      </c>
      <c r="B60" s="22"/>
      <c r="C60" s="20"/>
      <c r="D60" s="21" t="str">
        <f>IMAGE("https://assets.tcgdex.net/de/sv/sv06.5/072/low.jpg", 1)</f>
        <v/>
      </c>
      <c r="E60" s="22"/>
      <c r="F60" s="20"/>
      <c r="G60" s="21" t="str">
        <f>IMAGE("https://assets.tcgdex.net/de/sv/sv06.5/073/low.jpg", 1)</f>
        <v/>
      </c>
      <c r="H60" s="22"/>
      <c r="I60" s="20"/>
      <c r="J60" s="21" t="str">
        <f>IMAGE("https://assets.tcgdex.net/de/sv/sv06.5/074/low.jpg", 1)</f>
        <v/>
      </c>
      <c r="K60" s="22"/>
      <c r="L60" s="20"/>
      <c r="M60" s="21" t="str">
        <f>IMAGE("https://assets.tcgdex.net/de/sv/sv06.5/075/low.jpg", 1)</f>
        <v/>
      </c>
      <c r="N60" s="22"/>
      <c r="O60" s="20"/>
    </row>
    <row r="61" ht="22.5" customHeight="1">
      <c r="A61" s="23" t="b">
        <v>0</v>
      </c>
      <c r="B61" s="24" t="b">
        <v>0</v>
      </c>
      <c r="C61" s="25" t="str">
        <f>HYPERLINK("https://www.cardmarket.com/en/Pokemon/Products/Singles?idCategory=1&amp;idProduct=sv6pt5-71", "CM")</f>
        <v>CM</v>
      </c>
      <c r="D61" s="23" t="b">
        <v>0</v>
      </c>
      <c r="E61" s="24" t="b">
        <v>0</v>
      </c>
      <c r="F61" s="25" t="str">
        <f>HYPERLINK("https://www.cardmarket.com/en/Pokemon/Products/Singles?idCategory=1&amp;idProduct=sv6pt5-72", "CM")</f>
        <v>CM</v>
      </c>
      <c r="G61" s="23" t="b">
        <v>0</v>
      </c>
      <c r="H61" s="24" t="b">
        <v>0</v>
      </c>
      <c r="I61" s="25" t="str">
        <f>HYPERLINK("https://www.cardmarket.com/en/Pokemon/Products/Singles?idCategory=1&amp;idProduct=sv6pt5-73", "CM")</f>
        <v>CM</v>
      </c>
      <c r="J61" s="23" t="b">
        <v>0</v>
      </c>
      <c r="K61" s="24" t="b">
        <v>0</v>
      </c>
      <c r="L61" s="25" t="str">
        <f>HYPERLINK("https://www.cardmarket.com/en/Pokemon/Products/Singles?idCategory=1&amp;idProduct=sv6pt5-74", "CM")</f>
        <v>CM</v>
      </c>
      <c r="M61" s="23" t="b">
        <v>0</v>
      </c>
      <c r="N61" s="24" t="b">
        <v>0</v>
      </c>
      <c r="O61" s="25" t="str">
        <f>HYPERLINK("https://www.cardmarket.com/en/Pokemon/Products/Singles?idCategory=1&amp;idProduct=sv6pt5-75", "CM")</f>
        <v>CM</v>
      </c>
    </row>
    <row r="62" ht="7.5" customHeight="1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</row>
    <row r="63" ht="18.75" customHeight="1">
      <c r="A63" s="18" t="s">
        <v>808</v>
      </c>
      <c r="B63" s="19" t="s">
        <v>1968</v>
      </c>
      <c r="C63" s="20"/>
      <c r="D63" s="18" t="s">
        <v>809</v>
      </c>
      <c r="E63" s="19" t="s">
        <v>1971</v>
      </c>
      <c r="F63" s="20"/>
      <c r="G63" s="18" t="s">
        <v>811</v>
      </c>
      <c r="H63" s="19" t="s">
        <v>1513</v>
      </c>
      <c r="I63" s="20"/>
      <c r="J63" s="18" t="s">
        <v>599</v>
      </c>
      <c r="K63" s="19" t="s">
        <v>1976</v>
      </c>
      <c r="L63" s="20"/>
      <c r="M63" s="18" t="s">
        <v>601</v>
      </c>
      <c r="N63" s="19" t="s">
        <v>843</v>
      </c>
      <c r="O63" s="20"/>
    </row>
    <row r="64" ht="180.0" customHeight="1">
      <c r="A64" s="21" t="str">
        <f>IMAGE("https://assets.tcgdex.net/de/sv/sv06.5/076/low.jpg", 1)</f>
        <v/>
      </c>
      <c r="B64" s="22"/>
      <c r="C64" s="20"/>
      <c r="D64" s="21" t="str">
        <f>IMAGE("https://assets.tcgdex.net/de/sv/sv06.5/077/low.jpg", 1)</f>
        <v/>
      </c>
      <c r="E64" s="22"/>
      <c r="F64" s="20"/>
      <c r="G64" s="21" t="str">
        <f>IMAGE("https://assets.tcgdex.net/de/sv/sv06.5/078/low.jpg", 1)</f>
        <v/>
      </c>
      <c r="H64" s="22"/>
      <c r="I64" s="20"/>
      <c r="J64" s="21" t="str">
        <f>IMAGE("https://assets.tcgdex.net/de/sv/sv06.5/079/low.jpg", 1)</f>
        <v/>
      </c>
      <c r="K64" s="22"/>
      <c r="L64" s="20"/>
      <c r="M64" s="21" t="str">
        <f>IMAGE("https://assets.tcgdex.net/de/sv/sv06.5/080/low.jpg", 1)</f>
        <v/>
      </c>
      <c r="N64" s="22"/>
      <c r="O64" s="20"/>
    </row>
    <row r="65" ht="22.5" customHeight="1">
      <c r="A65" s="23" t="b">
        <v>0</v>
      </c>
      <c r="B65" s="24" t="b">
        <v>0</v>
      </c>
      <c r="C65" s="25" t="str">
        <f>HYPERLINK("https://www.cardmarket.com/en/Pokemon/Products/Singles?idCategory=1&amp;idProduct=sv6pt5-76", "CM")</f>
        <v>CM</v>
      </c>
      <c r="D65" s="23" t="b">
        <v>0</v>
      </c>
      <c r="E65" s="24" t="b">
        <v>0</v>
      </c>
      <c r="F65" s="25" t="str">
        <f>HYPERLINK("https://www.cardmarket.com/en/Pokemon/Products/Singles?idCategory=1&amp;idProduct=sv6pt5-77", "CM")</f>
        <v>CM</v>
      </c>
      <c r="G65" s="23" t="b">
        <v>0</v>
      </c>
      <c r="H65" s="24" t="b">
        <v>0</v>
      </c>
      <c r="I65" s="25" t="str">
        <f>HYPERLINK("https://www.cardmarket.com/en/Pokemon/Products/Singles?idCategory=1&amp;idProduct=sv6pt5-78", "CM")</f>
        <v>CM</v>
      </c>
      <c r="J65" s="23" t="b">
        <v>0</v>
      </c>
      <c r="K65" s="24" t="b">
        <v>0</v>
      </c>
      <c r="L65" s="25" t="str">
        <f>HYPERLINK("https://www.cardmarket.com/en/Pokemon/Products/Singles?idCategory=1&amp;idProduct=sv6pt5-79", "CM")</f>
        <v>CM</v>
      </c>
      <c r="M65" s="23" t="b">
        <v>0</v>
      </c>
      <c r="N65" s="24" t="b">
        <v>0</v>
      </c>
      <c r="O65" s="25" t="str">
        <f>HYPERLINK("https://www.cardmarket.com/en/Pokemon/Products/Singles?idCategory=1&amp;idProduct=sv6pt5-80", "CM")</f>
        <v>CM</v>
      </c>
    </row>
    <row r="66" ht="7.5" customHeight="1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</row>
    <row r="67" ht="18.75" customHeight="1">
      <c r="A67" s="18" t="s">
        <v>603</v>
      </c>
      <c r="B67" s="19" t="s">
        <v>1444</v>
      </c>
      <c r="C67" s="20"/>
      <c r="D67" s="18" t="s">
        <v>604</v>
      </c>
      <c r="E67" s="19" t="s">
        <v>1963</v>
      </c>
      <c r="F67" s="20"/>
      <c r="G67" s="18" t="s">
        <v>606</v>
      </c>
      <c r="H67" s="19" t="s">
        <v>1964</v>
      </c>
      <c r="I67" s="20"/>
      <c r="J67" s="18" t="s">
        <v>608</v>
      </c>
      <c r="K67" s="19" t="s">
        <v>1965</v>
      </c>
      <c r="L67" s="20"/>
      <c r="M67" s="18" t="s">
        <v>609</v>
      </c>
      <c r="N67" s="19" t="s">
        <v>1966</v>
      </c>
      <c r="O67" s="20"/>
    </row>
    <row r="68" ht="180.0" customHeight="1">
      <c r="A68" s="21" t="str">
        <f>IMAGE("https://assets.tcgdex.net/de/sv/sv06.5/081/low.jpg", 1)</f>
        <v/>
      </c>
      <c r="B68" s="22"/>
      <c r="C68" s="20"/>
      <c r="D68" s="21" t="str">
        <f>IMAGE("https://assets.tcgdex.net/de/sv/sv06.5/082/low.jpg", 1)</f>
        <v/>
      </c>
      <c r="E68" s="22"/>
      <c r="F68" s="20"/>
      <c r="G68" s="21" t="str">
        <f>IMAGE("https://assets.tcgdex.net/de/sv/sv06.5/083/low.jpg", 1)</f>
        <v/>
      </c>
      <c r="H68" s="22"/>
      <c r="I68" s="20"/>
      <c r="J68" s="21" t="str">
        <f>IMAGE("https://assets.tcgdex.net/de/sv/sv06.5/084/low.jpg", 1)</f>
        <v/>
      </c>
      <c r="K68" s="22"/>
      <c r="L68" s="20"/>
      <c r="M68" s="21" t="str">
        <f>IMAGE("https://assets.tcgdex.net/de/sv/sv06.5/085/low.jpg", 1)</f>
        <v/>
      </c>
      <c r="N68" s="22"/>
      <c r="O68" s="20"/>
    </row>
    <row r="69" ht="22.5" customHeight="1">
      <c r="A69" s="23" t="b">
        <v>0</v>
      </c>
      <c r="B69" s="24" t="b">
        <v>0</v>
      </c>
      <c r="C69" s="25" t="str">
        <f>HYPERLINK("https://www.cardmarket.com/en/Pokemon/Products/Singles?idCategory=1&amp;idProduct=sv6pt5-81", "CM")</f>
        <v>CM</v>
      </c>
      <c r="D69" s="23" t="b">
        <v>0</v>
      </c>
      <c r="E69" s="24" t="b">
        <v>0</v>
      </c>
      <c r="F69" s="25" t="str">
        <f>HYPERLINK("https://www.cardmarket.com/en/Pokemon/Products/Singles?idCategory=1&amp;idProduct=sv6pt5-82", "CM")</f>
        <v>CM</v>
      </c>
      <c r="G69" s="23" t="b">
        <v>0</v>
      </c>
      <c r="H69" s="24" t="b">
        <v>0</v>
      </c>
      <c r="I69" s="25" t="str">
        <f>HYPERLINK("https://www.cardmarket.com/en/Pokemon/Products/Singles?idCategory=1&amp;idProduct=sv6pt5-83", "CM")</f>
        <v>CM</v>
      </c>
      <c r="J69" s="23" t="b">
        <v>0</v>
      </c>
      <c r="K69" s="24" t="b">
        <v>0</v>
      </c>
      <c r="L69" s="25" t="str">
        <f>HYPERLINK("https://www.cardmarket.com/en/Pokemon/Products/Singles?idCategory=1&amp;idProduct=sv6pt5-84", "CM")</f>
        <v>CM</v>
      </c>
      <c r="M69" s="23" t="b">
        <v>0</v>
      </c>
      <c r="N69" s="24" t="b">
        <v>0</v>
      </c>
      <c r="O69" s="25" t="str">
        <f>HYPERLINK("https://www.cardmarket.com/en/Pokemon/Products/Singles?idCategory=1&amp;idProduct=sv6pt5-85", "CM")</f>
        <v>CM</v>
      </c>
    </row>
    <row r="70" ht="7.5" customHeight="1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</row>
    <row r="71" ht="18.75" customHeight="1">
      <c r="A71" s="18" t="s">
        <v>611</v>
      </c>
      <c r="B71" s="19" t="s">
        <v>1979</v>
      </c>
      <c r="C71" s="20"/>
      <c r="D71" s="18" t="s">
        <v>613</v>
      </c>
      <c r="E71" s="19" t="s">
        <v>1980</v>
      </c>
      <c r="F71" s="20"/>
      <c r="G71" s="18" t="s">
        <v>615</v>
      </c>
      <c r="H71" s="19" t="s">
        <v>1982</v>
      </c>
      <c r="I71" s="20"/>
      <c r="J71" s="18" t="s">
        <v>617</v>
      </c>
      <c r="K71" s="19" t="s">
        <v>1987</v>
      </c>
      <c r="L71" s="20"/>
      <c r="M71" s="18" t="s">
        <v>619</v>
      </c>
      <c r="N71" s="19" t="s">
        <v>1963</v>
      </c>
      <c r="O71" s="20"/>
    </row>
    <row r="72" ht="180.0" customHeight="1">
      <c r="A72" s="21" t="str">
        <f>IMAGE("https://assets.tcgdex.net/de/sv/sv06.5/086/low.jpg", 1)</f>
        <v/>
      </c>
      <c r="B72" s="22"/>
      <c r="C72" s="20"/>
      <c r="D72" s="21" t="str">
        <f>IMAGE("https://assets.tcgdex.net/de/sv/sv06.5/087/low.jpg", 1)</f>
        <v/>
      </c>
      <c r="E72" s="22"/>
      <c r="F72" s="20"/>
      <c r="G72" s="21" t="str">
        <f>IMAGE("https://assets.tcgdex.net/de/sv/sv06.5/088/low.jpg", 1)</f>
        <v/>
      </c>
      <c r="H72" s="22"/>
      <c r="I72" s="20"/>
      <c r="J72" s="21" t="str">
        <f>IMAGE("https://assets.tcgdex.net/de/sv/sv06.5/089/low.jpg", 1)</f>
        <v/>
      </c>
      <c r="K72" s="22"/>
      <c r="L72" s="20"/>
      <c r="M72" s="21" t="str">
        <f>IMAGE("https://assets.tcgdex.net/de/sv/sv06.5/090/low.jpg", 1)</f>
        <v/>
      </c>
      <c r="N72" s="22"/>
      <c r="O72" s="20"/>
    </row>
    <row r="73" ht="22.5" customHeight="1">
      <c r="A73" s="23" t="b">
        <v>0</v>
      </c>
      <c r="B73" s="24" t="b">
        <v>0</v>
      </c>
      <c r="C73" s="25" t="str">
        <f>HYPERLINK("https://www.cardmarket.com/en/Pokemon/Products/Singles?idCategory=1&amp;idProduct=sv6pt5-86", "CM")</f>
        <v>CM</v>
      </c>
      <c r="D73" s="23" t="b">
        <v>0</v>
      </c>
      <c r="E73" s="24" t="b">
        <v>0</v>
      </c>
      <c r="F73" s="25" t="str">
        <f>HYPERLINK("https://www.cardmarket.com/en/Pokemon/Products/Singles?idCategory=1&amp;idProduct=sv6pt5-87", "CM")</f>
        <v>CM</v>
      </c>
      <c r="G73" s="23" t="b">
        <v>0</v>
      </c>
      <c r="H73" s="24" t="b">
        <v>0</v>
      </c>
      <c r="I73" s="25" t="str">
        <f>HYPERLINK("https://www.cardmarket.com/en/Pokemon/Products/Singles?idCategory=1&amp;idProduct=sv6pt5-88", "CM")</f>
        <v>CM</v>
      </c>
      <c r="J73" s="23" t="b">
        <v>0</v>
      </c>
      <c r="K73" s="24" t="b">
        <v>0</v>
      </c>
      <c r="L73" s="25" t="str">
        <f>HYPERLINK("https://www.cardmarket.com/en/Pokemon/Products/Singles?idCategory=1&amp;idProduct=sv6pt5-89", "CM")</f>
        <v>CM</v>
      </c>
      <c r="M73" s="23" t="b">
        <v>0</v>
      </c>
      <c r="N73" s="24" t="b">
        <v>0</v>
      </c>
      <c r="O73" s="25" t="str">
        <f>HYPERLINK("https://www.cardmarket.com/en/Pokemon/Products/Singles?idCategory=1&amp;idProduct=sv6pt5-90", "CM")</f>
        <v>CM</v>
      </c>
    </row>
    <row r="74" ht="7.5" customHeight="1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</row>
    <row r="75" ht="18.75" customHeight="1">
      <c r="A75" s="18" t="s">
        <v>621</v>
      </c>
      <c r="B75" s="19" t="s">
        <v>1964</v>
      </c>
      <c r="C75" s="20"/>
      <c r="D75" s="18" t="s">
        <v>623</v>
      </c>
      <c r="E75" s="19" t="s">
        <v>1965</v>
      </c>
      <c r="F75" s="20"/>
      <c r="G75" s="18" t="s">
        <v>625</v>
      </c>
      <c r="H75" s="19" t="s">
        <v>1966</v>
      </c>
      <c r="I75" s="20"/>
      <c r="J75" s="18" t="s">
        <v>627</v>
      </c>
      <c r="K75" s="19" t="s">
        <v>1979</v>
      </c>
      <c r="L75" s="20"/>
      <c r="M75" s="18" t="s">
        <v>812</v>
      </c>
      <c r="N75" s="19" t="s">
        <v>1966</v>
      </c>
      <c r="O75" s="20"/>
    </row>
    <row r="76" ht="180.0" customHeight="1">
      <c r="A76" s="21" t="str">
        <f>IMAGE("https://assets.tcgdex.net/de/sv/sv06.5/091/low.jpg", 1)</f>
        <v/>
      </c>
      <c r="B76" s="22"/>
      <c r="C76" s="20"/>
      <c r="D76" s="21" t="str">
        <f>IMAGE("https://assets.tcgdex.net/de/sv/sv06.5/092/low.jpg", 1)</f>
        <v/>
      </c>
      <c r="E76" s="22"/>
      <c r="F76" s="20"/>
      <c r="G76" s="21" t="str">
        <f>IMAGE("https://assets.tcgdex.net/de/sv/sv06.5/093/low.jpg", 1)</f>
        <v/>
      </c>
      <c r="H76" s="22"/>
      <c r="I76" s="20"/>
      <c r="J76" s="21" t="str">
        <f>IMAGE("https://assets.tcgdex.net/de/sv/sv06.5/094/low.jpg", 1)</f>
        <v/>
      </c>
      <c r="K76" s="22"/>
      <c r="L76" s="20"/>
      <c r="M76" s="21" t="str">
        <f>IMAGE("https://assets.tcgdex.net/de/sv/sv06.5/095/low.jpg", 1)</f>
        <v/>
      </c>
      <c r="N76" s="22"/>
      <c r="O76" s="20"/>
    </row>
    <row r="77" ht="22.5" customHeight="1">
      <c r="A77" s="23" t="b">
        <v>0</v>
      </c>
      <c r="B77" s="24" t="b">
        <v>0</v>
      </c>
      <c r="C77" s="25" t="str">
        <f>HYPERLINK("https://www.cardmarket.com/en/Pokemon/Products/Singles?idCategory=1&amp;idProduct=sv6pt5-91", "CM")</f>
        <v>CM</v>
      </c>
      <c r="D77" s="23" t="b">
        <v>0</v>
      </c>
      <c r="E77" s="24" t="b">
        <v>0</v>
      </c>
      <c r="F77" s="25" t="str">
        <f>HYPERLINK("https://www.cardmarket.com/en/Pokemon/Products/Singles?idCategory=1&amp;idProduct=sv6pt5-92", "CM")</f>
        <v>CM</v>
      </c>
      <c r="G77" s="23" t="b">
        <v>0</v>
      </c>
      <c r="H77" s="24" t="b">
        <v>0</v>
      </c>
      <c r="I77" s="25" t="str">
        <f>HYPERLINK("https://www.cardmarket.com/en/Pokemon/Products/Singles?idCategory=1&amp;idProduct=sv6pt5-93", "CM")</f>
        <v>CM</v>
      </c>
      <c r="J77" s="23" t="b">
        <v>0</v>
      </c>
      <c r="K77" s="24" t="b">
        <v>0</v>
      </c>
      <c r="L77" s="25" t="str">
        <f>HYPERLINK("https://www.cardmarket.com/en/Pokemon/Products/Singles?idCategory=1&amp;idProduct=sv6pt5-94", "CM")</f>
        <v>CM</v>
      </c>
      <c r="M77" s="23" t="b">
        <v>0</v>
      </c>
      <c r="N77" s="24" t="b">
        <v>0</v>
      </c>
      <c r="O77" s="25" t="str">
        <f>HYPERLINK("https://www.cardmarket.com/en/Pokemon/Products/Singles?idCategory=1&amp;idProduct=sv6pt5-95", "CM")</f>
        <v>CM</v>
      </c>
    </row>
    <row r="78" ht="7.5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</row>
    <row r="79" ht="18.75" customHeight="1">
      <c r="A79" s="18" t="s">
        <v>813</v>
      </c>
      <c r="B79" s="19" t="s">
        <v>1694</v>
      </c>
      <c r="C79" s="20"/>
      <c r="D79" s="18" t="s">
        <v>815</v>
      </c>
      <c r="E79" s="19" t="s">
        <v>1986</v>
      </c>
      <c r="F79" s="20"/>
      <c r="G79" s="18" t="s">
        <v>817</v>
      </c>
      <c r="H79" s="19" t="s">
        <v>1988</v>
      </c>
      <c r="I79" s="20"/>
      <c r="J79" s="18" t="s">
        <v>819</v>
      </c>
      <c r="K79" s="19" t="s">
        <v>1989</v>
      </c>
      <c r="L79" s="20"/>
      <c r="M79" s="26"/>
      <c r="N79" s="26"/>
      <c r="O79" s="26"/>
    </row>
    <row r="80" ht="180.0" customHeight="1">
      <c r="A80" s="21" t="str">
        <f>IMAGE("https://assets.tcgdex.net/de/sv/sv06.5/096/low.jpg", 1)</f>
        <v/>
      </c>
      <c r="B80" s="22"/>
      <c r="C80" s="20"/>
      <c r="D80" s="21" t="str">
        <f>IMAGE("https://assets.tcgdex.net/de/sv/sv06.5/097/low.jpg", 1)</f>
        <v/>
      </c>
      <c r="E80" s="22"/>
      <c r="F80" s="20"/>
      <c r="G80" s="21" t="str">
        <f>IMAGE("https://assets.tcgdex.net/de/sv/sv06.5/098/low.jpg", 1)</f>
        <v/>
      </c>
      <c r="H80" s="22"/>
      <c r="I80" s="20"/>
      <c r="J80" s="21" t="str">
        <f>IMAGE("https://assets.tcgdex.net/de/sv/sv06.5/099/low.jpg", 1)</f>
        <v/>
      </c>
      <c r="K80" s="22"/>
      <c r="L80" s="20"/>
      <c r="M80" s="26"/>
      <c r="N80" s="26"/>
      <c r="O80" s="26"/>
    </row>
    <row r="81" ht="22.5" customHeight="1">
      <c r="A81" s="23" t="b">
        <v>0</v>
      </c>
      <c r="B81" s="24" t="b">
        <v>0</v>
      </c>
      <c r="C81" s="25" t="str">
        <f>HYPERLINK("https://www.cardmarket.com/en/Pokemon/Products/Singles?idCategory=1&amp;idProduct=sv6pt5-96", "CM")</f>
        <v>CM</v>
      </c>
      <c r="D81" s="23" t="b">
        <v>0</v>
      </c>
      <c r="E81" s="24" t="b">
        <v>0</v>
      </c>
      <c r="F81" s="25" t="str">
        <f>HYPERLINK("https://www.cardmarket.com/en/Pokemon/Products/Singles?idCategory=1&amp;idProduct=sv6pt5-97", "CM")</f>
        <v>CM</v>
      </c>
      <c r="G81" s="23" t="b">
        <v>0</v>
      </c>
      <c r="H81" s="24" t="b">
        <v>0</v>
      </c>
      <c r="I81" s="25" t="str">
        <f>HYPERLINK("https://www.cardmarket.com/en/Pokemon/Products/Singles?idCategory=1&amp;idProduct=sv6pt5-98", "CM")</f>
        <v>CM</v>
      </c>
      <c r="J81" s="23" t="b">
        <v>0</v>
      </c>
      <c r="K81" s="24" t="b">
        <v>0</v>
      </c>
      <c r="L81" s="25" t="str">
        <f>HYPERLINK("https://www.cardmarket.com/en/Pokemon/Products/Singles?idCategory=1&amp;idProduct=sv6pt5-99", "CM")</f>
        <v>CM</v>
      </c>
      <c r="M81" s="26"/>
      <c r="N81" s="26"/>
      <c r="O81" s="26"/>
    </row>
    <row r="82" ht="7.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</row>
  </sheetData>
  <mergeCells count="200">
    <mergeCell ref="K51:L51"/>
    <mergeCell ref="N51:O51"/>
    <mergeCell ref="M52:O52"/>
    <mergeCell ref="B51:C51"/>
    <mergeCell ref="A52:C52"/>
    <mergeCell ref="E51:F51"/>
    <mergeCell ref="D52:F52"/>
    <mergeCell ref="H51:I51"/>
    <mergeCell ref="G52:I52"/>
    <mergeCell ref="J52:L52"/>
    <mergeCell ref="K55:L55"/>
    <mergeCell ref="N55:O55"/>
    <mergeCell ref="M56:O56"/>
    <mergeCell ref="B55:C55"/>
    <mergeCell ref="A56:C56"/>
    <mergeCell ref="E55:F55"/>
    <mergeCell ref="D56:F56"/>
    <mergeCell ref="H55:I55"/>
    <mergeCell ref="G56:I56"/>
    <mergeCell ref="J56:L56"/>
    <mergeCell ref="K59:L59"/>
    <mergeCell ref="N59:O59"/>
    <mergeCell ref="M60:O60"/>
    <mergeCell ref="B59:C59"/>
    <mergeCell ref="A60:C60"/>
    <mergeCell ref="E59:F59"/>
    <mergeCell ref="D60:F60"/>
    <mergeCell ref="H59:I59"/>
    <mergeCell ref="G60:I60"/>
    <mergeCell ref="J60:L60"/>
    <mergeCell ref="K63:L63"/>
    <mergeCell ref="N63:O63"/>
    <mergeCell ref="M64:O64"/>
    <mergeCell ref="B63:C63"/>
    <mergeCell ref="A64:C64"/>
    <mergeCell ref="E63:F63"/>
    <mergeCell ref="D64:F64"/>
    <mergeCell ref="H63:I63"/>
    <mergeCell ref="G64:I64"/>
    <mergeCell ref="J64:L64"/>
    <mergeCell ref="K67:L67"/>
    <mergeCell ref="N67:O67"/>
    <mergeCell ref="M68:O68"/>
    <mergeCell ref="B67:C67"/>
    <mergeCell ref="A68:C68"/>
    <mergeCell ref="E67:F67"/>
    <mergeCell ref="D68:F68"/>
    <mergeCell ref="H67:I67"/>
    <mergeCell ref="G68:I68"/>
    <mergeCell ref="J68:L68"/>
    <mergeCell ref="K71:L71"/>
    <mergeCell ref="N71:O71"/>
    <mergeCell ref="M72:O72"/>
    <mergeCell ref="B71:C71"/>
    <mergeCell ref="A72:C72"/>
    <mergeCell ref="E71:F71"/>
    <mergeCell ref="D72:F72"/>
    <mergeCell ref="H71:I71"/>
    <mergeCell ref="G72:I72"/>
    <mergeCell ref="J72:L72"/>
    <mergeCell ref="K75:L75"/>
    <mergeCell ref="N75:O75"/>
    <mergeCell ref="M76:O76"/>
    <mergeCell ref="B75:C75"/>
    <mergeCell ref="A76:C76"/>
    <mergeCell ref="E75:F75"/>
    <mergeCell ref="D76:F76"/>
    <mergeCell ref="H75:I75"/>
    <mergeCell ref="G76:I76"/>
    <mergeCell ref="J76:L76"/>
    <mergeCell ref="K15:L15"/>
    <mergeCell ref="N15:O15"/>
    <mergeCell ref="M16:O16"/>
    <mergeCell ref="B15:C15"/>
    <mergeCell ref="A16:C16"/>
    <mergeCell ref="E15:F15"/>
    <mergeCell ref="D16:F16"/>
    <mergeCell ref="H15:I15"/>
    <mergeCell ref="G16:I16"/>
    <mergeCell ref="J16:L16"/>
    <mergeCell ref="K19:L19"/>
    <mergeCell ref="N19:O19"/>
    <mergeCell ref="M20:O20"/>
    <mergeCell ref="B19:C19"/>
    <mergeCell ref="A20:C20"/>
    <mergeCell ref="E19:F19"/>
    <mergeCell ref="D20:F20"/>
    <mergeCell ref="H19:I19"/>
    <mergeCell ref="G20:I20"/>
    <mergeCell ref="J20:L20"/>
    <mergeCell ref="K23:L23"/>
    <mergeCell ref="N23:O23"/>
    <mergeCell ref="M24:O24"/>
    <mergeCell ref="B23:C23"/>
    <mergeCell ref="A24:C24"/>
    <mergeCell ref="E23:F23"/>
    <mergeCell ref="D24:F24"/>
    <mergeCell ref="H23:I23"/>
    <mergeCell ref="G24:I24"/>
    <mergeCell ref="J24:L24"/>
    <mergeCell ref="B79:C79"/>
    <mergeCell ref="A80:C80"/>
    <mergeCell ref="E79:F79"/>
    <mergeCell ref="D80:F80"/>
    <mergeCell ref="H79:I79"/>
    <mergeCell ref="G80:I80"/>
    <mergeCell ref="K79:L79"/>
    <mergeCell ref="J80:L80"/>
    <mergeCell ref="H3:I3"/>
    <mergeCell ref="K3:L3"/>
    <mergeCell ref="J4:L4"/>
    <mergeCell ref="N3:O3"/>
    <mergeCell ref="M4:O4"/>
    <mergeCell ref="A1:N1"/>
    <mergeCell ref="A2:O2"/>
    <mergeCell ref="B3:C3"/>
    <mergeCell ref="A4:C4"/>
    <mergeCell ref="E3:F3"/>
    <mergeCell ref="D4:F4"/>
    <mergeCell ref="G4:I4"/>
    <mergeCell ref="K7:L7"/>
    <mergeCell ref="N7:O7"/>
    <mergeCell ref="M8:O8"/>
    <mergeCell ref="B7:C7"/>
    <mergeCell ref="A8:C8"/>
    <mergeCell ref="E7:F7"/>
    <mergeCell ref="D8:F8"/>
    <mergeCell ref="H7:I7"/>
    <mergeCell ref="G8:I8"/>
    <mergeCell ref="J8:L8"/>
    <mergeCell ref="K11:L11"/>
    <mergeCell ref="N11:O11"/>
    <mergeCell ref="M12:O12"/>
    <mergeCell ref="B11:C11"/>
    <mergeCell ref="A12:C12"/>
    <mergeCell ref="E11:F11"/>
    <mergeCell ref="D12:F12"/>
    <mergeCell ref="H11:I11"/>
    <mergeCell ref="G12:I12"/>
    <mergeCell ref="J12:L12"/>
    <mergeCell ref="K27:L27"/>
    <mergeCell ref="N27:O27"/>
    <mergeCell ref="M28:O28"/>
    <mergeCell ref="B27:C27"/>
    <mergeCell ref="A28:C28"/>
    <mergeCell ref="E27:F27"/>
    <mergeCell ref="D28:F28"/>
    <mergeCell ref="H27:I27"/>
    <mergeCell ref="G28:I28"/>
    <mergeCell ref="J28:L28"/>
    <mergeCell ref="K31:L31"/>
    <mergeCell ref="N31:O31"/>
    <mergeCell ref="M32:O32"/>
    <mergeCell ref="B31:C31"/>
    <mergeCell ref="A32:C32"/>
    <mergeCell ref="E31:F31"/>
    <mergeCell ref="D32:F32"/>
    <mergeCell ref="H31:I31"/>
    <mergeCell ref="G32:I32"/>
    <mergeCell ref="J32:L32"/>
    <mergeCell ref="K35:L35"/>
    <mergeCell ref="N35:O35"/>
    <mergeCell ref="M36:O36"/>
    <mergeCell ref="B35:C35"/>
    <mergeCell ref="A36:C36"/>
    <mergeCell ref="E35:F35"/>
    <mergeCell ref="D36:F36"/>
    <mergeCell ref="H35:I35"/>
    <mergeCell ref="G36:I36"/>
    <mergeCell ref="J36:L36"/>
    <mergeCell ref="K39:L39"/>
    <mergeCell ref="N39:O39"/>
    <mergeCell ref="M40:O40"/>
    <mergeCell ref="B39:C39"/>
    <mergeCell ref="A40:C40"/>
    <mergeCell ref="E39:F39"/>
    <mergeCell ref="D40:F40"/>
    <mergeCell ref="H39:I39"/>
    <mergeCell ref="G40:I40"/>
    <mergeCell ref="J40:L40"/>
    <mergeCell ref="K43:L43"/>
    <mergeCell ref="N43:O43"/>
    <mergeCell ref="M44:O44"/>
    <mergeCell ref="B43:C43"/>
    <mergeCell ref="A44:C44"/>
    <mergeCell ref="E43:F43"/>
    <mergeCell ref="D44:F44"/>
    <mergeCell ref="H43:I43"/>
    <mergeCell ref="G44:I44"/>
    <mergeCell ref="J44:L44"/>
    <mergeCell ref="K47:L47"/>
    <mergeCell ref="N47:O47"/>
    <mergeCell ref="M48:O48"/>
    <mergeCell ref="B47:C47"/>
    <mergeCell ref="A48:C48"/>
    <mergeCell ref="E47:F47"/>
    <mergeCell ref="D48:F48"/>
    <mergeCell ref="H47:I47"/>
    <mergeCell ref="G48:I48"/>
    <mergeCell ref="J48:L48"/>
  </mergeCells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.13"/>
    <col customWidth="1" min="3" max="3" width="12.63"/>
    <col customWidth="1" min="4" max="5" width="5.13"/>
    <col customWidth="1" min="6" max="6" width="12.63"/>
    <col customWidth="1" min="7" max="8" width="5.13"/>
    <col customWidth="1" min="9" max="9" width="12.63"/>
    <col customWidth="1" min="10" max="11" width="5.13"/>
    <col customWidth="1" min="12" max="12" width="12.63"/>
    <col customWidth="1" min="13" max="14" width="5.13"/>
    <col customWidth="1" min="15" max="15" width="12.63"/>
  </cols>
  <sheetData>
    <row r="1" ht="18.75" customHeight="1">
      <c r="A1" s="16" t="s">
        <v>1990</v>
      </c>
      <c r="O1" s="17" t="b">
        <v>0</v>
      </c>
    </row>
    <row r="2" ht="18.75" customHeight="1">
      <c r="A2" s="3" t="s">
        <v>1991</v>
      </c>
    </row>
    <row r="3" ht="18.75" customHeight="1">
      <c r="A3" s="18" t="s">
        <v>736</v>
      </c>
      <c r="B3" s="19" t="s">
        <v>1477</v>
      </c>
      <c r="C3" s="20"/>
      <c r="D3" s="18" t="s">
        <v>738</v>
      </c>
      <c r="E3" s="19" t="s">
        <v>1992</v>
      </c>
      <c r="F3" s="20"/>
      <c r="G3" s="18" t="s">
        <v>739</v>
      </c>
      <c r="H3" s="19" t="s">
        <v>665</v>
      </c>
      <c r="I3" s="20"/>
      <c r="J3" s="18" t="s">
        <v>740</v>
      </c>
      <c r="K3" s="19" t="s">
        <v>1993</v>
      </c>
      <c r="L3" s="20"/>
      <c r="M3" s="18" t="s">
        <v>742</v>
      </c>
      <c r="N3" s="19" t="s">
        <v>1994</v>
      </c>
      <c r="O3" s="20"/>
    </row>
    <row r="4" ht="180.0" customHeight="1">
      <c r="A4" s="21" t="str">
        <f>IMAGE("https://assets.tcgdex.net/de/sv/sv07/001/low.jpg", 1)</f>
        <v/>
      </c>
      <c r="B4" s="22"/>
      <c r="C4" s="20"/>
      <c r="D4" s="21" t="str">
        <f>IMAGE("https://assets.tcgdex.net/de/sv/sv07/002/low.jpg", 1)</f>
        <v/>
      </c>
      <c r="E4" s="22"/>
      <c r="F4" s="20"/>
      <c r="G4" s="21" t="str">
        <f>IMAGE("https://assets.tcgdex.net/de/sv/sv07/003/low.jpg", 1)</f>
        <v/>
      </c>
      <c r="H4" s="22"/>
      <c r="I4" s="20"/>
      <c r="J4" s="21" t="str">
        <f>IMAGE("https://assets.tcgdex.net/de/sv/sv07/004/low.jpg", 1)</f>
        <v/>
      </c>
      <c r="K4" s="22"/>
      <c r="L4" s="20"/>
      <c r="M4" s="21" t="str">
        <f>IMAGE("https://assets.tcgdex.net/de/sv/sv07/005/low.jpg", 1)</f>
        <v/>
      </c>
      <c r="N4" s="22"/>
      <c r="O4" s="20"/>
    </row>
    <row r="5" ht="22.5" customHeight="1">
      <c r="A5" s="23" t="b">
        <v>0</v>
      </c>
      <c r="B5" s="24" t="b">
        <v>0</v>
      </c>
      <c r="C5" s="25" t="str">
        <f>HYPERLINK("https://www.cardmarket.com/en/Pokemon/Products/Singles?idCategory=1&amp;idProduct=sv7-1", "CM")</f>
        <v>CM</v>
      </c>
      <c r="D5" s="23" t="b">
        <v>0</v>
      </c>
      <c r="E5" s="24" t="b">
        <v>0</v>
      </c>
      <c r="F5" s="25" t="str">
        <f>HYPERLINK("https://www.cardmarket.com/en/Pokemon/Products/Singles?idCategory=1&amp;idProduct=sv7-2", "CM")</f>
        <v>CM</v>
      </c>
      <c r="G5" s="23" t="b">
        <v>0</v>
      </c>
      <c r="H5" s="24" t="b">
        <v>0</v>
      </c>
      <c r="I5" s="25" t="str">
        <f>HYPERLINK("https://www.cardmarket.com/en/Pokemon/Products/Singles?idCategory=1&amp;idProduct=sv7-3", "CM")</f>
        <v>CM</v>
      </c>
      <c r="J5" s="23" t="b">
        <v>0</v>
      </c>
      <c r="K5" s="24" t="b">
        <v>0</v>
      </c>
      <c r="L5" s="25" t="str">
        <f>HYPERLINK("https://www.cardmarket.com/en/Pokemon/Products/Singles?idCategory=1&amp;idProduct=sv7-4", "CM")</f>
        <v>CM</v>
      </c>
      <c r="M5" s="23" t="b">
        <v>0</v>
      </c>
      <c r="N5" s="24" t="b">
        <v>0</v>
      </c>
      <c r="O5" s="25" t="str">
        <f>HYPERLINK("https://www.cardmarket.com/en/Pokemon/Products/Singles?idCategory=1&amp;idProduct=sv7-5", "CM")</f>
        <v>CM</v>
      </c>
    </row>
    <row r="6" ht="7.5" customHeight="1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</row>
    <row r="7" ht="18.75" customHeight="1">
      <c r="A7" s="18" t="s">
        <v>529</v>
      </c>
      <c r="B7" s="19" t="s">
        <v>1995</v>
      </c>
      <c r="C7" s="20"/>
      <c r="D7" s="18" t="s">
        <v>744</v>
      </c>
      <c r="E7" s="19" t="s">
        <v>962</v>
      </c>
      <c r="F7" s="20"/>
      <c r="G7" s="18" t="s">
        <v>531</v>
      </c>
      <c r="H7" s="19" t="s">
        <v>1996</v>
      </c>
      <c r="I7" s="20"/>
      <c r="J7" s="18" t="s">
        <v>746</v>
      </c>
      <c r="K7" s="19" t="s">
        <v>965</v>
      </c>
      <c r="L7" s="20"/>
      <c r="M7" s="18" t="s">
        <v>748</v>
      </c>
      <c r="N7" s="19" t="s">
        <v>1997</v>
      </c>
      <c r="O7" s="20"/>
    </row>
    <row r="8" ht="180.0" customHeight="1">
      <c r="A8" s="21" t="str">
        <f>IMAGE("https://assets.tcgdex.net/de/sv/sv07/006/low.jpg", 1)</f>
        <v/>
      </c>
      <c r="B8" s="22"/>
      <c r="C8" s="20"/>
      <c r="D8" s="21" t="str">
        <f>IMAGE("https://assets.tcgdex.net/de/sv/sv07/007/low.jpg", 1)</f>
        <v/>
      </c>
      <c r="E8" s="22"/>
      <c r="F8" s="20"/>
      <c r="G8" s="21" t="str">
        <f>IMAGE("https://assets.tcgdex.net/de/sv/sv07/008/low.jpg", 1)</f>
        <v/>
      </c>
      <c r="H8" s="22"/>
      <c r="I8" s="20"/>
      <c r="J8" s="21" t="str">
        <f>IMAGE("https://assets.tcgdex.net/de/sv/sv07/009/low.jpg", 1)</f>
        <v/>
      </c>
      <c r="K8" s="22"/>
      <c r="L8" s="20"/>
      <c r="M8" s="21" t="str">
        <f>IMAGE("https://assets.tcgdex.net/de/sv/sv07/010/low.jpg", 1)</f>
        <v/>
      </c>
      <c r="N8" s="22"/>
      <c r="O8" s="20"/>
    </row>
    <row r="9" ht="22.5" customHeight="1">
      <c r="A9" s="23" t="b">
        <v>0</v>
      </c>
      <c r="B9" s="24" t="b">
        <v>0</v>
      </c>
      <c r="C9" s="25" t="str">
        <f>HYPERLINK("https://www.cardmarket.com/en/Pokemon/Products/Singles?idCategory=1&amp;idProduct=sv7-6", "CM")</f>
        <v>CM</v>
      </c>
      <c r="D9" s="23" t="b">
        <v>0</v>
      </c>
      <c r="E9" s="24" t="b">
        <v>0</v>
      </c>
      <c r="F9" s="25" t="str">
        <f>HYPERLINK("https://www.cardmarket.com/en/Pokemon/Products/Singles?idCategory=1&amp;idProduct=sv7-7", "CM")</f>
        <v>CM</v>
      </c>
      <c r="G9" s="23" t="b">
        <v>0</v>
      </c>
      <c r="H9" s="24" t="b">
        <v>0</v>
      </c>
      <c r="I9" s="25" t="str">
        <f>HYPERLINK("https://www.cardmarket.com/en/Pokemon/Products/Singles?idCategory=1&amp;idProduct=sv7-8", "CM")</f>
        <v>CM</v>
      </c>
      <c r="J9" s="23" t="b">
        <v>0</v>
      </c>
      <c r="K9" s="24" t="b">
        <v>0</v>
      </c>
      <c r="L9" s="25" t="str">
        <f>HYPERLINK("https://www.cardmarket.com/en/Pokemon/Products/Singles?idCategory=1&amp;idProduct=sv7-9", "CM")</f>
        <v>CM</v>
      </c>
      <c r="M9" s="23" t="b">
        <v>0</v>
      </c>
      <c r="N9" s="24" t="b">
        <v>0</v>
      </c>
      <c r="O9" s="25" t="str">
        <f>HYPERLINK("https://www.cardmarket.com/en/Pokemon/Products/Singles?idCategory=1&amp;idProduct=sv7-10", "CM")</f>
        <v>CM</v>
      </c>
    </row>
    <row r="10" ht="7.5" customHeight="1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</row>
    <row r="11" ht="18.75" customHeight="1">
      <c r="A11" s="18" t="s">
        <v>750</v>
      </c>
      <c r="B11" s="19" t="s">
        <v>1998</v>
      </c>
      <c r="C11" s="20"/>
      <c r="D11" s="18" t="s">
        <v>752</v>
      </c>
      <c r="E11" s="19" t="s">
        <v>1879</v>
      </c>
      <c r="F11" s="20"/>
      <c r="G11" s="18" t="s">
        <v>754</v>
      </c>
      <c r="H11" s="19" t="s">
        <v>1880</v>
      </c>
      <c r="I11" s="20"/>
      <c r="J11" s="18" t="s">
        <v>755</v>
      </c>
      <c r="K11" s="19" t="s">
        <v>1999</v>
      </c>
      <c r="L11" s="20"/>
      <c r="M11" s="18" t="s">
        <v>533</v>
      </c>
      <c r="N11" s="19" t="s">
        <v>1600</v>
      </c>
      <c r="O11" s="20"/>
    </row>
    <row r="12" ht="180.0" customHeight="1">
      <c r="A12" s="21" t="str">
        <f>IMAGE("https://assets.tcgdex.net/de/sv/sv07/011/low.jpg", 1)</f>
        <v/>
      </c>
      <c r="B12" s="22"/>
      <c r="C12" s="20"/>
      <c r="D12" s="21" t="str">
        <f>IMAGE("https://assets.tcgdex.net/de/sv/sv07/012/low.jpg", 1)</f>
        <v/>
      </c>
      <c r="E12" s="22"/>
      <c r="F12" s="20"/>
      <c r="G12" s="21" t="str">
        <f>IMAGE("https://assets.tcgdex.net/de/sv/sv07/013/low.jpg", 1)</f>
        <v/>
      </c>
      <c r="H12" s="22"/>
      <c r="I12" s="20"/>
      <c r="J12" s="21" t="str">
        <f>IMAGE("https://assets.tcgdex.net/de/sv/sv07/014/low.jpg", 1)</f>
        <v/>
      </c>
      <c r="K12" s="22"/>
      <c r="L12" s="20"/>
      <c r="M12" s="21" t="str">
        <f>IMAGE("https://assets.tcgdex.net/de/sv/sv07/015/low.jpg", 1)</f>
        <v/>
      </c>
      <c r="N12" s="22"/>
      <c r="O12" s="20"/>
    </row>
    <row r="13" ht="22.5" customHeight="1">
      <c r="A13" s="23" t="b">
        <v>0</v>
      </c>
      <c r="B13" s="24" t="b">
        <v>0</v>
      </c>
      <c r="C13" s="25" t="str">
        <f>HYPERLINK("https://www.cardmarket.com/en/Pokemon/Products/Singles?idCategory=1&amp;idProduct=sv7-11", "CM")</f>
        <v>CM</v>
      </c>
      <c r="D13" s="23" t="b">
        <v>0</v>
      </c>
      <c r="E13" s="24" t="b">
        <v>0</v>
      </c>
      <c r="F13" s="25" t="str">
        <f>HYPERLINK("https://www.cardmarket.com/en/Pokemon/Products/Singles?idCategory=1&amp;idProduct=sv7-12", "CM")</f>
        <v>CM</v>
      </c>
      <c r="G13" s="23" t="b">
        <v>0</v>
      </c>
      <c r="H13" s="24" t="b">
        <v>0</v>
      </c>
      <c r="I13" s="25" t="str">
        <f>HYPERLINK("https://www.cardmarket.com/en/Pokemon/Products/Singles?idCategory=1&amp;idProduct=sv7-13", "CM")</f>
        <v>CM</v>
      </c>
      <c r="J13" s="23" t="b">
        <v>0</v>
      </c>
      <c r="K13" s="24" t="b">
        <v>0</v>
      </c>
      <c r="L13" s="25" t="str">
        <f>HYPERLINK("https://www.cardmarket.com/en/Pokemon/Products/Singles?idCategory=1&amp;idProduct=sv7-14", "CM")</f>
        <v>CM</v>
      </c>
      <c r="M13" s="23" t="b">
        <v>0</v>
      </c>
      <c r="N13" s="24" t="b">
        <v>0</v>
      </c>
      <c r="O13" s="25" t="str">
        <f>HYPERLINK("https://www.cardmarket.com/en/Pokemon/Products/Singles?idCategory=1&amp;idProduct=sv7-15", "CM")</f>
        <v>CM</v>
      </c>
    </row>
    <row r="14" ht="7.5" customHeight="1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</row>
    <row r="15" ht="18.75" customHeight="1">
      <c r="A15" s="18" t="s">
        <v>535</v>
      </c>
      <c r="B15" s="19" t="s">
        <v>1667</v>
      </c>
      <c r="C15" s="20"/>
      <c r="D15" s="18" t="s">
        <v>537</v>
      </c>
      <c r="E15" s="19" t="s">
        <v>1252</v>
      </c>
      <c r="F15" s="20"/>
      <c r="G15" s="18" t="s">
        <v>756</v>
      </c>
      <c r="H15" s="19" t="s">
        <v>1210</v>
      </c>
      <c r="I15" s="20"/>
      <c r="J15" s="18" t="s">
        <v>539</v>
      </c>
      <c r="K15" s="19" t="s">
        <v>1531</v>
      </c>
      <c r="L15" s="20"/>
      <c r="M15" s="18" t="s">
        <v>541</v>
      </c>
      <c r="N15" s="19" t="s">
        <v>1532</v>
      </c>
      <c r="O15" s="20"/>
    </row>
    <row r="16" ht="180.0" customHeight="1">
      <c r="A16" s="21" t="str">
        <f>IMAGE("https://assets.tcgdex.net/de/sv/sv07/016/low.jpg", 1)</f>
        <v/>
      </c>
      <c r="B16" s="22"/>
      <c r="C16" s="20"/>
      <c r="D16" s="21" t="str">
        <f>IMAGE("https://assets.tcgdex.net/de/sv/sv07/017/low.jpg", 1)</f>
        <v/>
      </c>
      <c r="E16" s="22"/>
      <c r="F16" s="20"/>
      <c r="G16" s="21" t="str">
        <f>IMAGE("https://assets.tcgdex.net/de/sv/sv07/018/low.jpg", 1)</f>
        <v/>
      </c>
      <c r="H16" s="22"/>
      <c r="I16" s="20"/>
      <c r="J16" s="21" t="str">
        <f>IMAGE("https://assets.tcgdex.net/de/sv/sv07/019/low.jpg", 1)</f>
        <v/>
      </c>
      <c r="K16" s="22"/>
      <c r="L16" s="20"/>
      <c r="M16" s="21" t="str">
        <f>IMAGE("https://assets.tcgdex.net/de/sv/sv07/020/low.jpg", 1)</f>
        <v/>
      </c>
      <c r="N16" s="22"/>
      <c r="O16" s="20"/>
    </row>
    <row r="17" ht="22.5" customHeight="1">
      <c r="A17" s="23" t="b">
        <v>0</v>
      </c>
      <c r="B17" s="24" t="b">
        <v>0</v>
      </c>
      <c r="C17" s="25" t="str">
        <f>HYPERLINK("https://www.cardmarket.com/en/Pokemon/Products/Singles?idCategory=1&amp;idProduct=sv7-16", "CM")</f>
        <v>CM</v>
      </c>
      <c r="D17" s="23" t="b">
        <v>0</v>
      </c>
      <c r="E17" s="24" t="b">
        <v>0</v>
      </c>
      <c r="F17" s="25" t="str">
        <f>HYPERLINK("https://www.cardmarket.com/en/Pokemon/Products/Singles?idCategory=1&amp;idProduct=sv7-17", "CM")</f>
        <v>CM</v>
      </c>
      <c r="G17" s="23" t="b">
        <v>0</v>
      </c>
      <c r="H17" s="24" t="b">
        <v>0</v>
      </c>
      <c r="I17" s="25" t="str">
        <f>HYPERLINK("https://www.cardmarket.com/en/Pokemon/Products/Singles?idCategory=1&amp;idProduct=sv7-18", "CM")</f>
        <v>CM</v>
      </c>
      <c r="J17" s="23" t="b">
        <v>0</v>
      </c>
      <c r="K17" s="24" t="b">
        <v>0</v>
      </c>
      <c r="L17" s="25" t="str">
        <f>HYPERLINK("https://www.cardmarket.com/en/Pokemon/Products/Singles?idCategory=1&amp;idProduct=sv7-19", "CM")</f>
        <v>CM</v>
      </c>
      <c r="M17" s="23" t="b">
        <v>0</v>
      </c>
      <c r="N17" s="24" t="b">
        <v>0</v>
      </c>
      <c r="O17" s="25" t="str">
        <f>HYPERLINK("https://www.cardmarket.com/en/Pokemon/Products/Singles?idCategory=1&amp;idProduct=sv7-20", "CM")</f>
        <v>CM</v>
      </c>
    </row>
    <row r="18" ht="7.5" customHeight="1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</row>
    <row r="19" ht="18.75" customHeight="1">
      <c r="A19" s="18" t="s">
        <v>543</v>
      </c>
      <c r="B19" s="19" t="s">
        <v>1603</v>
      </c>
      <c r="C19" s="20"/>
      <c r="D19" s="18" t="s">
        <v>545</v>
      </c>
      <c r="E19" s="19" t="s">
        <v>2000</v>
      </c>
      <c r="F19" s="20"/>
      <c r="G19" s="18" t="s">
        <v>547</v>
      </c>
      <c r="H19" s="19" t="s">
        <v>916</v>
      </c>
      <c r="I19" s="20"/>
      <c r="J19" s="18" t="s">
        <v>549</v>
      </c>
      <c r="K19" s="19" t="s">
        <v>974</v>
      </c>
      <c r="L19" s="20"/>
      <c r="M19" s="18" t="s">
        <v>758</v>
      </c>
      <c r="N19" s="19" t="s">
        <v>1793</v>
      </c>
      <c r="O19" s="20"/>
    </row>
    <row r="20" ht="180.0" customHeight="1">
      <c r="A20" s="21" t="str">
        <f>IMAGE("https://assets.tcgdex.net/de/sv/sv07/021/low.jpg", 1)</f>
        <v/>
      </c>
      <c r="B20" s="22"/>
      <c r="C20" s="20"/>
      <c r="D20" s="21" t="str">
        <f>IMAGE("https://assets.tcgdex.net/de/sv/sv07/022/low.jpg", 1)</f>
        <v/>
      </c>
      <c r="E20" s="22"/>
      <c r="F20" s="20"/>
      <c r="G20" s="21" t="str">
        <f>IMAGE("https://assets.tcgdex.net/de/sv/sv07/023/low.jpg", 1)</f>
        <v/>
      </c>
      <c r="H20" s="22"/>
      <c r="I20" s="20"/>
      <c r="J20" s="21" t="str">
        <f>IMAGE("https://assets.tcgdex.net/de/sv/sv07/024/low.jpg", 1)</f>
        <v/>
      </c>
      <c r="K20" s="22"/>
      <c r="L20" s="20"/>
      <c r="M20" s="21" t="str">
        <f>IMAGE("https://assets.tcgdex.net/de/sv/sv07/025/low.jpg", 1)</f>
        <v/>
      </c>
      <c r="N20" s="22"/>
      <c r="O20" s="20"/>
    </row>
    <row r="21" ht="22.5" customHeight="1">
      <c r="A21" s="23" t="b">
        <v>0</v>
      </c>
      <c r="B21" s="24" t="b">
        <v>0</v>
      </c>
      <c r="C21" s="25" t="str">
        <f>HYPERLINK("https://www.cardmarket.com/en/Pokemon/Products/Singles?idCategory=1&amp;idProduct=sv7-21", "CM")</f>
        <v>CM</v>
      </c>
      <c r="D21" s="23" t="b">
        <v>0</v>
      </c>
      <c r="E21" s="24" t="b">
        <v>0</v>
      </c>
      <c r="F21" s="25" t="str">
        <f>HYPERLINK("https://www.cardmarket.com/en/Pokemon/Products/Singles?idCategory=1&amp;idProduct=sv7-22", "CM")</f>
        <v>CM</v>
      </c>
      <c r="G21" s="23" t="b">
        <v>0</v>
      </c>
      <c r="H21" s="24" t="b">
        <v>0</v>
      </c>
      <c r="I21" s="25" t="str">
        <f>HYPERLINK("https://www.cardmarket.com/en/Pokemon/Products/Singles?idCategory=1&amp;idProduct=sv7-23", "CM")</f>
        <v>CM</v>
      </c>
      <c r="J21" s="23" t="b">
        <v>0</v>
      </c>
      <c r="K21" s="24" t="b">
        <v>0</v>
      </c>
      <c r="L21" s="25" t="str">
        <f>HYPERLINK("https://www.cardmarket.com/en/Pokemon/Products/Singles?idCategory=1&amp;idProduct=sv7-24", "CM")</f>
        <v>CM</v>
      </c>
      <c r="M21" s="23" t="b">
        <v>0</v>
      </c>
      <c r="N21" s="24" t="b">
        <v>0</v>
      </c>
      <c r="O21" s="25" t="str">
        <f>HYPERLINK("https://www.cardmarket.com/en/Pokemon/Products/Singles?idCategory=1&amp;idProduct=sv7-25", "CM")</f>
        <v>CM</v>
      </c>
    </row>
    <row r="22" ht="7.5" customHeight="1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</row>
    <row r="23" ht="18.75" customHeight="1">
      <c r="A23" s="18" t="s">
        <v>760</v>
      </c>
      <c r="B23" s="19" t="s">
        <v>2001</v>
      </c>
      <c r="C23" s="20"/>
      <c r="D23" s="18" t="s">
        <v>762</v>
      </c>
      <c r="E23" s="19" t="s">
        <v>2002</v>
      </c>
      <c r="F23" s="20"/>
      <c r="G23" s="18" t="s">
        <v>551</v>
      </c>
      <c r="H23" s="19" t="s">
        <v>864</v>
      </c>
      <c r="I23" s="20"/>
      <c r="J23" s="18" t="s">
        <v>553</v>
      </c>
      <c r="K23" s="19" t="s">
        <v>1213</v>
      </c>
      <c r="L23" s="20"/>
      <c r="M23" s="18" t="s">
        <v>555</v>
      </c>
      <c r="N23" s="19" t="s">
        <v>1479</v>
      </c>
      <c r="O23" s="20"/>
    </row>
    <row r="24" ht="180.0" customHeight="1">
      <c r="A24" s="21" t="str">
        <f>IMAGE("https://assets.tcgdex.net/de/sv/sv07/026/low.jpg", 1)</f>
        <v/>
      </c>
      <c r="B24" s="22"/>
      <c r="C24" s="20"/>
      <c r="D24" s="21" t="str">
        <f>IMAGE("https://assets.tcgdex.net/de/sv/sv07/027/low.jpg", 1)</f>
        <v/>
      </c>
      <c r="E24" s="22"/>
      <c r="F24" s="20"/>
      <c r="G24" s="21" t="str">
        <f>IMAGE("https://assets.tcgdex.net/de/sv/sv07/028/low.jpg", 1)</f>
        <v/>
      </c>
      <c r="H24" s="22"/>
      <c r="I24" s="20"/>
      <c r="J24" s="21" t="str">
        <f>IMAGE("https://assets.tcgdex.net/de/sv/sv07/029/low.jpg", 1)</f>
        <v/>
      </c>
      <c r="K24" s="22"/>
      <c r="L24" s="20"/>
      <c r="M24" s="21" t="str">
        <f>IMAGE("https://assets.tcgdex.net/de/sv/sv07/030/low.jpg", 1)</f>
        <v/>
      </c>
      <c r="N24" s="22"/>
      <c r="O24" s="20"/>
    </row>
    <row r="25" ht="22.5" customHeight="1">
      <c r="A25" s="23" t="b">
        <v>0</v>
      </c>
      <c r="B25" s="24" t="b">
        <v>0</v>
      </c>
      <c r="C25" s="25" t="str">
        <f>HYPERLINK("https://www.cardmarket.com/en/Pokemon/Products/Singles?idCategory=1&amp;idProduct=sv7-26", "CM")</f>
        <v>CM</v>
      </c>
      <c r="D25" s="23" t="b">
        <v>0</v>
      </c>
      <c r="E25" s="24" t="b">
        <v>0</v>
      </c>
      <c r="F25" s="25" t="str">
        <f>HYPERLINK("https://www.cardmarket.com/en/Pokemon/Products/Singles?idCategory=1&amp;idProduct=sv7-27", "CM")</f>
        <v>CM</v>
      </c>
      <c r="G25" s="23" t="b">
        <v>0</v>
      </c>
      <c r="H25" s="24" t="b">
        <v>0</v>
      </c>
      <c r="I25" s="25" t="str">
        <f>HYPERLINK("https://www.cardmarket.com/en/Pokemon/Products/Singles?idCategory=1&amp;idProduct=sv7-28", "CM")</f>
        <v>CM</v>
      </c>
      <c r="J25" s="23" t="b">
        <v>0</v>
      </c>
      <c r="K25" s="24" t="b">
        <v>0</v>
      </c>
      <c r="L25" s="25" t="str">
        <f>HYPERLINK("https://www.cardmarket.com/en/Pokemon/Products/Singles?idCategory=1&amp;idProduct=sv7-29", "CM")</f>
        <v>CM</v>
      </c>
      <c r="M25" s="23" t="b">
        <v>0</v>
      </c>
      <c r="N25" s="24" t="b">
        <v>0</v>
      </c>
      <c r="O25" s="25" t="str">
        <f>HYPERLINK("https://www.cardmarket.com/en/Pokemon/Products/Singles?idCategory=1&amp;idProduct=sv7-30", "CM")</f>
        <v>CM</v>
      </c>
    </row>
    <row r="26" ht="7.5" customHeight="1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</row>
    <row r="27" ht="18.75" customHeight="1">
      <c r="A27" s="18" t="s">
        <v>557</v>
      </c>
      <c r="B27" s="19" t="s">
        <v>1072</v>
      </c>
      <c r="C27" s="20"/>
      <c r="D27" s="18" t="s">
        <v>559</v>
      </c>
      <c r="E27" s="19" t="s">
        <v>866</v>
      </c>
      <c r="F27" s="20"/>
      <c r="G27" s="18" t="s">
        <v>561</v>
      </c>
      <c r="H27" s="19" t="s">
        <v>1807</v>
      </c>
      <c r="I27" s="20"/>
      <c r="J27" s="18" t="s">
        <v>563</v>
      </c>
      <c r="K27" s="19" t="s">
        <v>1808</v>
      </c>
      <c r="L27" s="20"/>
      <c r="M27" s="18" t="s">
        <v>565</v>
      </c>
      <c r="N27" s="19" t="s">
        <v>2003</v>
      </c>
      <c r="O27" s="20"/>
    </row>
    <row r="28" ht="180.0" customHeight="1">
      <c r="A28" s="21" t="str">
        <f>IMAGE("https://assets.tcgdex.net/de/sv/sv07/031/low.jpg", 1)</f>
        <v/>
      </c>
      <c r="B28" s="22"/>
      <c r="C28" s="20"/>
      <c r="D28" s="21" t="str">
        <f>IMAGE("https://assets.tcgdex.net/de/sv/sv07/032/low.jpg", 1)</f>
        <v/>
      </c>
      <c r="E28" s="22"/>
      <c r="F28" s="20"/>
      <c r="G28" s="21" t="str">
        <f>IMAGE("https://assets.tcgdex.net/de/sv/sv07/033/low.jpg", 1)</f>
        <v/>
      </c>
      <c r="H28" s="22"/>
      <c r="I28" s="20"/>
      <c r="J28" s="21" t="str">
        <f>IMAGE("https://assets.tcgdex.net/de/sv/sv07/034/low.jpg", 1)</f>
        <v/>
      </c>
      <c r="K28" s="22"/>
      <c r="L28" s="20"/>
      <c r="M28" s="21" t="str">
        <f>IMAGE("https://assets.tcgdex.net/de/sv/sv07/035/low.jpg", 1)</f>
        <v/>
      </c>
      <c r="N28" s="22"/>
      <c r="O28" s="20"/>
    </row>
    <row r="29" ht="22.5" customHeight="1">
      <c r="A29" s="23" t="b">
        <v>0</v>
      </c>
      <c r="B29" s="24" t="b">
        <v>0</v>
      </c>
      <c r="C29" s="25" t="str">
        <f>HYPERLINK("https://www.cardmarket.com/en/Pokemon/Products/Singles?idCategory=1&amp;idProduct=sv7-31", "CM")</f>
        <v>CM</v>
      </c>
      <c r="D29" s="23" t="b">
        <v>0</v>
      </c>
      <c r="E29" s="24" t="b">
        <v>0</v>
      </c>
      <c r="F29" s="25" t="str">
        <f>HYPERLINK("https://www.cardmarket.com/en/Pokemon/Products/Singles?idCategory=1&amp;idProduct=sv7-32", "CM")</f>
        <v>CM</v>
      </c>
      <c r="G29" s="23" t="b">
        <v>0</v>
      </c>
      <c r="H29" s="24" t="b">
        <v>0</v>
      </c>
      <c r="I29" s="25" t="str">
        <f>HYPERLINK("https://www.cardmarket.com/en/Pokemon/Products/Singles?idCategory=1&amp;idProduct=sv7-33", "CM")</f>
        <v>CM</v>
      </c>
      <c r="J29" s="23" t="b">
        <v>0</v>
      </c>
      <c r="K29" s="24" t="b">
        <v>0</v>
      </c>
      <c r="L29" s="25" t="str">
        <f>HYPERLINK("https://www.cardmarket.com/en/Pokemon/Products/Singles?idCategory=1&amp;idProduct=sv7-34", "CM")</f>
        <v>CM</v>
      </c>
      <c r="M29" s="23" t="b">
        <v>0</v>
      </c>
      <c r="N29" s="24" t="b">
        <v>0</v>
      </c>
      <c r="O29" s="25" t="str">
        <f>HYPERLINK("https://www.cardmarket.com/en/Pokemon/Products/Singles?idCategory=1&amp;idProduct=sv7-35", "CM")</f>
        <v>CM</v>
      </c>
    </row>
    <row r="30" ht="7.5" customHeight="1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</row>
    <row r="31" ht="18.75" customHeight="1">
      <c r="A31" s="18" t="s">
        <v>567</v>
      </c>
      <c r="B31" s="19" t="s">
        <v>2004</v>
      </c>
      <c r="C31" s="20"/>
      <c r="D31" s="18" t="s">
        <v>569</v>
      </c>
      <c r="E31" s="19" t="s">
        <v>2005</v>
      </c>
      <c r="F31" s="20"/>
      <c r="G31" s="18" t="s">
        <v>571</v>
      </c>
      <c r="H31" s="19" t="s">
        <v>2006</v>
      </c>
      <c r="I31" s="20"/>
      <c r="J31" s="18" t="s">
        <v>573</v>
      </c>
      <c r="K31" s="19" t="s">
        <v>1396</v>
      </c>
      <c r="L31" s="20"/>
      <c r="M31" s="18" t="s">
        <v>575</v>
      </c>
      <c r="N31" s="19" t="s">
        <v>1397</v>
      </c>
      <c r="O31" s="20"/>
    </row>
    <row r="32" ht="180.0" customHeight="1">
      <c r="A32" s="21" t="str">
        <f>IMAGE("https://assets.tcgdex.net/de/sv/sv07/036/low.jpg", 1)</f>
        <v/>
      </c>
      <c r="B32" s="22"/>
      <c r="C32" s="20"/>
      <c r="D32" s="21" t="str">
        <f>IMAGE("https://assets.tcgdex.net/de/sv/sv07/037/low.jpg", 1)</f>
        <v/>
      </c>
      <c r="E32" s="22"/>
      <c r="F32" s="20"/>
      <c r="G32" s="21" t="str">
        <f>IMAGE("https://assets.tcgdex.net/de/sv/sv07/038/low.jpg", 1)</f>
        <v/>
      </c>
      <c r="H32" s="22"/>
      <c r="I32" s="20"/>
      <c r="J32" s="21" t="str">
        <f>IMAGE("https://assets.tcgdex.net/de/sv/sv07/039/low.jpg", 1)</f>
        <v/>
      </c>
      <c r="K32" s="22"/>
      <c r="L32" s="20"/>
      <c r="M32" s="21" t="str">
        <f>IMAGE("https://assets.tcgdex.net/de/sv/sv07/040/low.jpg", 1)</f>
        <v/>
      </c>
      <c r="N32" s="22"/>
      <c r="O32" s="20"/>
    </row>
    <row r="33" ht="22.5" customHeight="1">
      <c r="A33" s="23" t="b">
        <v>0</v>
      </c>
      <c r="B33" s="24" t="b">
        <v>0</v>
      </c>
      <c r="C33" s="25" t="str">
        <f>HYPERLINK("https://www.cardmarket.com/en/Pokemon/Products/Singles?idCategory=1&amp;idProduct=sv7-36", "CM")</f>
        <v>CM</v>
      </c>
      <c r="D33" s="23" t="b">
        <v>0</v>
      </c>
      <c r="E33" s="24" t="b">
        <v>0</v>
      </c>
      <c r="F33" s="25" t="str">
        <f>HYPERLINK("https://www.cardmarket.com/en/Pokemon/Products/Singles?idCategory=1&amp;idProduct=sv7-37", "CM")</f>
        <v>CM</v>
      </c>
      <c r="G33" s="23" t="b">
        <v>0</v>
      </c>
      <c r="H33" s="24" t="b">
        <v>0</v>
      </c>
      <c r="I33" s="25" t="str">
        <f>HYPERLINK("https://www.cardmarket.com/en/Pokemon/Products/Singles?idCategory=1&amp;idProduct=sv7-38", "CM")</f>
        <v>CM</v>
      </c>
      <c r="J33" s="23" t="b">
        <v>0</v>
      </c>
      <c r="K33" s="24" t="b">
        <v>0</v>
      </c>
      <c r="L33" s="25" t="str">
        <f>HYPERLINK("https://www.cardmarket.com/en/Pokemon/Products/Singles?idCategory=1&amp;idProduct=sv7-39", "CM")</f>
        <v>CM</v>
      </c>
      <c r="M33" s="23" t="b">
        <v>0</v>
      </c>
      <c r="N33" s="24" t="b">
        <v>0</v>
      </c>
      <c r="O33" s="25" t="str">
        <f>HYPERLINK("https://www.cardmarket.com/en/Pokemon/Products/Singles?idCategory=1&amp;idProduct=sv7-40", "CM")</f>
        <v>CM</v>
      </c>
    </row>
    <row r="34" ht="7.5" customHeight="1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</row>
    <row r="35" ht="18.75" customHeight="1">
      <c r="A35" s="18" t="s">
        <v>577</v>
      </c>
      <c r="B35" s="19" t="s">
        <v>584</v>
      </c>
      <c r="C35" s="20"/>
      <c r="D35" s="18" t="s">
        <v>579</v>
      </c>
      <c r="E35" s="19" t="s">
        <v>667</v>
      </c>
      <c r="F35" s="20"/>
      <c r="G35" s="18" t="s">
        <v>763</v>
      </c>
      <c r="H35" s="19" t="s">
        <v>2007</v>
      </c>
      <c r="I35" s="20"/>
      <c r="J35" s="18" t="s">
        <v>765</v>
      </c>
      <c r="K35" s="19" t="s">
        <v>2008</v>
      </c>
      <c r="L35" s="20"/>
      <c r="M35" s="18" t="s">
        <v>581</v>
      </c>
      <c r="N35" s="19" t="s">
        <v>1623</v>
      </c>
      <c r="O35" s="20"/>
    </row>
    <row r="36" ht="180.0" customHeight="1">
      <c r="A36" s="21" t="str">
        <f>IMAGE("https://assets.tcgdex.net/de/sv/sv07/041/low.jpg", 1)</f>
        <v/>
      </c>
      <c r="B36" s="22"/>
      <c r="C36" s="20"/>
      <c r="D36" s="21" t="str">
        <f>IMAGE("https://assets.tcgdex.net/de/sv/sv07/042/low.jpg", 1)</f>
        <v/>
      </c>
      <c r="E36" s="22"/>
      <c r="F36" s="20"/>
      <c r="G36" s="21" t="str">
        <f>IMAGE("https://assets.tcgdex.net/de/sv/sv07/043/low.jpg", 1)</f>
        <v/>
      </c>
      <c r="H36" s="22"/>
      <c r="I36" s="20"/>
      <c r="J36" s="21" t="str">
        <f>IMAGE("https://assets.tcgdex.net/de/sv/sv07/044/low.jpg", 1)</f>
        <v/>
      </c>
      <c r="K36" s="22"/>
      <c r="L36" s="20"/>
      <c r="M36" s="21" t="str">
        <f>IMAGE("https://assets.tcgdex.net/de/sv/sv07/045/low.jpg", 1)</f>
        <v/>
      </c>
      <c r="N36" s="22"/>
      <c r="O36" s="20"/>
    </row>
    <row r="37" ht="22.5" customHeight="1">
      <c r="A37" s="23" t="b">
        <v>0</v>
      </c>
      <c r="B37" s="24" t="b">
        <v>0</v>
      </c>
      <c r="C37" s="25" t="str">
        <f>HYPERLINK("https://www.cardmarket.com/en/Pokemon/Products/Singles?idCategory=1&amp;idProduct=sv7-41", "CM")</f>
        <v>CM</v>
      </c>
      <c r="D37" s="23" t="b">
        <v>0</v>
      </c>
      <c r="E37" s="24" t="b">
        <v>0</v>
      </c>
      <c r="F37" s="25" t="str">
        <f>HYPERLINK("https://www.cardmarket.com/en/Pokemon/Products/Singles?idCategory=1&amp;idProduct=sv7-42", "CM")</f>
        <v>CM</v>
      </c>
      <c r="G37" s="23" t="b">
        <v>0</v>
      </c>
      <c r="H37" s="24" t="b">
        <v>0</v>
      </c>
      <c r="I37" s="25" t="str">
        <f>HYPERLINK("https://www.cardmarket.com/en/Pokemon/Products/Singles?idCategory=1&amp;idProduct=sv7-43", "CM")</f>
        <v>CM</v>
      </c>
      <c r="J37" s="23" t="b">
        <v>0</v>
      </c>
      <c r="K37" s="24" t="b">
        <v>0</v>
      </c>
      <c r="L37" s="25" t="str">
        <f>HYPERLINK("https://www.cardmarket.com/en/Pokemon/Products/Singles?idCategory=1&amp;idProduct=sv7-44", "CM")</f>
        <v>CM</v>
      </c>
      <c r="M37" s="23" t="b">
        <v>0</v>
      </c>
      <c r="N37" s="24" t="b">
        <v>0</v>
      </c>
      <c r="O37" s="25" t="str">
        <f>HYPERLINK("https://www.cardmarket.com/en/Pokemon/Products/Singles?idCategory=1&amp;idProduct=sv7-45", "CM")</f>
        <v>CM</v>
      </c>
    </row>
    <row r="38" ht="7.5" customHeight="1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</row>
    <row r="39" ht="18.75" customHeight="1">
      <c r="A39" s="18" t="s">
        <v>767</v>
      </c>
      <c r="B39" s="19" t="s">
        <v>1562</v>
      </c>
      <c r="C39" s="20"/>
      <c r="D39" s="18" t="s">
        <v>769</v>
      </c>
      <c r="E39" s="19" t="s">
        <v>1800</v>
      </c>
      <c r="F39" s="20"/>
      <c r="G39" s="18" t="s">
        <v>770</v>
      </c>
      <c r="H39" s="19" t="s">
        <v>1731</v>
      </c>
      <c r="I39" s="20"/>
      <c r="J39" s="18" t="s">
        <v>772</v>
      </c>
      <c r="K39" s="19" t="s">
        <v>1732</v>
      </c>
      <c r="L39" s="20"/>
      <c r="M39" s="18" t="s">
        <v>774</v>
      </c>
      <c r="N39" s="19" t="s">
        <v>1630</v>
      </c>
      <c r="O39" s="20"/>
    </row>
    <row r="40" ht="180.0" customHeight="1">
      <c r="A40" s="21" t="str">
        <f>IMAGE("https://assets.tcgdex.net/de/sv/sv07/046/low.jpg", 1)</f>
        <v/>
      </c>
      <c r="B40" s="22"/>
      <c r="C40" s="20"/>
      <c r="D40" s="21" t="str">
        <f>IMAGE("https://assets.tcgdex.net/de/sv/sv07/047/low.jpg", 1)</f>
        <v/>
      </c>
      <c r="E40" s="22"/>
      <c r="F40" s="20"/>
      <c r="G40" s="21" t="str">
        <f>IMAGE("https://assets.tcgdex.net/de/sv/sv07/048/low.jpg", 1)</f>
        <v/>
      </c>
      <c r="H40" s="22"/>
      <c r="I40" s="20"/>
      <c r="J40" s="21" t="str">
        <f>IMAGE("https://assets.tcgdex.net/de/sv/sv07/049/low.jpg", 1)</f>
        <v/>
      </c>
      <c r="K40" s="22"/>
      <c r="L40" s="20"/>
      <c r="M40" s="21" t="str">
        <f>IMAGE("https://assets.tcgdex.net/de/sv/sv07/050/low.jpg", 1)</f>
        <v/>
      </c>
      <c r="N40" s="22"/>
      <c r="O40" s="20"/>
    </row>
    <row r="41" ht="22.5" customHeight="1">
      <c r="A41" s="23" t="b">
        <v>0</v>
      </c>
      <c r="B41" s="24" t="b">
        <v>0</v>
      </c>
      <c r="C41" s="25" t="str">
        <f>HYPERLINK("https://www.cardmarket.com/en/Pokemon/Products/Singles?idCategory=1&amp;idProduct=sv7-46", "CM")</f>
        <v>CM</v>
      </c>
      <c r="D41" s="23" t="b">
        <v>0</v>
      </c>
      <c r="E41" s="24" t="b">
        <v>0</v>
      </c>
      <c r="F41" s="25" t="str">
        <f>HYPERLINK("https://www.cardmarket.com/en/Pokemon/Products/Singles?idCategory=1&amp;idProduct=sv7-47", "CM")</f>
        <v>CM</v>
      </c>
      <c r="G41" s="23" t="b">
        <v>0</v>
      </c>
      <c r="H41" s="24" t="b">
        <v>0</v>
      </c>
      <c r="I41" s="25" t="str">
        <f>HYPERLINK("https://www.cardmarket.com/en/Pokemon/Products/Singles?idCategory=1&amp;idProduct=sv7-48", "CM")</f>
        <v>CM</v>
      </c>
      <c r="J41" s="23" t="b">
        <v>0</v>
      </c>
      <c r="K41" s="24" t="b">
        <v>0</v>
      </c>
      <c r="L41" s="25" t="str">
        <f>HYPERLINK("https://www.cardmarket.com/en/Pokemon/Products/Singles?idCategory=1&amp;idProduct=sv7-49", "CM")</f>
        <v>CM</v>
      </c>
      <c r="M41" s="23" t="b">
        <v>0</v>
      </c>
      <c r="N41" s="24" t="b">
        <v>0</v>
      </c>
      <c r="O41" s="25" t="str">
        <f>HYPERLINK("https://www.cardmarket.com/en/Pokemon/Products/Singles?idCategory=1&amp;idProduct=sv7-50", "CM")</f>
        <v>CM</v>
      </c>
    </row>
    <row r="42" ht="7.5" customHeight="1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</row>
    <row r="43" ht="18.75" customHeight="1">
      <c r="A43" s="18" t="s">
        <v>776</v>
      </c>
      <c r="B43" s="19" t="s">
        <v>2009</v>
      </c>
      <c r="C43" s="20"/>
      <c r="D43" s="18" t="s">
        <v>778</v>
      </c>
      <c r="E43" s="19" t="s">
        <v>1801</v>
      </c>
      <c r="F43" s="20"/>
      <c r="G43" s="18" t="s">
        <v>780</v>
      </c>
      <c r="H43" s="19" t="s">
        <v>1802</v>
      </c>
      <c r="I43" s="20"/>
      <c r="J43" s="18" t="s">
        <v>583</v>
      </c>
      <c r="K43" s="19" t="s">
        <v>1442</v>
      </c>
      <c r="L43" s="20"/>
      <c r="M43" s="18" t="s">
        <v>585</v>
      </c>
      <c r="N43" s="19" t="s">
        <v>925</v>
      </c>
      <c r="O43" s="20"/>
    </row>
    <row r="44" ht="180.0" customHeight="1">
      <c r="A44" s="21" t="str">
        <f>IMAGE("https://assets.tcgdex.net/de/sv/sv07/051/low.jpg", 1)</f>
        <v/>
      </c>
      <c r="B44" s="22"/>
      <c r="C44" s="20"/>
      <c r="D44" s="21" t="str">
        <f>IMAGE("https://assets.tcgdex.net/de/sv/sv07/052/low.jpg", 1)</f>
        <v/>
      </c>
      <c r="E44" s="22"/>
      <c r="F44" s="20"/>
      <c r="G44" s="21" t="str">
        <f>IMAGE("https://assets.tcgdex.net/de/sv/sv07/053/low.jpg", 1)</f>
        <v/>
      </c>
      <c r="H44" s="22"/>
      <c r="I44" s="20"/>
      <c r="J44" s="21" t="str">
        <f>IMAGE("https://assets.tcgdex.net/de/sv/sv07/054/low.jpg", 1)</f>
        <v/>
      </c>
      <c r="K44" s="22"/>
      <c r="L44" s="20"/>
      <c r="M44" s="21" t="str">
        <f>IMAGE("https://assets.tcgdex.net/de/sv/sv07/055/low.jpg", 1)</f>
        <v/>
      </c>
      <c r="N44" s="22"/>
      <c r="O44" s="20"/>
    </row>
    <row r="45" ht="22.5" customHeight="1">
      <c r="A45" s="23" t="b">
        <v>0</v>
      </c>
      <c r="B45" s="24" t="b">
        <v>0</v>
      </c>
      <c r="C45" s="25" t="str">
        <f>HYPERLINK("https://www.cardmarket.com/en/Pokemon/Products/Singles?idCategory=1&amp;idProduct=sv7-51", "CM")</f>
        <v>CM</v>
      </c>
      <c r="D45" s="23" t="b">
        <v>0</v>
      </c>
      <c r="E45" s="24" t="b">
        <v>0</v>
      </c>
      <c r="F45" s="25" t="str">
        <f>HYPERLINK("https://www.cardmarket.com/en/Pokemon/Products/Singles?idCategory=1&amp;idProduct=sv7-52", "CM")</f>
        <v>CM</v>
      </c>
      <c r="G45" s="23" t="b">
        <v>0</v>
      </c>
      <c r="H45" s="24" t="b">
        <v>0</v>
      </c>
      <c r="I45" s="25" t="str">
        <f>HYPERLINK("https://www.cardmarket.com/en/Pokemon/Products/Singles?idCategory=1&amp;idProduct=sv7-53", "CM")</f>
        <v>CM</v>
      </c>
      <c r="J45" s="23" t="b">
        <v>0</v>
      </c>
      <c r="K45" s="24" t="b">
        <v>0</v>
      </c>
      <c r="L45" s="25" t="str">
        <f>HYPERLINK("https://www.cardmarket.com/en/Pokemon/Products/Singles?idCategory=1&amp;idProduct=sv7-54", "CM")</f>
        <v>CM</v>
      </c>
      <c r="M45" s="23" t="b">
        <v>0</v>
      </c>
      <c r="N45" s="24" t="b">
        <v>0</v>
      </c>
      <c r="O45" s="25" t="str">
        <f>HYPERLINK("https://www.cardmarket.com/en/Pokemon/Products/Singles?idCategory=1&amp;idProduct=sv7-55", "CM")</f>
        <v>CM</v>
      </c>
    </row>
    <row r="46" ht="7.5" customHeight="1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</row>
    <row r="47" ht="18.75" customHeight="1">
      <c r="A47" s="18" t="s">
        <v>782</v>
      </c>
      <c r="B47" s="19" t="s">
        <v>576</v>
      </c>
      <c r="C47" s="20"/>
      <c r="D47" s="18" t="s">
        <v>587</v>
      </c>
      <c r="E47" s="19" t="s">
        <v>1242</v>
      </c>
      <c r="F47" s="20"/>
      <c r="G47" s="18" t="s">
        <v>589</v>
      </c>
      <c r="H47" s="19" t="s">
        <v>2010</v>
      </c>
      <c r="I47" s="20"/>
      <c r="J47" s="18" t="s">
        <v>591</v>
      </c>
      <c r="K47" s="19" t="s">
        <v>779</v>
      </c>
      <c r="L47" s="20"/>
      <c r="M47" s="18" t="s">
        <v>593</v>
      </c>
      <c r="N47" s="19" t="s">
        <v>1217</v>
      </c>
      <c r="O47" s="20"/>
    </row>
    <row r="48" ht="180.0" customHeight="1">
      <c r="A48" s="21" t="str">
        <f>IMAGE("https://assets.tcgdex.net/de/sv/sv07/056/low.jpg", 1)</f>
        <v/>
      </c>
      <c r="B48" s="22"/>
      <c r="C48" s="20"/>
      <c r="D48" s="21" t="str">
        <f>IMAGE("https://assets.tcgdex.net/de/sv/sv07/057/low.jpg", 1)</f>
        <v/>
      </c>
      <c r="E48" s="22"/>
      <c r="F48" s="20"/>
      <c r="G48" s="21" t="str">
        <f>IMAGE("https://assets.tcgdex.net/de/sv/sv07/058/low.jpg", 1)</f>
        <v/>
      </c>
      <c r="H48" s="22"/>
      <c r="I48" s="20"/>
      <c r="J48" s="21" t="str">
        <f>IMAGE("https://assets.tcgdex.net/de/sv/sv07/059/low.jpg", 1)</f>
        <v/>
      </c>
      <c r="K48" s="22"/>
      <c r="L48" s="20"/>
      <c r="M48" s="21" t="str">
        <f>IMAGE("https://assets.tcgdex.net/de/sv/sv07/060/low.jpg", 1)</f>
        <v/>
      </c>
      <c r="N48" s="22"/>
      <c r="O48" s="20"/>
    </row>
    <row r="49" ht="22.5" customHeight="1">
      <c r="A49" s="23" t="b">
        <v>0</v>
      </c>
      <c r="B49" s="24" t="b">
        <v>0</v>
      </c>
      <c r="C49" s="25" t="str">
        <f>HYPERLINK("https://www.cardmarket.com/en/Pokemon/Products/Singles?idCategory=1&amp;idProduct=sv7-56", "CM")</f>
        <v>CM</v>
      </c>
      <c r="D49" s="23" t="b">
        <v>0</v>
      </c>
      <c r="E49" s="24" t="b">
        <v>0</v>
      </c>
      <c r="F49" s="25" t="str">
        <f>HYPERLINK("https://www.cardmarket.com/en/Pokemon/Products/Singles?idCategory=1&amp;idProduct=sv7-57", "CM")</f>
        <v>CM</v>
      </c>
      <c r="G49" s="23" t="b">
        <v>0</v>
      </c>
      <c r="H49" s="24" t="b">
        <v>0</v>
      </c>
      <c r="I49" s="25" t="str">
        <f>HYPERLINK("https://www.cardmarket.com/en/Pokemon/Products/Singles?idCategory=1&amp;idProduct=sv7-58", "CM")</f>
        <v>CM</v>
      </c>
      <c r="J49" s="23" t="b">
        <v>0</v>
      </c>
      <c r="K49" s="24" t="b">
        <v>0</v>
      </c>
      <c r="L49" s="25" t="str">
        <f>HYPERLINK("https://www.cardmarket.com/en/Pokemon/Products/Singles?idCategory=1&amp;idProduct=sv7-59", "CM")</f>
        <v>CM</v>
      </c>
      <c r="M49" s="23" t="b">
        <v>0</v>
      </c>
      <c r="N49" s="24" t="b">
        <v>0</v>
      </c>
      <c r="O49" s="25" t="str">
        <f>HYPERLINK("https://www.cardmarket.com/en/Pokemon/Products/Singles?idCategory=1&amp;idProduct=sv7-60", "CM")</f>
        <v>CM</v>
      </c>
    </row>
    <row r="50" ht="7.5" customHeight="1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</row>
    <row r="51" ht="18.75" customHeight="1">
      <c r="A51" s="18" t="s">
        <v>595</v>
      </c>
      <c r="B51" s="19" t="s">
        <v>846</v>
      </c>
      <c r="C51" s="20"/>
      <c r="D51" s="18" t="s">
        <v>597</v>
      </c>
      <c r="E51" s="19" t="s">
        <v>1638</v>
      </c>
      <c r="F51" s="20"/>
      <c r="G51" s="18" t="s">
        <v>784</v>
      </c>
      <c r="H51" s="19" t="s">
        <v>2011</v>
      </c>
      <c r="I51" s="20"/>
      <c r="J51" s="18" t="s">
        <v>786</v>
      </c>
      <c r="K51" s="19" t="s">
        <v>2012</v>
      </c>
      <c r="L51" s="20"/>
      <c r="M51" s="18" t="s">
        <v>788</v>
      </c>
      <c r="N51" s="19" t="s">
        <v>2013</v>
      </c>
      <c r="O51" s="20"/>
    </row>
    <row r="52" ht="180.0" customHeight="1">
      <c r="A52" s="21" t="str">
        <f>IMAGE("https://assets.tcgdex.net/de/sv/sv07/061/low.jpg", 1)</f>
        <v/>
      </c>
      <c r="B52" s="22"/>
      <c r="C52" s="20"/>
      <c r="D52" s="21" t="str">
        <f>IMAGE("https://assets.tcgdex.net/de/sv/sv07/062/low.jpg", 1)</f>
        <v/>
      </c>
      <c r="E52" s="22"/>
      <c r="F52" s="20"/>
      <c r="G52" s="21" t="str">
        <f>IMAGE("https://assets.tcgdex.net/de/sv/sv07/063/low.jpg", 1)</f>
        <v/>
      </c>
      <c r="H52" s="22"/>
      <c r="I52" s="20"/>
      <c r="J52" s="21" t="str">
        <f>IMAGE("https://assets.tcgdex.net/de/sv/sv07/064/low.jpg", 1)</f>
        <v/>
      </c>
      <c r="K52" s="22"/>
      <c r="L52" s="20"/>
      <c r="M52" s="21" t="str">
        <f>IMAGE("https://assets.tcgdex.net/de/sv/sv07/065/low.jpg", 1)</f>
        <v/>
      </c>
      <c r="N52" s="22"/>
      <c r="O52" s="20"/>
    </row>
    <row r="53" ht="22.5" customHeight="1">
      <c r="A53" s="23" t="b">
        <v>0</v>
      </c>
      <c r="B53" s="24" t="b">
        <v>0</v>
      </c>
      <c r="C53" s="25" t="str">
        <f>HYPERLINK("https://www.cardmarket.com/en/Pokemon/Products/Singles?idCategory=1&amp;idProduct=sv7-61", "CM")</f>
        <v>CM</v>
      </c>
      <c r="D53" s="23" t="b">
        <v>0</v>
      </c>
      <c r="E53" s="24" t="b">
        <v>0</v>
      </c>
      <c r="F53" s="25" t="str">
        <f>HYPERLINK("https://www.cardmarket.com/en/Pokemon/Products/Singles?idCategory=1&amp;idProduct=sv7-62", "CM")</f>
        <v>CM</v>
      </c>
      <c r="G53" s="23" t="b">
        <v>0</v>
      </c>
      <c r="H53" s="24" t="b">
        <v>0</v>
      </c>
      <c r="I53" s="25" t="str">
        <f>HYPERLINK("https://www.cardmarket.com/en/Pokemon/Products/Singles?idCategory=1&amp;idProduct=sv7-63", "CM")</f>
        <v>CM</v>
      </c>
      <c r="J53" s="23" t="b">
        <v>0</v>
      </c>
      <c r="K53" s="24" t="b">
        <v>0</v>
      </c>
      <c r="L53" s="25" t="str">
        <f>HYPERLINK("https://www.cardmarket.com/en/Pokemon/Products/Singles?idCategory=1&amp;idProduct=sv7-64", "CM")</f>
        <v>CM</v>
      </c>
      <c r="M53" s="23" t="b">
        <v>0</v>
      </c>
      <c r="N53" s="24" t="b">
        <v>0</v>
      </c>
      <c r="O53" s="25" t="str">
        <f>HYPERLINK("https://www.cardmarket.com/en/Pokemon/Products/Singles?idCategory=1&amp;idProduct=sv7-65", "CM")</f>
        <v>CM</v>
      </c>
    </row>
    <row r="54" ht="7.5" customHeight="1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</row>
    <row r="55" ht="18.75" customHeight="1">
      <c r="A55" s="18" t="s">
        <v>790</v>
      </c>
      <c r="B55" s="19" t="s">
        <v>796</v>
      </c>
      <c r="C55" s="20"/>
      <c r="D55" s="18" t="s">
        <v>791</v>
      </c>
      <c r="E55" s="19" t="s">
        <v>2014</v>
      </c>
      <c r="F55" s="20"/>
      <c r="G55" s="18" t="s">
        <v>793</v>
      </c>
      <c r="H55" s="19" t="s">
        <v>1220</v>
      </c>
      <c r="I55" s="20"/>
      <c r="J55" s="18" t="s">
        <v>795</v>
      </c>
      <c r="K55" s="19" t="s">
        <v>749</v>
      </c>
      <c r="L55" s="20"/>
      <c r="M55" s="18" t="s">
        <v>797</v>
      </c>
      <c r="N55" s="19" t="s">
        <v>798</v>
      </c>
      <c r="O55" s="20"/>
    </row>
    <row r="56" ht="180.0" customHeight="1">
      <c r="A56" s="21" t="str">
        <f>IMAGE("https://assets.tcgdex.net/de/sv/sv07/066/low.jpg", 1)</f>
        <v/>
      </c>
      <c r="B56" s="22"/>
      <c r="C56" s="20"/>
      <c r="D56" s="21" t="str">
        <f>IMAGE("https://assets.tcgdex.net/de/sv/sv07/067/low.jpg", 1)</f>
        <v/>
      </c>
      <c r="E56" s="22"/>
      <c r="F56" s="20"/>
      <c r="G56" s="21" t="str">
        <f>IMAGE("https://assets.tcgdex.net/de/sv/sv07/068/low.jpg", 1)</f>
        <v/>
      </c>
      <c r="H56" s="22"/>
      <c r="I56" s="20"/>
      <c r="J56" s="21" t="str">
        <f>IMAGE("https://assets.tcgdex.net/de/sv/sv07/069/low.jpg", 1)</f>
        <v/>
      </c>
      <c r="K56" s="22"/>
      <c r="L56" s="20"/>
      <c r="M56" s="21" t="str">
        <f>IMAGE("https://assets.tcgdex.net/de/sv/sv07/070/low.jpg", 1)</f>
        <v/>
      </c>
      <c r="N56" s="22"/>
      <c r="O56" s="20"/>
    </row>
    <row r="57" ht="22.5" customHeight="1">
      <c r="A57" s="23" t="b">
        <v>0</v>
      </c>
      <c r="B57" s="24" t="b">
        <v>0</v>
      </c>
      <c r="C57" s="25" t="str">
        <f>HYPERLINK("https://www.cardmarket.com/en/Pokemon/Products/Singles?idCategory=1&amp;idProduct=sv7-66", "CM")</f>
        <v>CM</v>
      </c>
      <c r="D57" s="23" t="b">
        <v>0</v>
      </c>
      <c r="E57" s="24" t="b">
        <v>0</v>
      </c>
      <c r="F57" s="25" t="str">
        <f>HYPERLINK("https://www.cardmarket.com/en/Pokemon/Products/Singles?idCategory=1&amp;idProduct=sv7-67", "CM")</f>
        <v>CM</v>
      </c>
      <c r="G57" s="23" t="b">
        <v>0</v>
      </c>
      <c r="H57" s="24" t="b">
        <v>0</v>
      </c>
      <c r="I57" s="25" t="str">
        <f>HYPERLINK("https://www.cardmarket.com/en/Pokemon/Products/Singles?idCategory=1&amp;idProduct=sv7-68", "CM")</f>
        <v>CM</v>
      </c>
      <c r="J57" s="23" t="b">
        <v>0</v>
      </c>
      <c r="K57" s="24" t="b">
        <v>0</v>
      </c>
      <c r="L57" s="25" t="str">
        <f>HYPERLINK("https://www.cardmarket.com/en/Pokemon/Products/Singles?idCategory=1&amp;idProduct=sv7-69", "CM")</f>
        <v>CM</v>
      </c>
      <c r="M57" s="23" t="b">
        <v>0</v>
      </c>
      <c r="N57" s="24" t="b">
        <v>0</v>
      </c>
      <c r="O57" s="25" t="str">
        <f>HYPERLINK("https://www.cardmarket.com/en/Pokemon/Products/Singles?idCategory=1&amp;idProduct=sv7-70", "CM")</f>
        <v>CM</v>
      </c>
    </row>
    <row r="58" ht="7.5" customHeight="1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</row>
    <row r="59" ht="18.75" customHeight="1">
      <c r="A59" s="18" t="s">
        <v>799</v>
      </c>
      <c r="B59" s="19" t="s">
        <v>2015</v>
      </c>
      <c r="C59" s="20"/>
      <c r="D59" s="18" t="s">
        <v>801</v>
      </c>
      <c r="E59" s="19" t="s">
        <v>1547</v>
      </c>
      <c r="F59" s="20"/>
      <c r="G59" s="18" t="s">
        <v>803</v>
      </c>
      <c r="H59" s="19" t="s">
        <v>1548</v>
      </c>
      <c r="I59" s="20"/>
      <c r="J59" s="18" t="s">
        <v>805</v>
      </c>
      <c r="K59" s="19" t="s">
        <v>1553</v>
      </c>
      <c r="L59" s="20"/>
      <c r="M59" s="18" t="s">
        <v>806</v>
      </c>
      <c r="N59" s="19" t="s">
        <v>1554</v>
      </c>
      <c r="O59" s="20"/>
    </row>
    <row r="60" ht="180.0" customHeight="1">
      <c r="A60" s="21" t="str">
        <f>IMAGE("https://assets.tcgdex.net/de/sv/sv07/071/low.jpg", 1)</f>
        <v/>
      </c>
      <c r="B60" s="22"/>
      <c r="C60" s="20"/>
      <c r="D60" s="21" t="str">
        <f>IMAGE("https://assets.tcgdex.net/de/sv/sv07/072/low.jpg", 1)</f>
        <v/>
      </c>
      <c r="E60" s="22"/>
      <c r="F60" s="20"/>
      <c r="G60" s="21" t="str">
        <f>IMAGE("https://assets.tcgdex.net/de/sv/sv07/073/low.jpg", 1)</f>
        <v/>
      </c>
      <c r="H60" s="22"/>
      <c r="I60" s="20"/>
      <c r="J60" s="21" t="str">
        <f>IMAGE("https://assets.tcgdex.net/de/sv/sv07/074/low.jpg", 1)</f>
        <v/>
      </c>
      <c r="K60" s="22"/>
      <c r="L60" s="20"/>
      <c r="M60" s="21" t="str">
        <f>IMAGE("https://assets.tcgdex.net/de/sv/sv07/075/low.jpg", 1)</f>
        <v/>
      </c>
      <c r="N60" s="22"/>
      <c r="O60" s="20"/>
    </row>
    <row r="61" ht="22.5" customHeight="1">
      <c r="A61" s="23" t="b">
        <v>0</v>
      </c>
      <c r="B61" s="24" t="b">
        <v>0</v>
      </c>
      <c r="C61" s="25" t="str">
        <f>HYPERLINK("https://www.cardmarket.com/en/Pokemon/Products/Singles?idCategory=1&amp;idProduct=sv7-71", "CM")</f>
        <v>CM</v>
      </c>
      <c r="D61" s="23" t="b">
        <v>0</v>
      </c>
      <c r="E61" s="24" t="b">
        <v>0</v>
      </c>
      <c r="F61" s="25" t="str">
        <f>HYPERLINK("https://www.cardmarket.com/en/Pokemon/Products/Singles?idCategory=1&amp;idProduct=sv7-72", "CM")</f>
        <v>CM</v>
      </c>
      <c r="G61" s="23" t="b">
        <v>0</v>
      </c>
      <c r="H61" s="24" t="b">
        <v>0</v>
      </c>
      <c r="I61" s="25" t="str">
        <f>HYPERLINK("https://www.cardmarket.com/en/Pokemon/Products/Singles?idCategory=1&amp;idProduct=sv7-73", "CM")</f>
        <v>CM</v>
      </c>
      <c r="J61" s="23" t="b">
        <v>0</v>
      </c>
      <c r="K61" s="24" t="b">
        <v>0</v>
      </c>
      <c r="L61" s="25" t="str">
        <f>HYPERLINK("https://www.cardmarket.com/en/Pokemon/Products/Singles?idCategory=1&amp;idProduct=sv7-74", "CM")</f>
        <v>CM</v>
      </c>
      <c r="M61" s="23" t="b">
        <v>0</v>
      </c>
      <c r="N61" s="24" t="b">
        <v>0</v>
      </c>
      <c r="O61" s="25" t="str">
        <f>HYPERLINK("https://www.cardmarket.com/en/Pokemon/Products/Singles?idCategory=1&amp;idProduct=sv7-75", "CM")</f>
        <v>CM</v>
      </c>
    </row>
    <row r="62" ht="7.5" customHeight="1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</row>
    <row r="63" ht="18.75" customHeight="1">
      <c r="A63" s="18" t="s">
        <v>808</v>
      </c>
      <c r="B63" s="19" t="s">
        <v>2016</v>
      </c>
      <c r="C63" s="20"/>
      <c r="D63" s="18" t="s">
        <v>809</v>
      </c>
      <c r="E63" s="19" t="s">
        <v>1284</v>
      </c>
      <c r="F63" s="20"/>
      <c r="G63" s="18" t="s">
        <v>811</v>
      </c>
      <c r="H63" s="19" t="s">
        <v>1284</v>
      </c>
      <c r="I63" s="20"/>
      <c r="J63" s="18" t="s">
        <v>599</v>
      </c>
      <c r="K63" s="19" t="s">
        <v>1221</v>
      </c>
      <c r="L63" s="20"/>
      <c r="M63" s="18" t="s">
        <v>601</v>
      </c>
      <c r="N63" s="19" t="s">
        <v>2017</v>
      </c>
      <c r="O63" s="20"/>
    </row>
    <row r="64" ht="180.0" customHeight="1">
      <c r="A64" s="21" t="str">
        <f>IMAGE("https://assets.tcgdex.net/de/sv/sv07/076/low.jpg", 1)</f>
        <v/>
      </c>
      <c r="B64" s="22"/>
      <c r="C64" s="20"/>
      <c r="D64" s="21" t="str">
        <f>IMAGE("https://assets.tcgdex.net/de/sv/sv07/077/low.jpg", 1)</f>
        <v/>
      </c>
      <c r="E64" s="22"/>
      <c r="F64" s="20"/>
      <c r="G64" s="21" t="str">
        <f>IMAGE("https://assets.tcgdex.net/de/sv/sv07/078/low.jpg", 1)</f>
        <v/>
      </c>
      <c r="H64" s="22"/>
      <c r="I64" s="20"/>
      <c r="J64" s="21" t="str">
        <f>IMAGE("https://assets.tcgdex.net/de/sv/sv07/079/low.jpg", 1)</f>
        <v/>
      </c>
      <c r="K64" s="22"/>
      <c r="L64" s="20"/>
      <c r="M64" s="21" t="str">
        <f>IMAGE("https://assets.tcgdex.net/de/sv/sv07/080/low.jpg", 1)</f>
        <v/>
      </c>
      <c r="N64" s="22"/>
      <c r="O64" s="20"/>
    </row>
    <row r="65" ht="22.5" customHeight="1">
      <c r="A65" s="23" t="b">
        <v>0</v>
      </c>
      <c r="B65" s="24" t="b">
        <v>0</v>
      </c>
      <c r="C65" s="25" t="str">
        <f>HYPERLINK("https://www.cardmarket.com/en/Pokemon/Products/Singles?idCategory=1&amp;idProduct=sv7-76", "CM")</f>
        <v>CM</v>
      </c>
      <c r="D65" s="23" t="b">
        <v>0</v>
      </c>
      <c r="E65" s="24" t="b">
        <v>0</v>
      </c>
      <c r="F65" s="25" t="str">
        <f>HYPERLINK("https://www.cardmarket.com/en/Pokemon/Products/Singles?idCategory=1&amp;idProduct=sv7-77", "CM")</f>
        <v>CM</v>
      </c>
      <c r="G65" s="23" t="b">
        <v>0</v>
      </c>
      <c r="H65" s="24" t="b">
        <v>0</v>
      </c>
      <c r="I65" s="25" t="str">
        <f>HYPERLINK("https://www.cardmarket.com/en/Pokemon/Products/Singles?idCategory=1&amp;idProduct=sv7-78", "CM")</f>
        <v>CM</v>
      </c>
      <c r="J65" s="23" t="b">
        <v>0</v>
      </c>
      <c r="K65" s="24" t="b">
        <v>0</v>
      </c>
      <c r="L65" s="25" t="str">
        <f>HYPERLINK("https://www.cardmarket.com/en/Pokemon/Products/Singles?idCategory=1&amp;idProduct=sv7-79", "CM")</f>
        <v>CM</v>
      </c>
      <c r="M65" s="23" t="b">
        <v>0</v>
      </c>
      <c r="N65" s="24" t="b">
        <v>0</v>
      </c>
      <c r="O65" s="25" t="str">
        <f>HYPERLINK("https://www.cardmarket.com/en/Pokemon/Products/Singles?idCategory=1&amp;idProduct=sv7-80", "CM")</f>
        <v>CM</v>
      </c>
    </row>
    <row r="66" ht="7.5" customHeight="1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</row>
    <row r="67" ht="18.75" customHeight="1">
      <c r="A67" s="18" t="s">
        <v>603</v>
      </c>
      <c r="B67" s="19" t="s">
        <v>998</v>
      </c>
      <c r="C67" s="20"/>
      <c r="D67" s="18" t="s">
        <v>604</v>
      </c>
      <c r="E67" s="19" t="s">
        <v>538</v>
      </c>
      <c r="F67" s="20"/>
      <c r="G67" s="18" t="s">
        <v>606</v>
      </c>
      <c r="H67" s="19" t="s">
        <v>1649</v>
      </c>
      <c r="I67" s="20"/>
      <c r="J67" s="18" t="s">
        <v>608</v>
      </c>
      <c r="K67" s="19" t="s">
        <v>1650</v>
      </c>
      <c r="L67" s="20"/>
      <c r="M67" s="18" t="s">
        <v>609</v>
      </c>
      <c r="N67" s="19" t="s">
        <v>999</v>
      </c>
      <c r="O67" s="20"/>
    </row>
    <row r="68" ht="180.0" customHeight="1">
      <c r="A68" s="21" t="str">
        <f>IMAGE("https://assets.tcgdex.net/de/sv/sv07/081/low.jpg", 1)</f>
        <v/>
      </c>
      <c r="B68" s="22"/>
      <c r="C68" s="20"/>
      <c r="D68" s="21" t="str">
        <f>IMAGE("https://assets.tcgdex.net/de/sv/sv07/082/low.jpg", 1)</f>
        <v/>
      </c>
      <c r="E68" s="22"/>
      <c r="F68" s="20"/>
      <c r="G68" s="21" t="str">
        <f>IMAGE("https://assets.tcgdex.net/de/sv/sv07/083/low.jpg", 1)</f>
        <v/>
      </c>
      <c r="H68" s="22"/>
      <c r="I68" s="20"/>
      <c r="J68" s="21" t="str">
        <f>IMAGE("https://assets.tcgdex.net/de/sv/sv07/084/low.jpg", 1)</f>
        <v/>
      </c>
      <c r="K68" s="22"/>
      <c r="L68" s="20"/>
      <c r="M68" s="21" t="str">
        <f>IMAGE("https://assets.tcgdex.net/de/sv/sv07/085/low.jpg", 1)</f>
        <v/>
      </c>
      <c r="N68" s="22"/>
      <c r="O68" s="20"/>
    </row>
    <row r="69" ht="22.5" customHeight="1">
      <c r="A69" s="23" t="b">
        <v>0</v>
      </c>
      <c r="B69" s="24" t="b">
        <v>0</v>
      </c>
      <c r="C69" s="25" t="str">
        <f>HYPERLINK("https://www.cardmarket.com/en/Pokemon/Products/Singles?idCategory=1&amp;idProduct=sv7-81", "CM")</f>
        <v>CM</v>
      </c>
      <c r="D69" s="23" t="b">
        <v>0</v>
      </c>
      <c r="E69" s="24" t="b">
        <v>0</v>
      </c>
      <c r="F69" s="25" t="str">
        <f>HYPERLINK("https://www.cardmarket.com/en/Pokemon/Products/Singles?idCategory=1&amp;idProduct=sv7-82", "CM")</f>
        <v>CM</v>
      </c>
      <c r="G69" s="23" t="b">
        <v>0</v>
      </c>
      <c r="H69" s="24" t="b">
        <v>0</v>
      </c>
      <c r="I69" s="25" t="str">
        <f>HYPERLINK("https://www.cardmarket.com/en/Pokemon/Products/Singles?idCategory=1&amp;idProduct=sv7-83", "CM")</f>
        <v>CM</v>
      </c>
      <c r="J69" s="23" t="b">
        <v>0</v>
      </c>
      <c r="K69" s="24" t="b">
        <v>0</v>
      </c>
      <c r="L69" s="25" t="str">
        <f>HYPERLINK("https://www.cardmarket.com/en/Pokemon/Products/Singles?idCategory=1&amp;idProduct=sv7-84", "CM")</f>
        <v>CM</v>
      </c>
      <c r="M69" s="23" t="b">
        <v>0</v>
      </c>
      <c r="N69" s="24" t="b">
        <v>0</v>
      </c>
      <c r="O69" s="25" t="str">
        <f>HYPERLINK("https://www.cardmarket.com/en/Pokemon/Products/Singles?idCategory=1&amp;idProduct=sv7-85", "CM")</f>
        <v>CM</v>
      </c>
    </row>
    <row r="70" ht="7.5" customHeight="1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</row>
    <row r="71" ht="18.75" customHeight="1">
      <c r="A71" s="18" t="s">
        <v>611</v>
      </c>
      <c r="B71" s="19" t="s">
        <v>1088</v>
      </c>
      <c r="C71" s="20"/>
      <c r="D71" s="18" t="s">
        <v>613</v>
      </c>
      <c r="E71" s="19" t="s">
        <v>1427</v>
      </c>
      <c r="F71" s="20"/>
      <c r="G71" s="18" t="s">
        <v>615</v>
      </c>
      <c r="H71" s="19" t="s">
        <v>2018</v>
      </c>
      <c r="I71" s="20"/>
      <c r="J71" s="18" t="s">
        <v>617</v>
      </c>
      <c r="K71" s="19" t="s">
        <v>2019</v>
      </c>
      <c r="L71" s="20"/>
      <c r="M71" s="18" t="s">
        <v>619</v>
      </c>
      <c r="N71" s="19" t="s">
        <v>622</v>
      </c>
      <c r="O71" s="20"/>
    </row>
    <row r="72" ht="180.0" customHeight="1">
      <c r="A72" s="21" t="str">
        <f>IMAGE("https://assets.tcgdex.net/de/sv/sv07/086/low.jpg", 1)</f>
        <v/>
      </c>
      <c r="B72" s="22"/>
      <c r="C72" s="20"/>
      <c r="D72" s="21" t="str">
        <f>IMAGE("https://assets.tcgdex.net/de/sv/sv07/087/low.jpg", 1)</f>
        <v/>
      </c>
      <c r="E72" s="22"/>
      <c r="F72" s="20"/>
      <c r="G72" s="21" t="str">
        <f>IMAGE("https://assets.tcgdex.net/de/sv/sv07/088/low.jpg", 1)</f>
        <v/>
      </c>
      <c r="H72" s="22"/>
      <c r="I72" s="20"/>
      <c r="J72" s="21" t="str">
        <f>IMAGE("https://assets.tcgdex.net/de/sv/sv07/089/low.jpg", 1)</f>
        <v/>
      </c>
      <c r="K72" s="22"/>
      <c r="L72" s="20"/>
      <c r="M72" s="21" t="str">
        <f>IMAGE("https://assets.tcgdex.net/de/sv/sv07/090/low.jpg", 1)</f>
        <v/>
      </c>
      <c r="N72" s="22"/>
      <c r="O72" s="20"/>
    </row>
    <row r="73" ht="22.5" customHeight="1">
      <c r="A73" s="23" t="b">
        <v>0</v>
      </c>
      <c r="B73" s="24" t="b">
        <v>0</v>
      </c>
      <c r="C73" s="25" t="str">
        <f>HYPERLINK("https://www.cardmarket.com/en/Pokemon/Products/Singles?idCategory=1&amp;idProduct=sv7-86", "CM")</f>
        <v>CM</v>
      </c>
      <c r="D73" s="23" t="b">
        <v>0</v>
      </c>
      <c r="E73" s="24" t="b">
        <v>0</v>
      </c>
      <c r="F73" s="25" t="str">
        <f>HYPERLINK("https://www.cardmarket.com/en/Pokemon/Products/Singles?idCategory=1&amp;idProduct=sv7-87", "CM")</f>
        <v>CM</v>
      </c>
      <c r="G73" s="23" t="b">
        <v>0</v>
      </c>
      <c r="H73" s="24" t="b">
        <v>0</v>
      </c>
      <c r="I73" s="25" t="str">
        <f>HYPERLINK("https://www.cardmarket.com/en/Pokemon/Products/Singles?idCategory=1&amp;idProduct=sv7-88", "CM")</f>
        <v>CM</v>
      </c>
      <c r="J73" s="23" t="b">
        <v>0</v>
      </c>
      <c r="K73" s="24" t="b">
        <v>0</v>
      </c>
      <c r="L73" s="25" t="str">
        <f>HYPERLINK("https://www.cardmarket.com/en/Pokemon/Products/Singles?idCategory=1&amp;idProduct=sv7-89", "CM")</f>
        <v>CM</v>
      </c>
      <c r="M73" s="23" t="b">
        <v>0</v>
      </c>
      <c r="N73" s="24" t="b">
        <v>0</v>
      </c>
      <c r="O73" s="25" t="str">
        <f>HYPERLINK("https://www.cardmarket.com/en/Pokemon/Products/Singles?idCategory=1&amp;idProduct=sv7-90", "CM")</f>
        <v>CM</v>
      </c>
    </row>
    <row r="74" ht="7.5" customHeight="1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</row>
    <row r="75" ht="18.75" customHeight="1">
      <c r="A75" s="18" t="s">
        <v>621</v>
      </c>
      <c r="B75" s="19" t="s">
        <v>2020</v>
      </c>
      <c r="C75" s="20"/>
      <c r="D75" s="18" t="s">
        <v>623</v>
      </c>
      <c r="E75" s="19" t="s">
        <v>2021</v>
      </c>
      <c r="F75" s="20"/>
      <c r="G75" s="18" t="s">
        <v>625</v>
      </c>
      <c r="H75" s="19" t="s">
        <v>932</v>
      </c>
      <c r="I75" s="20"/>
      <c r="J75" s="18" t="s">
        <v>627</v>
      </c>
      <c r="K75" s="19" t="s">
        <v>2022</v>
      </c>
      <c r="L75" s="20"/>
      <c r="M75" s="18" t="s">
        <v>812</v>
      </c>
      <c r="N75" s="19" t="s">
        <v>2023</v>
      </c>
      <c r="O75" s="20"/>
    </row>
    <row r="76" ht="180.0" customHeight="1">
      <c r="A76" s="21" t="str">
        <f>IMAGE("https://assets.tcgdex.net/de/sv/sv07/091/low.jpg", 1)</f>
        <v/>
      </c>
      <c r="B76" s="22"/>
      <c r="C76" s="20"/>
      <c r="D76" s="21" t="str">
        <f>IMAGE("https://assets.tcgdex.net/de/sv/sv07/092/low.jpg", 1)</f>
        <v/>
      </c>
      <c r="E76" s="22"/>
      <c r="F76" s="20"/>
      <c r="G76" s="21" t="str">
        <f>IMAGE("https://assets.tcgdex.net/de/sv/sv07/093/low.jpg", 1)</f>
        <v/>
      </c>
      <c r="H76" s="22"/>
      <c r="I76" s="20"/>
      <c r="J76" s="21" t="str">
        <f>IMAGE("https://assets.tcgdex.net/de/sv/sv07/094/low.jpg", 1)</f>
        <v/>
      </c>
      <c r="K76" s="22"/>
      <c r="L76" s="20"/>
      <c r="M76" s="21" t="str">
        <f>IMAGE("https://assets.tcgdex.net/de/sv/sv07/095/low.jpg", 1)</f>
        <v/>
      </c>
      <c r="N76" s="22"/>
      <c r="O76" s="20"/>
    </row>
    <row r="77" ht="22.5" customHeight="1">
      <c r="A77" s="23" t="b">
        <v>0</v>
      </c>
      <c r="B77" s="24" t="b">
        <v>0</v>
      </c>
      <c r="C77" s="25" t="str">
        <f>HYPERLINK("https://www.cardmarket.com/en/Pokemon/Products/Singles?idCategory=1&amp;idProduct=sv7-91", "CM")</f>
        <v>CM</v>
      </c>
      <c r="D77" s="23" t="b">
        <v>0</v>
      </c>
      <c r="E77" s="24" t="b">
        <v>0</v>
      </c>
      <c r="F77" s="25" t="str">
        <f>HYPERLINK("https://www.cardmarket.com/en/Pokemon/Products/Singles?idCategory=1&amp;idProduct=sv7-92", "CM")</f>
        <v>CM</v>
      </c>
      <c r="G77" s="23" t="b">
        <v>0</v>
      </c>
      <c r="H77" s="24" t="b">
        <v>0</v>
      </c>
      <c r="I77" s="25" t="str">
        <f>HYPERLINK("https://www.cardmarket.com/en/Pokemon/Products/Singles?idCategory=1&amp;idProduct=sv7-93", "CM")</f>
        <v>CM</v>
      </c>
      <c r="J77" s="23" t="b">
        <v>0</v>
      </c>
      <c r="K77" s="24" t="b">
        <v>0</v>
      </c>
      <c r="L77" s="25" t="str">
        <f>HYPERLINK("https://www.cardmarket.com/en/Pokemon/Products/Singles?idCategory=1&amp;idProduct=sv7-94", "CM")</f>
        <v>CM</v>
      </c>
      <c r="M77" s="23" t="b">
        <v>0</v>
      </c>
      <c r="N77" s="24" t="b">
        <v>0</v>
      </c>
      <c r="O77" s="25" t="str">
        <f>HYPERLINK("https://www.cardmarket.com/en/Pokemon/Products/Singles?idCategory=1&amp;idProduct=sv7-95", "CM")</f>
        <v>CM</v>
      </c>
    </row>
    <row r="78" ht="7.5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</row>
    <row r="79" ht="18.75" customHeight="1">
      <c r="A79" s="18" t="s">
        <v>813</v>
      </c>
      <c r="B79" s="19" t="s">
        <v>2024</v>
      </c>
      <c r="C79" s="20"/>
      <c r="D79" s="18" t="s">
        <v>815</v>
      </c>
      <c r="E79" s="19" t="s">
        <v>1295</v>
      </c>
      <c r="F79" s="20"/>
      <c r="G79" s="18" t="s">
        <v>817</v>
      </c>
      <c r="H79" s="19" t="s">
        <v>1670</v>
      </c>
      <c r="I79" s="20"/>
      <c r="J79" s="18" t="s">
        <v>819</v>
      </c>
      <c r="K79" s="19" t="s">
        <v>2025</v>
      </c>
      <c r="L79" s="20"/>
      <c r="M79" s="18" t="s">
        <v>821</v>
      </c>
      <c r="N79" s="19" t="s">
        <v>2026</v>
      </c>
      <c r="O79" s="20"/>
    </row>
    <row r="80" ht="180.0" customHeight="1">
      <c r="A80" s="21" t="str">
        <f>IMAGE("https://assets.tcgdex.net/de/sv/sv07/096/low.jpg", 1)</f>
        <v/>
      </c>
      <c r="B80" s="22"/>
      <c r="C80" s="20"/>
      <c r="D80" s="21" t="str">
        <f>IMAGE("https://assets.tcgdex.net/de/sv/sv07/097/low.jpg", 1)</f>
        <v/>
      </c>
      <c r="E80" s="22"/>
      <c r="F80" s="20"/>
      <c r="G80" s="21" t="str">
        <f>IMAGE("https://assets.tcgdex.net/de/sv/sv07/098/low.jpg", 1)</f>
        <v/>
      </c>
      <c r="H80" s="22"/>
      <c r="I80" s="20"/>
      <c r="J80" s="21" t="str">
        <f>IMAGE("https://assets.tcgdex.net/de/sv/sv07/099/low.jpg", 1)</f>
        <v/>
      </c>
      <c r="K80" s="22"/>
      <c r="L80" s="20"/>
      <c r="M80" s="21" t="str">
        <f>IMAGE("https://assets.tcgdex.net/de/sv/sv07/100/low.jpg", 1)</f>
        <v/>
      </c>
      <c r="N80" s="22"/>
      <c r="O80" s="20"/>
    </row>
    <row r="81" ht="22.5" customHeight="1">
      <c r="A81" s="23" t="b">
        <v>0</v>
      </c>
      <c r="B81" s="24" t="b">
        <v>0</v>
      </c>
      <c r="C81" s="25" t="str">
        <f>HYPERLINK("https://www.cardmarket.com/en/Pokemon/Products/Singles?idCategory=1&amp;idProduct=sv7-96", "CM")</f>
        <v>CM</v>
      </c>
      <c r="D81" s="23" t="b">
        <v>0</v>
      </c>
      <c r="E81" s="24" t="b">
        <v>0</v>
      </c>
      <c r="F81" s="25" t="str">
        <f>HYPERLINK("https://www.cardmarket.com/en/Pokemon/Products/Singles?idCategory=1&amp;idProduct=sv7-97", "CM")</f>
        <v>CM</v>
      </c>
      <c r="G81" s="23" t="b">
        <v>0</v>
      </c>
      <c r="H81" s="24" t="b">
        <v>0</v>
      </c>
      <c r="I81" s="25" t="str">
        <f>HYPERLINK("https://www.cardmarket.com/en/Pokemon/Products/Singles?idCategory=1&amp;idProduct=sv7-98", "CM")</f>
        <v>CM</v>
      </c>
      <c r="J81" s="23" t="b">
        <v>0</v>
      </c>
      <c r="K81" s="24" t="b">
        <v>0</v>
      </c>
      <c r="L81" s="25" t="str">
        <f>HYPERLINK("https://www.cardmarket.com/en/Pokemon/Products/Singles?idCategory=1&amp;idProduct=sv7-99", "CM")</f>
        <v>CM</v>
      </c>
      <c r="M81" s="23" t="b">
        <v>0</v>
      </c>
      <c r="N81" s="24" t="b">
        <v>0</v>
      </c>
      <c r="O81" s="25" t="str">
        <f>HYPERLINK("https://www.cardmarket.com/en/Pokemon/Products/Singles?idCategory=1&amp;idProduct=sv7-100", "CM")</f>
        <v>CM</v>
      </c>
    </row>
    <row r="82" ht="7.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</row>
    <row r="83" ht="18.75" customHeight="1">
      <c r="A83" s="18" t="s">
        <v>629</v>
      </c>
      <c r="B83" s="19" t="s">
        <v>2027</v>
      </c>
      <c r="C83" s="20"/>
      <c r="D83" s="18" t="s">
        <v>630</v>
      </c>
      <c r="E83" s="19" t="s">
        <v>1443</v>
      </c>
      <c r="F83" s="20"/>
      <c r="G83" s="18" t="s">
        <v>632</v>
      </c>
      <c r="H83" s="19" t="s">
        <v>1443</v>
      </c>
      <c r="I83" s="20"/>
      <c r="J83" s="18" t="s">
        <v>634</v>
      </c>
      <c r="K83" s="19" t="s">
        <v>1836</v>
      </c>
      <c r="L83" s="20"/>
      <c r="M83" s="18" t="s">
        <v>636</v>
      </c>
      <c r="N83" s="19" t="s">
        <v>635</v>
      </c>
      <c r="O83" s="20"/>
    </row>
    <row r="84" ht="180.0" customHeight="1">
      <c r="A84" s="21" t="str">
        <f>IMAGE("https://assets.tcgdex.net/de/sv/sv07/101/low.jpg", 1)</f>
        <v/>
      </c>
      <c r="B84" s="22"/>
      <c r="C84" s="20"/>
      <c r="D84" s="21" t="str">
        <f>IMAGE("https://assets.tcgdex.net/de/sv/sv07/102/low.jpg", 1)</f>
        <v/>
      </c>
      <c r="E84" s="22"/>
      <c r="F84" s="20"/>
      <c r="G84" s="21" t="str">
        <f>IMAGE("https://assets.tcgdex.net/de/sv/sv07/103/low.jpg", 1)</f>
        <v/>
      </c>
      <c r="H84" s="22"/>
      <c r="I84" s="20"/>
      <c r="J84" s="21" t="str">
        <f>IMAGE("https://assets.tcgdex.net/de/sv/sv07/104/low.jpg", 1)</f>
        <v/>
      </c>
      <c r="K84" s="22"/>
      <c r="L84" s="20"/>
      <c r="M84" s="21" t="str">
        <f>IMAGE("https://assets.tcgdex.net/de/sv/sv07/105/low.jpg", 1)</f>
        <v/>
      </c>
      <c r="N84" s="22"/>
      <c r="O84" s="20"/>
    </row>
    <row r="85" ht="22.5" customHeight="1">
      <c r="A85" s="23" t="b">
        <v>0</v>
      </c>
      <c r="B85" s="24" t="b">
        <v>0</v>
      </c>
      <c r="C85" s="25" t="str">
        <f>HYPERLINK("https://www.cardmarket.com/en/Pokemon/Products/Singles?idCategory=1&amp;idProduct=sv7-101", "CM")</f>
        <v>CM</v>
      </c>
      <c r="D85" s="23" t="b">
        <v>0</v>
      </c>
      <c r="E85" s="24" t="b">
        <v>0</v>
      </c>
      <c r="F85" s="25" t="str">
        <f>HYPERLINK("https://www.cardmarket.com/en/Pokemon/Products/Singles?idCategory=1&amp;idProduct=sv7-102", "CM")</f>
        <v>CM</v>
      </c>
      <c r="G85" s="23" t="b">
        <v>0</v>
      </c>
      <c r="H85" s="24" t="b">
        <v>0</v>
      </c>
      <c r="I85" s="25" t="str">
        <f>HYPERLINK("https://www.cardmarket.com/en/Pokemon/Products/Singles?idCategory=1&amp;idProduct=sv7-103", "CM")</f>
        <v>CM</v>
      </c>
      <c r="J85" s="23" t="b">
        <v>0</v>
      </c>
      <c r="K85" s="24" t="b">
        <v>0</v>
      </c>
      <c r="L85" s="25" t="str">
        <f>HYPERLINK("https://www.cardmarket.com/en/Pokemon/Products/Singles?idCategory=1&amp;idProduct=sv7-104", "CM")</f>
        <v>CM</v>
      </c>
      <c r="M85" s="23" t="b">
        <v>0</v>
      </c>
      <c r="N85" s="24" t="b">
        <v>0</v>
      </c>
      <c r="O85" s="25" t="str">
        <f>HYPERLINK("https://www.cardmarket.com/en/Pokemon/Products/Singles?idCategory=1&amp;idProduct=sv7-105", "CM")</f>
        <v>CM</v>
      </c>
    </row>
    <row r="86" ht="7.5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</row>
    <row r="87" ht="18.75" customHeight="1">
      <c r="A87" s="18" t="s">
        <v>638</v>
      </c>
      <c r="B87" s="19" t="s">
        <v>2028</v>
      </c>
      <c r="C87" s="20"/>
      <c r="D87" s="18" t="s">
        <v>640</v>
      </c>
      <c r="E87" s="19" t="s">
        <v>2029</v>
      </c>
      <c r="F87" s="20"/>
      <c r="G87" s="18" t="s">
        <v>642</v>
      </c>
      <c r="H87" s="19" t="s">
        <v>761</v>
      </c>
      <c r="I87" s="20"/>
      <c r="J87" s="18" t="s">
        <v>643</v>
      </c>
      <c r="K87" s="19" t="s">
        <v>532</v>
      </c>
      <c r="L87" s="20"/>
      <c r="M87" s="18" t="s">
        <v>645</v>
      </c>
      <c r="N87" s="19" t="s">
        <v>2030</v>
      </c>
      <c r="O87" s="20"/>
    </row>
    <row r="88" ht="180.0" customHeight="1">
      <c r="A88" s="21" t="str">
        <f>IMAGE("https://assets.tcgdex.net/de/sv/sv07/106/low.jpg", 1)</f>
        <v/>
      </c>
      <c r="B88" s="22"/>
      <c r="C88" s="20"/>
      <c r="D88" s="21" t="str">
        <f>IMAGE("https://assets.tcgdex.net/de/sv/sv07/107/low.jpg", 1)</f>
        <v/>
      </c>
      <c r="E88" s="22"/>
      <c r="F88" s="20"/>
      <c r="G88" s="21" t="str">
        <f>IMAGE("https://assets.tcgdex.net/de/sv/sv07/108/low.jpg", 1)</f>
        <v/>
      </c>
      <c r="H88" s="22"/>
      <c r="I88" s="20"/>
      <c r="J88" s="21" t="str">
        <f>IMAGE("https://assets.tcgdex.net/de/sv/sv07/109/low.jpg", 1)</f>
        <v/>
      </c>
      <c r="K88" s="22"/>
      <c r="L88" s="20"/>
      <c r="M88" s="21" t="str">
        <f>IMAGE("https://assets.tcgdex.net/de/sv/sv07/110/low.jpg", 1)</f>
        <v/>
      </c>
      <c r="N88" s="22"/>
      <c r="O88" s="20"/>
    </row>
    <row r="89" ht="22.5" customHeight="1">
      <c r="A89" s="23" t="b">
        <v>0</v>
      </c>
      <c r="B89" s="24" t="b">
        <v>0</v>
      </c>
      <c r="C89" s="25" t="str">
        <f>HYPERLINK("https://www.cardmarket.com/en/Pokemon/Products/Singles?idCategory=1&amp;idProduct=sv7-106", "CM")</f>
        <v>CM</v>
      </c>
      <c r="D89" s="23" t="b">
        <v>0</v>
      </c>
      <c r="E89" s="24" t="b">
        <v>0</v>
      </c>
      <c r="F89" s="25" t="str">
        <f>HYPERLINK("https://www.cardmarket.com/en/Pokemon/Products/Singles?idCategory=1&amp;idProduct=sv7-107", "CM")</f>
        <v>CM</v>
      </c>
      <c r="G89" s="23" t="b">
        <v>0</v>
      </c>
      <c r="H89" s="24" t="b">
        <v>0</v>
      </c>
      <c r="I89" s="25" t="str">
        <f>HYPERLINK("https://www.cardmarket.com/en/Pokemon/Products/Singles?idCategory=1&amp;idProduct=sv7-108", "CM")</f>
        <v>CM</v>
      </c>
      <c r="J89" s="23" t="b">
        <v>0</v>
      </c>
      <c r="K89" s="24" t="b">
        <v>0</v>
      </c>
      <c r="L89" s="25" t="str">
        <f>HYPERLINK("https://www.cardmarket.com/en/Pokemon/Products/Singles?idCategory=1&amp;idProduct=sv7-109", "CM")</f>
        <v>CM</v>
      </c>
      <c r="M89" s="23" t="b">
        <v>0</v>
      </c>
      <c r="N89" s="24" t="b">
        <v>0</v>
      </c>
      <c r="O89" s="25" t="str">
        <f>HYPERLINK("https://www.cardmarket.com/en/Pokemon/Products/Singles?idCategory=1&amp;idProduct=sv7-110", "CM")</f>
        <v>CM</v>
      </c>
    </row>
    <row r="90" ht="7.5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</row>
    <row r="91" ht="18.75" customHeight="1">
      <c r="A91" s="18" t="s">
        <v>647</v>
      </c>
      <c r="B91" s="19" t="s">
        <v>2031</v>
      </c>
      <c r="C91" s="20"/>
      <c r="D91" s="18" t="s">
        <v>649</v>
      </c>
      <c r="E91" s="19" t="s">
        <v>1019</v>
      </c>
      <c r="F91" s="20"/>
      <c r="G91" s="18" t="s">
        <v>651</v>
      </c>
      <c r="H91" s="19" t="s">
        <v>764</v>
      </c>
      <c r="I91" s="20"/>
      <c r="J91" s="18" t="s">
        <v>823</v>
      </c>
      <c r="K91" s="19" t="s">
        <v>1839</v>
      </c>
      <c r="L91" s="20"/>
      <c r="M91" s="18" t="s">
        <v>653</v>
      </c>
      <c r="N91" s="19" t="s">
        <v>849</v>
      </c>
      <c r="O91" s="20"/>
    </row>
    <row r="92" ht="180.0" customHeight="1">
      <c r="A92" s="21" t="str">
        <f>IMAGE("https://assets.tcgdex.net/de/sv/sv07/111/low.jpg", 1)</f>
        <v/>
      </c>
      <c r="B92" s="22"/>
      <c r="C92" s="20"/>
      <c r="D92" s="21" t="str">
        <f>IMAGE("https://assets.tcgdex.net/de/sv/sv07/112/low.jpg", 1)</f>
        <v/>
      </c>
      <c r="E92" s="22"/>
      <c r="F92" s="20"/>
      <c r="G92" s="21" t="str">
        <f>IMAGE("https://assets.tcgdex.net/de/sv/sv07/113/low.jpg", 1)</f>
        <v/>
      </c>
      <c r="H92" s="22"/>
      <c r="I92" s="20"/>
      <c r="J92" s="21" t="str">
        <f>IMAGE("https://assets.tcgdex.net/de/sv/sv07/114/low.jpg", 1)</f>
        <v/>
      </c>
      <c r="K92" s="22"/>
      <c r="L92" s="20"/>
      <c r="M92" s="21" t="str">
        <f>IMAGE("https://assets.tcgdex.net/de/sv/sv07/115/low.jpg", 1)</f>
        <v/>
      </c>
      <c r="N92" s="22"/>
      <c r="O92" s="20"/>
    </row>
    <row r="93" ht="22.5" customHeight="1">
      <c r="A93" s="23" t="b">
        <v>0</v>
      </c>
      <c r="B93" s="24" t="b">
        <v>0</v>
      </c>
      <c r="C93" s="25" t="str">
        <f>HYPERLINK("https://www.cardmarket.com/en/Pokemon/Products/Singles?idCategory=1&amp;idProduct=sv7-111", "CM")</f>
        <v>CM</v>
      </c>
      <c r="D93" s="23" t="b">
        <v>0</v>
      </c>
      <c r="E93" s="24" t="b">
        <v>0</v>
      </c>
      <c r="F93" s="25" t="str">
        <f>HYPERLINK("https://www.cardmarket.com/en/Pokemon/Products/Singles?idCategory=1&amp;idProduct=sv7-112", "CM")</f>
        <v>CM</v>
      </c>
      <c r="G93" s="23" t="b">
        <v>0</v>
      </c>
      <c r="H93" s="24" t="b">
        <v>0</v>
      </c>
      <c r="I93" s="25" t="str">
        <f>HYPERLINK("https://www.cardmarket.com/en/Pokemon/Products/Singles?idCategory=1&amp;idProduct=sv7-113", "CM")</f>
        <v>CM</v>
      </c>
      <c r="J93" s="23" t="b">
        <v>0</v>
      </c>
      <c r="K93" s="24" t="b">
        <v>0</v>
      </c>
      <c r="L93" s="25" t="str">
        <f>HYPERLINK("https://www.cardmarket.com/en/Pokemon/Products/Singles?idCategory=1&amp;idProduct=sv7-114", "CM")</f>
        <v>CM</v>
      </c>
      <c r="M93" s="23" t="b">
        <v>0</v>
      </c>
      <c r="N93" s="24" t="b">
        <v>0</v>
      </c>
      <c r="O93" s="25" t="str">
        <f>HYPERLINK("https://www.cardmarket.com/en/Pokemon/Products/Singles?idCategory=1&amp;idProduct=sv7-115", "CM")</f>
        <v>CM</v>
      </c>
    </row>
    <row r="94" ht="7.5" customHeigh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</row>
    <row r="95" ht="18.75" customHeight="1">
      <c r="A95" s="18" t="s">
        <v>825</v>
      </c>
      <c r="B95" s="19" t="s">
        <v>2032</v>
      </c>
      <c r="C95" s="20"/>
      <c r="D95" s="18" t="s">
        <v>655</v>
      </c>
      <c r="E95" s="19" t="s">
        <v>2033</v>
      </c>
      <c r="F95" s="20"/>
      <c r="G95" s="18" t="s">
        <v>827</v>
      </c>
      <c r="H95" s="19" t="s">
        <v>2034</v>
      </c>
      <c r="I95" s="20"/>
      <c r="J95" s="18" t="s">
        <v>657</v>
      </c>
      <c r="K95" s="19" t="s">
        <v>669</v>
      </c>
      <c r="L95" s="20"/>
      <c r="M95" s="18" t="s">
        <v>659</v>
      </c>
      <c r="N95" s="19" t="s">
        <v>2035</v>
      </c>
      <c r="O95" s="20"/>
    </row>
    <row r="96" ht="180.0" customHeight="1">
      <c r="A96" s="21" t="str">
        <f>IMAGE("https://assets.tcgdex.net/de/sv/sv07/116/low.jpg", 1)</f>
        <v/>
      </c>
      <c r="B96" s="22"/>
      <c r="C96" s="20"/>
      <c r="D96" s="21" t="str">
        <f>IMAGE("https://assets.tcgdex.net/de/sv/sv07/117/low.jpg", 1)</f>
        <v/>
      </c>
      <c r="E96" s="22"/>
      <c r="F96" s="20"/>
      <c r="G96" s="21" t="str">
        <f>IMAGE("https://assets.tcgdex.net/de/sv/sv07/118/low.jpg", 1)</f>
        <v/>
      </c>
      <c r="H96" s="22"/>
      <c r="I96" s="20"/>
      <c r="J96" s="21" t="str">
        <f>IMAGE("https://assets.tcgdex.net/de/sv/sv07/119/low.jpg", 1)</f>
        <v/>
      </c>
      <c r="K96" s="22"/>
      <c r="L96" s="20"/>
      <c r="M96" s="21" t="str">
        <f>IMAGE("https://assets.tcgdex.net/de/sv/sv07/120/low.jpg", 1)</f>
        <v/>
      </c>
      <c r="N96" s="22"/>
      <c r="O96" s="20"/>
    </row>
    <row r="97" ht="22.5" customHeight="1">
      <c r="A97" s="23" t="b">
        <v>0</v>
      </c>
      <c r="B97" s="24" t="b">
        <v>0</v>
      </c>
      <c r="C97" s="25" t="str">
        <f>HYPERLINK("https://www.cardmarket.com/en/Pokemon/Products/Singles?idCategory=1&amp;idProduct=sv7-116", "CM")</f>
        <v>CM</v>
      </c>
      <c r="D97" s="23" t="b">
        <v>0</v>
      </c>
      <c r="E97" s="24" t="b">
        <v>0</v>
      </c>
      <c r="F97" s="25" t="str">
        <f>HYPERLINK("https://www.cardmarket.com/en/Pokemon/Products/Singles?idCategory=1&amp;idProduct=sv7-117", "CM")</f>
        <v>CM</v>
      </c>
      <c r="G97" s="23" t="b">
        <v>0</v>
      </c>
      <c r="H97" s="24" t="b">
        <v>0</v>
      </c>
      <c r="I97" s="25" t="str">
        <f>HYPERLINK("https://www.cardmarket.com/en/Pokemon/Products/Singles?idCategory=1&amp;idProduct=sv7-118", "CM")</f>
        <v>CM</v>
      </c>
      <c r="J97" s="23" t="b">
        <v>0</v>
      </c>
      <c r="K97" s="24" t="b">
        <v>0</v>
      </c>
      <c r="L97" s="25" t="str">
        <f>HYPERLINK("https://www.cardmarket.com/en/Pokemon/Products/Singles?idCategory=1&amp;idProduct=sv7-119", "CM")</f>
        <v>CM</v>
      </c>
      <c r="M97" s="23" t="b">
        <v>0</v>
      </c>
      <c r="N97" s="24" t="b">
        <v>0</v>
      </c>
      <c r="O97" s="25" t="str">
        <f>HYPERLINK("https://www.cardmarket.com/en/Pokemon/Products/Singles?idCategory=1&amp;idProduct=sv7-120", "CM")</f>
        <v>CM</v>
      </c>
    </row>
    <row r="98" ht="7.5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</row>
    <row r="99" ht="18.75" customHeight="1">
      <c r="A99" s="18" t="s">
        <v>829</v>
      </c>
      <c r="B99" s="19" t="s">
        <v>2036</v>
      </c>
      <c r="C99" s="20"/>
      <c r="D99" s="18" t="s">
        <v>830</v>
      </c>
      <c r="E99" s="19" t="s">
        <v>2037</v>
      </c>
      <c r="F99" s="20"/>
      <c r="G99" s="18" t="s">
        <v>831</v>
      </c>
      <c r="H99" s="19" t="s">
        <v>2038</v>
      </c>
      <c r="I99" s="20"/>
      <c r="J99" s="18" t="s">
        <v>833</v>
      </c>
      <c r="K99" s="19" t="s">
        <v>1029</v>
      </c>
      <c r="L99" s="20"/>
      <c r="M99" s="18" t="s">
        <v>661</v>
      </c>
      <c r="N99" s="19" t="s">
        <v>1030</v>
      </c>
      <c r="O99" s="20"/>
    </row>
    <row r="100" ht="180.0" customHeight="1">
      <c r="A100" s="21" t="str">
        <f>IMAGE("https://assets.tcgdex.net/de/sv/sv07/121/low.jpg", 1)</f>
        <v/>
      </c>
      <c r="B100" s="22"/>
      <c r="C100" s="20"/>
      <c r="D100" s="21" t="str">
        <f>IMAGE("https://assets.tcgdex.net/de/sv/sv07/122/low.jpg", 1)</f>
        <v/>
      </c>
      <c r="E100" s="22"/>
      <c r="F100" s="20"/>
      <c r="G100" s="21" t="str">
        <f>IMAGE("https://assets.tcgdex.net/de/sv/sv07/123/low.jpg", 1)</f>
        <v/>
      </c>
      <c r="H100" s="22"/>
      <c r="I100" s="20"/>
      <c r="J100" s="21" t="str">
        <f>IMAGE("https://assets.tcgdex.net/de/sv/sv07/124/low.jpg", 1)</f>
        <v/>
      </c>
      <c r="K100" s="22"/>
      <c r="L100" s="20"/>
      <c r="M100" s="21" t="str">
        <f>IMAGE("https://assets.tcgdex.net/de/sv/sv07/125/low.jpg", 1)</f>
        <v/>
      </c>
      <c r="N100" s="22"/>
      <c r="O100" s="20"/>
    </row>
    <row r="101" ht="22.5" customHeight="1">
      <c r="A101" s="23" t="b">
        <v>0</v>
      </c>
      <c r="B101" s="24" t="b">
        <v>0</v>
      </c>
      <c r="C101" s="25" t="str">
        <f>HYPERLINK("https://www.cardmarket.com/en/Pokemon/Products/Singles?idCategory=1&amp;idProduct=sv7-121", "CM")</f>
        <v>CM</v>
      </c>
      <c r="D101" s="23" t="b">
        <v>0</v>
      </c>
      <c r="E101" s="24" t="b">
        <v>0</v>
      </c>
      <c r="F101" s="25" t="str">
        <f>HYPERLINK("https://www.cardmarket.com/en/Pokemon/Products/Singles?idCategory=1&amp;idProduct=sv7-122", "CM")</f>
        <v>CM</v>
      </c>
      <c r="G101" s="23" t="b">
        <v>0</v>
      </c>
      <c r="H101" s="24" t="b">
        <v>0</v>
      </c>
      <c r="I101" s="25" t="str">
        <f>HYPERLINK("https://www.cardmarket.com/en/Pokemon/Products/Singles?idCategory=1&amp;idProduct=sv7-123", "CM")</f>
        <v>CM</v>
      </c>
      <c r="J101" s="23" t="b">
        <v>0</v>
      </c>
      <c r="K101" s="24" t="b">
        <v>0</v>
      </c>
      <c r="L101" s="25" t="str">
        <f>HYPERLINK("https://www.cardmarket.com/en/Pokemon/Products/Singles?idCategory=1&amp;idProduct=sv7-124", "CM")</f>
        <v>CM</v>
      </c>
      <c r="M101" s="23" t="b">
        <v>0</v>
      </c>
      <c r="N101" s="24" t="b">
        <v>0</v>
      </c>
      <c r="O101" s="25" t="str">
        <f>HYPERLINK("https://www.cardmarket.com/en/Pokemon/Products/Singles?idCategory=1&amp;idProduct=sv7-125", "CM")</f>
        <v>CM</v>
      </c>
    </row>
    <row r="102" ht="7.5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</row>
    <row r="103" ht="18.75" customHeight="1">
      <c r="A103" s="18" t="s">
        <v>835</v>
      </c>
      <c r="B103" s="19" t="s">
        <v>1228</v>
      </c>
      <c r="C103" s="20"/>
      <c r="D103" s="18" t="s">
        <v>662</v>
      </c>
      <c r="E103" s="19" t="s">
        <v>814</v>
      </c>
      <c r="F103" s="20"/>
      <c r="G103" s="18" t="s">
        <v>837</v>
      </c>
      <c r="H103" s="19" t="s">
        <v>868</v>
      </c>
      <c r="I103" s="20"/>
      <c r="J103" s="18" t="s">
        <v>839</v>
      </c>
      <c r="K103" s="19" t="s">
        <v>2039</v>
      </c>
      <c r="L103" s="20"/>
      <c r="M103" s="18" t="s">
        <v>841</v>
      </c>
      <c r="N103" s="19" t="s">
        <v>2040</v>
      </c>
      <c r="O103" s="20"/>
    </row>
    <row r="104" ht="180.0" customHeight="1">
      <c r="A104" s="21" t="str">
        <f>IMAGE("https://assets.tcgdex.net/de/sv/sv07/126/low.jpg", 1)</f>
        <v/>
      </c>
      <c r="B104" s="22"/>
      <c r="C104" s="20"/>
      <c r="D104" s="21" t="str">
        <f>IMAGE("https://assets.tcgdex.net/de/sv/sv07/127/low.jpg", 1)</f>
        <v/>
      </c>
      <c r="E104" s="22"/>
      <c r="F104" s="20"/>
      <c r="G104" s="21" t="str">
        <f>IMAGE("https://assets.tcgdex.net/de/sv/sv07/128/low.jpg", 1)</f>
        <v/>
      </c>
      <c r="H104" s="22"/>
      <c r="I104" s="20"/>
      <c r="J104" s="21" t="str">
        <f>IMAGE("https://assets.tcgdex.net/de/sv/sv07/129/low.jpg", 1)</f>
        <v/>
      </c>
      <c r="K104" s="22"/>
      <c r="L104" s="20"/>
      <c r="M104" s="21" t="str">
        <f>IMAGE("https://assets.tcgdex.net/de/sv/sv07/130/low.jpg", 1)</f>
        <v/>
      </c>
      <c r="N104" s="22"/>
      <c r="O104" s="20"/>
    </row>
    <row r="105" ht="22.5" customHeight="1">
      <c r="A105" s="23" t="b">
        <v>0</v>
      </c>
      <c r="B105" s="24" t="b">
        <v>0</v>
      </c>
      <c r="C105" s="25" t="str">
        <f>HYPERLINK("https://www.cardmarket.com/en/Pokemon/Products/Singles?idCategory=1&amp;idProduct=sv7-126", "CM")</f>
        <v>CM</v>
      </c>
      <c r="D105" s="23" t="b">
        <v>0</v>
      </c>
      <c r="E105" s="24" t="b">
        <v>0</v>
      </c>
      <c r="F105" s="25" t="str">
        <f>HYPERLINK("https://www.cardmarket.com/en/Pokemon/Products/Singles?idCategory=1&amp;idProduct=sv7-127", "CM")</f>
        <v>CM</v>
      </c>
      <c r="G105" s="23" t="b">
        <v>0</v>
      </c>
      <c r="H105" s="24" t="b">
        <v>0</v>
      </c>
      <c r="I105" s="25" t="str">
        <f>HYPERLINK("https://www.cardmarket.com/en/Pokemon/Products/Singles?idCategory=1&amp;idProduct=sv7-128", "CM")</f>
        <v>CM</v>
      </c>
      <c r="J105" s="23" t="b">
        <v>0</v>
      </c>
      <c r="K105" s="24" t="b">
        <v>0</v>
      </c>
      <c r="L105" s="25" t="str">
        <f>HYPERLINK("https://www.cardmarket.com/en/Pokemon/Products/Singles?idCategory=1&amp;idProduct=sv7-129", "CM")</f>
        <v>CM</v>
      </c>
      <c r="M105" s="23" t="b">
        <v>0</v>
      </c>
      <c r="N105" s="24" t="b">
        <v>0</v>
      </c>
      <c r="O105" s="25" t="str">
        <f>HYPERLINK("https://www.cardmarket.com/en/Pokemon/Products/Singles?idCategory=1&amp;idProduct=sv7-130", "CM")</f>
        <v>CM</v>
      </c>
    </row>
    <row r="106" ht="7.5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</row>
    <row r="107" ht="18.75" customHeight="1">
      <c r="A107" s="18" t="s">
        <v>842</v>
      </c>
      <c r="B107" s="19" t="s">
        <v>2041</v>
      </c>
      <c r="C107" s="20"/>
      <c r="D107" s="18" t="s">
        <v>844</v>
      </c>
      <c r="E107" s="19" t="s">
        <v>2042</v>
      </c>
      <c r="F107" s="20"/>
      <c r="G107" s="18" t="s">
        <v>664</v>
      </c>
      <c r="H107" s="19" t="s">
        <v>2043</v>
      </c>
      <c r="I107" s="20"/>
      <c r="J107" s="18" t="s">
        <v>666</v>
      </c>
      <c r="K107" s="19" t="s">
        <v>2044</v>
      </c>
      <c r="L107" s="20"/>
      <c r="M107" s="18" t="s">
        <v>845</v>
      </c>
      <c r="N107" s="19" t="s">
        <v>2045</v>
      </c>
      <c r="O107" s="20"/>
    </row>
    <row r="108" ht="180.0" customHeight="1">
      <c r="A108" s="21" t="str">
        <f>IMAGE("https://assets.tcgdex.net/de/sv/sv07/131/low.jpg", 1)</f>
        <v/>
      </c>
      <c r="B108" s="22"/>
      <c r="C108" s="20"/>
      <c r="D108" s="21" t="str">
        <f>IMAGE("https://assets.tcgdex.net/de/sv/sv07/132/low.jpg", 1)</f>
        <v/>
      </c>
      <c r="E108" s="22"/>
      <c r="F108" s="20"/>
      <c r="G108" s="21" t="str">
        <f>IMAGE("https://assets.tcgdex.net/de/sv/sv07/133/low.jpg", 1)</f>
        <v/>
      </c>
      <c r="H108" s="22"/>
      <c r="I108" s="20"/>
      <c r="J108" s="21" t="str">
        <f>IMAGE("https://assets.tcgdex.net/de/sv/sv07/134/low.jpg", 1)</f>
        <v/>
      </c>
      <c r="K108" s="22"/>
      <c r="L108" s="20"/>
      <c r="M108" s="21" t="str">
        <f>IMAGE("https://assets.tcgdex.net/de/sv/sv07/135/low.jpg", 1)</f>
        <v/>
      </c>
      <c r="N108" s="22"/>
      <c r="O108" s="20"/>
    </row>
    <row r="109" ht="22.5" customHeight="1">
      <c r="A109" s="23" t="b">
        <v>0</v>
      </c>
      <c r="B109" s="24" t="b">
        <v>0</v>
      </c>
      <c r="C109" s="25" t="str">
        <f>HYPERLINK("https://www.cardmarket.com/en/Pokemon/Products/Singles?idCategory=1&amp;idProduct=sv7-131", "CM")</f>
        <v>CM</v>
      </c>
      <c r="D109" s="23" t="b">
        <v>0</v>
      </c>
      <c r="E109" s="24" t="b">
        <v>0</v>
      </c>
      <c r="F109" s="25" t="str">
        <f>HYPERLINK("https://www.cardmarket.com/en/Pokemon/Products/Singles?idCategory=1&amp;idProduct=sv7-132", "CM")</f>
        <v>CM</v>
      </c>
      <c r="G109" s="23" t="b">
        <v>0</v>
      </c>
      <c r="H109" s="24" t="b">
        <v>0</v>
      </c>
      <c r="I109" s="25" t="str">
        <f>HYPERLINK("https://www.cardmarket.com/en/Pokemon/Products/Singles?idCategory=1&amp;idProduct=sv7-133", "CM")</f>
        <v>CM</v>
      </c>
      <c r="J109" s="23" t="b">
        <v>0</v>
      </c>
      <c r="K109" s="24" t="b">
        <v>0</v>
      </c>
      <c r="L109" s="25" t="str">
        <f>HYPERLINK("https://www.cardmarket.com/en/Pokemon/Products/Singles?idCategory=1&amp;idProduct=sv7-134", "CM")</f>
        <v>CM</v>
      </c>
      <c r="M109" s="23" t="b">
        <v>0</v>
      </c>
      <c r="N109" s="24" t="b">
        <v>0</v>
      </c>
      <c r="O109" s="25" t="str">
        <f>HYPERLINK("https://www.cardmarket.com/en/Pokemon/Products/Singles?idCategory=1&amp;idProduct=sv7-135", "CM")</f>
        <v>CM</v>
      </c>
    </row>
    <row r="110" ht="7.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</row>
    <row r="111" ht="18.75" customHeight="1">
      <c r="A111" s="18" t="s">
        <v>668</v>
      </c>
      <c r="B111" s="19" t="s">
        <v>2046</v>
      </c>
      <c r="C111" s="20"/>
      <c r="D111" s="18" t="s">
        <v>670</v>
      </c>
      <c r="E111" s="19" t="s">
        <v>2047</v>
      </c>
      <c r="F111" s="20"/>
      <c r="G111" s="18" t="s">
        <v>672</v>
      </c>
      <c r="H111" s="19" t="s">
        <v>2048</v>
      </c>
      <c r="I111" s="20"/>
      <c r="J111" s="18" t="s">
        <v>674</v>
      </c>
      <c r="K111" s="19" t="s">
        <v>2049</v>
      </c>
      <c r="L111" s="20"/>
      <c r="M111" s="18" t="s">
        <v>847</v>
      </c>
      <c r="N111" s="19" t="s">
        <v>2050</v>
      </c>
      <c r="O111" s="20"/>
    </row>
    <row r="112" ht="180.0" customHeight="1">
      <c r="A112" s="21" t="str">
        <f>IMAGE("https://assets.tcgdex.net/de/sv/sv07/136/low.jpg", 1)</f>
        <v/>
      </c>
      <c r="B112" s="22"/>
      <c r="C112" s="20"/>
      <c r="D112" s="21" t="str">
        <f>IMAGE("https://assets.tcgdex.net/de/sv/sv07/137/low.jpg", 1)</f>
        <v/>
      </c>
      <c r="E112" s="22"/>
      <c r="F112" s="20"/>
      <c r="G112" s="21" t="str">
        <f>IMAGE("https://assets.tcgdex.net/de/sv/sv07/138/low.jpg", 1)</f>
        <v/>
      </c>
      <c r="H112" s="22"/>
      <c r="I112" s="20"/>
      <c r="J112" s="21" t="str">
        <f>IMAGE("https://assets.tcgdex.net/de/sv/sv07/139/low.jpg", 1)</f>
        <v/>
      </c>
      <c r="K112" s="22"/>
      <c r="L112" s="20"/>
      <c r="M112" s="21" t="str">
        <f>IMAGE("https://assets.tcgdex.net/de/sv/sv07/140/low.jpg", 1)</f>
        <v/>
      </c>
      <c r="N112" s="22"/>
      <c r="O112" s="20"/>
    </row>
    <row r="113" ht="22.5" customHeight="1">
      <c r="A113" s="23" t="b">
        <v>0</v>
      </c>
      <c r="B113" s="24" t="b">
        <v>0</v>
      </c>
      <c r="C113" s="25" t="str">
        <f>HYPERLINK("https://www.cardmarket.com/en/Pokemon/Products/Singles?idCategory=1&amp;idProduct=sv7-136", "CM")</f>
        <v>CM</v>
      </c>
      <c r="D113" s="23" t="b">
        <v>0</v>
      </c>
      <c r="E113" s="24" t="b">
        <v>0</v>
      </c>
      <c r="F113" s="25" t="str">
        <f>HYPERLINK("https://www.cardmarket.com/en/Pokemon/Products/Singles?idCategory=1&amp;idProduct=sv7-137", "CM")</f>
        <v>CM</v>
      </c>
      <c r="G113" s="23" t="b">
        <v>0</v>
      </c>
      <c r="H113" s="24" t="b">
        <v>0</v>
      </c>
      <c r="I113" s="25" t="str">
        <f>HYPERLINK("https://www.cardmarket.com/en/Pokemon/Products/Singles?idCategory=1&amp;idProduct=sv7-138", "CM")</f>
        <v>CM</v>
      </c>
      <c r="J113" s="23" t="b">
        <v>0</v>
      </c>
      <c r="K113" s="24" t="b">
        <v>0</v>
      </c>
      <c r="L113" s="25" t="str">
        <f>HYPERLINK("https://www.cardmarket.com/en/Pokemon/Products/Singles?idCategory=1&amp;idProduct=sv7-139", "CM")</f>
        <v>CM</v>
      </c>
      <c r="M113" s="23" t="b">
        <v>0</v>
      </c>
      <c r="N113" s="24" t="b">
        <v>0</v>
      </c>
      <c r="O113" s="25" t="str">
        <f>HYPERLINK("https://www.cardmarket.com/en/Pokemon/Products/Singles?idCategory=1&amp;idProduct=sv7-140", "CM")</f>
        <v>CM</v>
      </c>
    </row>
    <row r="114" ht="7.5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</row>
    <row r="115" ht="18.75" customHeight="1">
      <c r="A115" s="18" t="s">
        <v>848</v>
      </c>
      <c r="B115" s="19" t="s">
        <v>2051</v>
      </c>
      <c r="C115" s="20"/>
      <c r="D115" s="18" t="s">
        <v>676</v>
      </c>
      <c r="E115" s="19" t="s">
        <v>2052</v>
      </c>
      <c r="F115" s="20"/>
      <c r="G115" s="18" t="s">
        <v>678</v>
      </c>
      <c r="H115" s="19" t="s">
        <v>768</v>
      </c>
      <c r="I115" s="20"/>
      <c r="J115" s="18" t="s">
        <v>679</v>
      </c>
      <c r="K115" s="19" t="s">
        <v>665</v>
      </c>
      <c r="L115" s="20"/>
      <c r="M115" s="18" t="s">
        <v>850</v>
      </c>
      <c r="N115" s="19" t="s">
        <v>1994</v>
      </c>
      <c r="O115" s="20"/>
    </row>
    <row r="116" ht="180.0" customHeight="1">
      <c r="A116" s="21" t="str">
        <f>IMAGE("https://assets.tcgdex.net/de/sv/sv07/141/low.jpg", 1)</f>
        <v/>
      </c>
      <c r="B116" s="22"/>
      <c r="C116" s="20"/>
      <c r="D116" s="21" t="str">
        <f>IMAGE("https://assets.tcgdex.net/de/sv/sv07/142/low.jpg", 1)</f>
        <v/>
      </c>
      <c r="E116" s="22"/>
      <c r="F116" s="20"/>
      <c r="G116" s="21" t="str">
        <f>IMAGE("https://assets.tcgdex.net/de/sv/sv07/143/low.jpg", 1)</f>
        <v/>
      </c>
      <c r="H116" s="22"/>
      <c r="I116" s="20"/>
      <c r="J116" s="21" t="str">
        <f>IMAGE("https://assets.tcgdex.net/de/sv/sv07/144/low.jpg", 1)</f>
        <v/>
      </c>
      <c r="K116" s="22"/>
      <c r="L116" s="20"/>
      <c r="M116" s="21" t="str">
        <f>IMAGE("https://assets.tcgdex.net/de/sv/sv07/145/low.jpg", 1)</f>
        <v/>
      </c>
      <c r="N116" s="22"/>
      <c r="O116" s="20"/>
    </row>
    <row r="117" ht="22.5" customHeight="1">
      <c r="A117" s="23" t="b">
        <v>0</v>
      </c>
      <c r="B117" s="24" t="b">
        <v>0</v>
      </c>
      <c r="C117" s="25" t="str">
        <f>HYPERLINK("https://www.cardmarket.com/en/Pokemon/Products/Singles?idCategory=1&amp;idProduct=sv7-141", "CM")</f>
        <v>CM</v>
      </c>
      <c r="D117" s="23" t="b">
        <v>0</v>
      </c>
      <c r="E117" s="24" t="b">
        <v>0</v>
      </c>
      <c r="F117" s="25" t="str">
        <f>HYPERLINK("https://www.cardmarket.com/en/Pokemon/Products/Singles?idCategory=1&amp;idProduct=sv7-142", "CM")</f>
        <v>CM</v>
      </c>
      <c r="G117" s="23" t="b">
        <v>0</v>
      </c>
      <c r="H117" s="24" t="b">
        <v>0</v>
      </c>
      <c r="I117" s="25" t="str">
        <f>HYPERLINK("https://www.cardmarket.com/en/Pokemon/Products/Singles?idCategory=1&amp;idProduct=sv7-143", "CM")</f>
        <v>CM</v>
      </c>
      <c r="J117" s="23" t="b">
        <v>0</v>
      </c>
      <c r="K117" s="24" t="b">
        <v>0</v>
      </c>
      <c r="L117" s="25" t="str">
        <f>HYPERLINK("https://www.cardmarket.com/en/Pokemon/Products/Singles?idCategory=1&amp;idProduct=sv7-144", "CM")</f>
        <v>CM</v>
      </c>
      <c r="M117" s="23" t="b">
        <v>0</v>
      </c>
      <c r="N117" s="24" t="b">
        <v>0</v>
      </c>
      <c r="O117" s="25" t="str">
        <f>HYPERLINK("https://www.cardmarket.com/en/Pokemon/Products/Singles?idCategory=1&amp;idProduct=sv7-145", "CM")</f>
        <v>CM</v>
      </c>
    </row>
    <row r="118" ht="7.5" customHeigh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</row>
    <row r="119" ht="18.75" customHeight="1">
      <c r="A119" s="18" t="s">
        <v>681</v>
      </c>
      <c r="B119" s="19" t="s">
        <v>1793</v>
      </c>
      <c r="C119" s="20"/>
      <c r="D119" s="18" t="s">
        <v>683</v>
      </c>
      <c r="E119" s="19" t="s">
        <v>2002</v>
      </c>
      <c r="F119" s="20"/>
      <c r="G119" s="18" t="s">
        <v>685</v>
      </c>
      <c r="H119" s="19" t="s">
        <v>771</v>
      </c>
      <c r="I119" s="20"/>
      <c r="J119" s="18" t="s">
        <v>852</v>
      </c>
      <c r="K119" s="19" t="s">
        <v>667</v>
      </c>
      <c r="L119" s="20"/>
      <c r="M119" s="18" t="s">
        <v>686</v>
      </c>
      <c r="N119" s="19" t="s">
        <v>1630</v>
      </c>
      <c r="O119" s="20"/>
    </row>
    <row r="120" ht="180.0" customHeight="1">
      <c r="A120" s="21" t="str">
        <f>IMAGE("https://assets.tcgdex.net/de/sv/sv07/146/low.jpg", 1)</f>
        <v/>
      </c>
      <c r="B120" s="22"/>
      <c r="C120" s="20"/>
      <c r="D120" s="21" t="str">
        <f>IMAGE("https://assets.tcgdex.net/de/sv/sv07/147/low.jpg", 1)</f>
        <v/>
      </c>
      <c r="E120" s="22"/>
      <c r="F120" s="20"/>
      <c r="G120" s="21" t="str">
        <f>IMAGE("https://assets.tcgdex.net/de/sv/sv07/148/low.jpg", 1)</f>
        <v/>
      </c>
      <c r="H120" s="22"/>
      <c r="I120" s="20"/>
      <c r="J120" s="21" t="str">
        <f>IMAGE("https://assets.tcgdex.net/de/sv/sv07/149/low.jpg", 1)</f>
        <v/>
      </c>
      <c r="K120" s="22"/>
      <c r="L120" s="20"/>
      <c r="M120" s="21" t="str">
        <f>IMAGE("https://assets.tcgdex.net/de/sv/sv07/150/low.jpg", 1)</f>
        <v/>
      </c>
      <c r="N120" s="22"/>
      <c r="O120" s="20"/>
    </row>
    <row r="121" ht="22.5" customHeight="1">
      <c r="A121" s="23" t="b">
        <v>0</v>
      </c>
      <c r="B121" s="24" t="b">
        <v>0</v>
      </c>
      <c r="C121" s="25" t="str">
        <f>HYPERLINK("https://www.cardmarket.com/en/Pokemon/Products/Singles?idCategory=1&amp;idProduct=sv7-146", "CM")</f>
        <v>CM</v>
      </c>
      <c r="D121" s="23" t="b">
        <v>0</v>
      </c>
      <c r="E121" s="24" t="b">
        <v>0</v>
      </c>
      <c r="F121" s="25" t="str">
        <f>HYPERLINK("https://www.cardmarket.com/en/Pokemon/Products/Singles?idCategory=1&amp;idProduct=sv7-147", "CM")</f>
        <v>CM</v>
      </c>
      <c r="G121" s="23" t="b">
        <v>0</v>
      </c>
      <c r="H121" s="24" t="b">
        <v>0</v>
      </c>
      <c r="I121" s="25" t="str">
        <f>HYPERLINK("https://www.cardmarket.com/en/Pokemon/Products/Singles?idCategory=1&amp;idProduct=sv7-148", "CM")</f>
        <v>CM</v>
      </c>
      <c r="J121" s="23" t="b">
        <v>0</v>
      </c>
      <c r="K121" s="24" t="b">
        <v>0</v>
      </c>
      <c r="L121" s="25" t="str">
        <f>HYPERLINK("https://www.cardmarket.com/en/Pokemon/Products/Singles?idCategory=1&amp;idProduct=sv7-149", "CM")</f>
        <v>CM</v>
      </c>
      <c r="M121" s="23" t="b">
        <v>0</v>
      </c>
      <c r="N121" s="24" t="b">
        <v>0</v>
      </c>
      <c r="O121" s="25" t="str">
        <f>HYPERLINK("https://www.cardmarket.com/en/Pokemon/Products/Singles?idCategory=1&amp;idProduct=sv7-150", "CM")</f>
        <v>CM</v>
      </c>
    </row>
    <row r="122" ht="7.5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</row>
    <row r="123" ht="18.75" customHeight="1">
      <c r="A123" s="18" t="s">
        <v>853</v>
      </c>
      <c r="B123" s="19" t="s">
        <v>925</v>
      </c>
      <c r="C123" s="20"/>
      <c r="D123" s="18" t="s">
        <v>855</v>
      </c>
      <c r="E123" s="19" t="s">
        <v>2012</v>
      </c>
      <c r="F123" s="20"/>
      <c r="G123" s="18" t="s">
        <v>687</v>
      </c>
      <c r="H123" s="19" t="s">
        <v>1284</v>
      </c>
      <c r="I123" s="20"/>
      <c r="J123" s="18" t="s">
        <v>689</v>
      </c>
      <c r="K123" s="19" t="s">
        <v>2020</v>
      </c>
      <c r="L123" s="20"/>
      <c r="M123" s="18" t="s">
        <v>691</v>
      </c>
      <c r="N123" s="19" t="s">
        <v>2029</v>
      </c>
      <c r="O123" s="20"/>
    </row>
    <row r="124" ht="180.0" customHeight="1">
      <c r="A124" s="21" t="str">
        <f>IMAGE("https://assets.tcgdex.net/de/sv/sv07/151/low.jpg", 1)</f>
        <v/>
      </c>
      <c r="B124" s="22"/>
      <c r="C124" s="20"/>
      <c r="D124" s="21" t="str">
        <f>IMAGE("https://assets.tcgdex.net/de/sv/sv07/152/low.jpg", 1)</f>
        <v/>
      </c>
      <c r="E124" s="22"/>
      <c r="F124" s="20"/>
      <c r="G124" s="21" t="str">
        <f>IMAGE("https://assets.tcgdex.net/de/sv/sv07/153/low.jpg", 1)</f>
        <v/>
      </c>
      <c r="H124" s="22"/>
      <c r="I124" s="20"/>
      <c r="J124" s="21" t="str">
        <f>IMAGE("https://assets.tcgdex.net/de/sv/sv07/154/low.jpg", 1)</f>
        <v/>
      </c>
      <c r="K124" s="22"/>
      <c r="L124" s="20"/>
      <c r="M124" s="21" t="str">
        <f>IMAGE("https://assets.tcgdex.net/de/sv/sv07/155/low.jpg", 1)</f>
        <v/>
      </c>
      <c r="N124" s="22"/>
      <c r="O124" s="20"/>
    </row>
    <row r="125" ht="22.5" customHeight="1">
      <c r="A125" s="23" t="b">
        <v>0</v>
      </c>
      <c r="B125" s="24" t="b">
        <v>0</v>
      </c>
      <c r="C125" s="25" t="str">
        <f>HYPERLINK("https://www.cardmarket.com/en/Pokemon/Products/Singles?idCategory=1&amp;idProduct=sv7-151", "CM")</f>
        <v>CM</v>
      </c>
      <c r="D125" s="23" t="b">
        <v>0</v>
      </c>
      <c r="E125" s="24" t="b">
        <v>0</v>
      </c>
      <c r="F125" s="25" t="str">
        <f>HYPERLINK("https://www.cardmarket.com/en/Pokemon/Products/Singles?idCategory=1&amp;idProduct=sv7-152", "CM")</f>
        <v>CM</v>
      </c>
      <c r="G125" s="23" t="b">
        <v>0</v>
      </c>
      <c r="H125" s="24" t="b">
        <v>0</v>
      </c>
      <c r="I125" s="25" t="str">
        <f>HYPERLINK("https://www.cardmarket.com/en/Pokemon/Products/Singles?idCategory=1&amp;idProduct=sv7-153", "CM")</f>
        <v>CM</v>
      </c>
      <c r="J125" s="23" t="b">
        <v>0</v>
      </c>
      <c r="K125" s="24" t="b">
        <v>0</v>
      </c>
      <c r="L125" s="25" t="str">
        <f>HYPERLINK("https://www.cardmarket.com/en/Pokemon/Products/Singles?idCategory=1&amp;idProduct=sv7-154", "CM")</f>
        <v>CM</v>
      </c>
      <c r="M125" s="23" t="b">
        <v>0</v>
      </c>
      <c r="N125" s="24" t="b">
        <v>0</v>
      </c>
      <c r="O125" s="25" t="str">
        <f>HYPERLINK("https://www.cardmarket.com/en/Pokemon/Products/Singles?idCategory=1&amp;idProduct=sv7-155", "CM")</f>
        <v>CM</v>
      </c>
    </row>
    <row r="126" ht="7.5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</row>
    <row r="127" ht="18.75" customHeight="1">
      <c r="A127" s="18" t="s">
        <v>857</v>
      </c>
      <c r="B127" s="19" t="s">
        <v>1999</v>
      </c>
      <c r="C127" s="20"/>
      <c r="D127" s="18" t="s">
        <v>859</v>
      </c>
      <c r="E127" s="19" t="s">
        <v>864</v>
      </c>
      <c r="F127" s="20"/>
      <c r="G127" s="18" t="s">
        <v>693</v>
      </c>
      <c r="H127" s="19" t="s">
        <v>866</v>
      </c>
      <c r="I127" s="20"/>
      <c r="J127" s="18" t="s">
        <v>861</v>
      </c>
      <c r="K127" s="19" t="s">
        <v>2009</v>
      </c>
      <c r="L127" s="20"/>
      <c r="M127" s="18" t="s">
        <v>695</v>
      </c>
      <c r="N127" s="19" t="s">
        <v>2014</v>
      </c>
      <c r="O127" s="20"/>
    </row>
    <row r="128" ht="180.0" customHeight="1">
      <c r="A128" s="21" t="str">
        <f>IMAGE("https://assets.tcgdex.net/de/sv/sv07/156/low.jpg", 1)</f>
        <v/>
      </c>
      <c r="B128" s="22"/>
      <c r="C128" s="20"/>
      <c r="D128" s="21" t="str">
        <f>IMAGE("https://assets.tcgdex.net/de/sv/sv07/157/low.jpg", 1)</f>
        <v/>
      </c>
      <c r="E128" s="22"/>
      <c r="F128" s="20"/>
      <c r="G128" s="21" t="str">
        <f>IMAGE("https://assets.tcgdex.net/de/sv/sv07/158/low.jpg", 1)</f>
        <v/>
      </c>
      <c r="H128" s="22"/>
      <c r="I128" s="20"/>
      <c r="J128" s="21" t="str">
        <f>IMAGE("https://assets.tcgdex.net/de/sv/sv07/159/low.jpg", 1)</f>
        <v/>
      </c>
      <c r="K128" s="22"/>
      <c r="L128" s="20"/>
      <c r="M128" s="21" t="str">
        <f>IMAGE("https://assets.tcgdex.net/de/sv/sv07/160/low.jpg", 1)</f>
        <v/>
      </c>
      <c r="N128" s="22"/>
      <c r="O128" s="20"/>
    </row>
    <row r="129" ht="22.5" customHeight="1">
      <c r="A129" s="23" t="b">
        <v>0</v>
      </c>
      <c r="B129" s="24" t="b">
        <v>0</v>
      </c>
      <c r="C129" s="25" t="str">
        <f>HYPERLINK("https://www.cardmarket.com/en/Pokemon/Products/Singles?idCategory=1&amp;idProduct=sv7-156", "CM")</f>
        <v>CM</v>
      </c>
      <c r="D129" s="23" t="b">
        <v>0</v>
      </c>
      <c r="E129" s="24" t="b">
        <v>0</v>
      </c>
      <c r="F129" s="25" t="str">
        <f>HYPERLINK("https://www.cardmarket.com/en/Pokemon/Products/Singles?idCategory=1&amp;idProduct=sv7-157", "CM")</f>
        <v>CM</v>
      </c>
      <c r="G129" s="23" t="b">
        <v>0</v>
      </c>
      <c r="H129" s="24" t="b">
        <v>0</v>
      </c>
      <c r="I129" s="25" t="str">
        <f>HYPERLINK("https://www.cardmarket.com/en/Pokemon/Products/Singles?idCategory=1&amp;idProduct=sv7-158", "CM")</f>
        <v>CM</v>
      </c>
      <c r="J129" s="23" t="b">
        <v>0</v>
      </c>
      <c r="K129" s="24" t="b">
        <v>0</v>
      </c>
      <c r="L129" s="25" t="str">
        <f>HYPERLINK("https://www.cardmarket.com/en/Pokemon/Products/Singles?idCategory=1&amp;idProduct=sv7-159", "CM")</f>
        <v>CM</v>
      </c>
      <c r="M129" s="23" t="b">
        <v>0</v>
      </c>
      <c r="N129" s="24" t="b">
        <v>0</v>
      </c>
      <c r="O129" s="25" t="str">
        <f>HYPERLINK("https://www.cardmarket.com/en/Pokemon/Products/Singles?idCategory=1&amp;idProduct=sv7-160", "CM")</f>
        <v>CM</v>
      </c>
    </row>
    <row r="130" ht="7.5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</row>
    <row r="131" ht="18.75" customHeight="1">
      <c r="A131" s="18" t="s">
        <v>862</v>
      </c>
      <c r="B131" s="19" t="s">
        <v>2017</v>
      </c>
      <c r="C131" s="20"/>
      <c r="D131" s="18" t="s">
        <v>697</v>
      </c>
      <c r="E131" s="19" t="s">
        <v>2030</v>
      </c>
      <c r="F131" s="20"/>
      <c r="G131" s="18" t="s">
        <v>863</v>
      </c>
      <c r="H131" s="19" t="s">
        <v>2042</v>
      </c>
      <c r="I131" s="20"/>
      <c r="J131" s="18" t="s">
        <v>865</v>
      </c>
      <c r="K131" s="19" t="s">
        <v>2043</v>
      </c>
      <c r="L131" s="20"/>
      <c r="M131" s="18" t="s">
        <v>867</v>
      </c>
      <c r="N131" s="19" t="s">
        <v>2048</v>
      </c>
      <c r="O131" s="20"/>
    </row>
    <row r="132" ht="180.0" customHeight="1">
      <c r="A132" s="21" t="str">
        <f>IMAGE("https://assets.tcgdex.net/de/sv/sv07/161/low.jpg", 1)</f>
        <v/>
      </c>
      <c r="B132" s="22"/>
      <c r="C132" s="20"/>
      <c r="D132" s="21" t="str">
        <f>IMAGE("https://assets.tcgdex.net/de/sv/sv07/162/low.jpg", 1)</f>
        <v/>
      </c>
      <c r="E132" s="22"/>
      <c r="F132" s="20"/>
      <c r="G132" s="21" t="str">
        <f>IMAGE("https://assets.tcgdex.net/de/sv/sv07/163/low.jpg", 1)</f>
        <v/>
      </c>
      <c r="H132" s="22"/>
      <c r="I132" s="20"/>
      <c r="J132" s="21" t="str">
        <f>IMAGE("https://assets.tcgdex.net/de/sv/sv07/164/low.jpg", 1)</f>
        <v/>
      </c>
      <c r="K132" s="22"/>
      <c r="L132" s="20"/>
      <c r="M132" s="21" t="str">
        <f>IMAGE("https://assets.tcgdex.net/de/sv/sv07/165/low.jpg", 1)</f>
        <v/>
      </c>
      <c r="N132" s="22"/>
      <c r="O132" s="20"/>
    </row>
    <row r="133" ht="22.5" customHeight="1">
      <c r="A133" s="23" t="b">
        <v>0</v>
      </c>
      <c r="B133" s="24" t="b">
        <v>0</v>
      </c>
      <c r="C133" s="25" t="str">
        <f>HYPERLINK("https://www.cardmarket.com/en/Pokemon/Products/Singles?idCategory=1&amp;idProduct=sv7-161", "CM")</f>
        <v>CM</v>
      </c>
      <c r="D133" s="23" t="b">
        <v>0</v>
      </c>
      <c r="E133" s="24" t="b">
        <v>0</v>
      </c>
      <c r="F133" s="25" t="str">
        <f>HYPERLINK("https://www.cardmarket.com/en/Pokemon/Products/Singles?idCategory=1&amp;idProduct=sv7-162", "CM")</f>
        <v>CM</v>
      </c>
      <c r="G133" s="23" t="b">
        <v>0</v>
      </c>
      <c r="H133" s="24" t="b">
        <v>0</v>
      </c>
      <c r="I133" s="25" t="str">
        <f>HYPERLINK("https://www.cardmarket.com/en/Pokemon/Products/Singles?idCategory=1&amp;idProduct=sv7-163", "CM")</f>
        <v>CM</v>
      </c>
      <c r="J133" s="23" t="b">
        <v>0</v>
      </c>
      <c r="K133" s="24" t="b">
        <v>0</v>
      </c>
      <c r="L133" s="25" t="str">
        <f>HYPERLINK("https://www.cardmarket.com/en/Pokemon/Products/Singles?idCategory=1&amp;idProduct=sv7-164", "CM")</f>
        <v>CM</v>
      </c>
      <c r="M133" s="23" t="b">
        <v>0</v>
      </c>
      <c r="N133" s="24" t="b">
        <v>0</v>
      </c>
      <c r="O133" s="25" t="str">
        <f>HYPERLINK("https://www.cardmarket.com/en/Pokemon/Products/Singles?idCategory=1&amp;idProduct=sv7-165", "CM")</f>
        <v>CM</v>
      </c>
    </row>
    <row r="134" ht="7.5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</row>
    <row r="135" ht="18.75" customHeight="1">
      <c r="A135" s="18" t="s">
        <v>869</v>
      </c>
      <c r="B135" s="19" t="s">
        <v>2049</v>
      </c>
      <c r="C135" s="20"/>
      <c r="D135" s="18" t="s">
        <v>871</v>
      </c>
      <c r="E135" s="19" t="s">
        <v>1999</v>
      </c>
      <c r="F135" s="20"/>
      <c r="G135" s="18" t="s">
        <v>873</v>
      </c>
      <c r="H135" s="19" t="s">
        <v>2009</v>
      </c>
      <c r="I135" s="20"/>
      <c r="J135" s="18" t="s">
        <v>875</v>
      </c>
      <c r="K135" s="19" t="s">
        <v>2014</v>
      </c>
      <c r="L135" s="20"/>
      <c r="M135" s="18" t="s">
        <v>877</v>
      </c>
      <c r="N135" s="19" t="s">
        <v>868</v>
      </c>
      <c r="O135" s="20"/>
    </row>
    <row r="136" ht="180.0" customHeight="1">
      <c r="A136" s="21" t="str">
        <f>IMAGE("https://assets.tcgdex.net/de/sv/sv07/166/low.jpg", 1)</f>
        <v/>
      </c>
      <c r="B136" s="22"/>
      <c r="C136" s="20"/>
      <c r="D136" s="21" t="str">
        <f>IMAGE("https://assets.tcgdex.net/de/sv/sv07/167/low.jpg", 1)</f>
        <v/>
      </c>
      <c r="E136" s="22"/>
      <c r="F136" s="20"/>
      <c r="G136" s="21" t="str">
        <f>IMAGE("https://assets.tcgdex.net/de/sv/sv07/168/low.jpg", 1)</f>
        <v/>
      </c>
      <c r="H136" s="22"/>
      <c r="I136" s="20"/>
      <c r="J136" s="21" t="str">
        <f>IMAGE("https://assets.tcgdex.net/de/sv/sv07/169/low.jpg", 1)</f>
        <v/>
      </c>
      <c r="K136" s="22"/>
      <c r="L136" s="20"/>
      <c r="M136" s="21" t="str">
        <f>IMAGE("https://assets.tcgdex.net/de/sv/sv07/170/low.jpg", 1)</f>
        <v/>
      </c>
      <c r="N136" s="22"/>
      <c r="O136" s="20"/>
    </row>
    <row r="137" ht="22.5" customHeight="1">
      <c r="A137" s="23" t="b">
        <v>0</v>
      </c>
      <c r="B137" s="24" t="b">
        <v>0</v>
      </c>
      <c r="C137" s="25" t="str">
        <f>HYPERLINK("https://www.cardmarket.com/en/Pokemon/Products/Singles?idCategory=1&amp;idProduct=sv7-166", "CM")</f>
        <v>CM</v>
      </c>
      <c r="D137" s="23" t="b">
        <v>0</v>
      </c>
      <c r="E137" s="24" t="b">
        <v>0</v>
      </c>
      <c r="F137" s="25" t="str">
        <f>HYPERLINK("https://www.cardmarket.com/en/Pokemon/Products/Singles?idCategory=1&amp;idProduct=sv7-167", "CM")</f>
        <v>CM</v>
      </c>
      <c r="G137" s="23" t="b">
        <v>0</v>
      </c>
      <c r="H137" s="24" t="b">
        <v>0</v>
      </c>
      <c r="I137" s="25" t="str">
        <f>HYPERLINK("https://www.cardmarket.com/en/Pokemon/Products/Singles?idCategory=1&amp;idProduct=sv7-168", "CM")</f>
        <v>CM</v>
      </c>
      <c r="J137" s="23" t="b">
        <v>0</v>
      </c>
      <c r="K137" s="24" t="b">
        <v>0</v>
      </c>
      <c r="L137" s="25" t="str">
        <f>HYPERLINK("https://www.cardmarket.com/en/Pokemon/Products/Singles?idCategory=1&amp;idProduct=sv7-169", "CM")</f>
        <v>CM</v>
      </c>
      <c r="M137" s="23" t="b">
        <v>0</v>
      </c>
      <c r="N137" s="24" t="b">
        <v>0</v>
      </c>
      <c r="O137" s="25" t="str">
        <f>HYPERLINK("https://www.cardmarket.com/en/Pokemon/Products/Singles?idCategory=1&amp;idProduct=sv7-170", "CM")</f>
        <v>CM</v>
      </c>
    </row>
    <row r="138" ht="7.5" customHeight="1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</row>
    <row r="139" ht="18.75" customHeight="1">
      <c r="A139" s="18" t="s">
        <v>879</v>
      </c>
      <c r="B139" s="19" t="s">
        <v>2042</v>
      </c>
      <c r="C139" s="20"/>
      <c r="D139" s="18" t="s">
        <v>881</v>
      </c>
      <c r="E139" s="19" t="s">
        <v>2049</v>
      </c>
      <c r="F139" s="20"/>
      <c r="G139" s="18" t="s">
        <v>883</v>
      </c>
      <c r="H139" s="19" t="s">
        <v>868</v>
      </c>
      <c r="I139" s="20"/>
      <c r="J139" s="18" t="s">
        <v>699</v>
      </c>
      <c r="K139" s="19" t="s">
        <v>2041</v>
      </c>
      <c r="L139" s="20"/>
      <c r="M139" s="18" t="s">
        <v>1304</v>
      </c>
      <c r="N139" s="19" t="s">
        <v>2053</v>
      </c>
      <c r="O139" s="20"/>
    </row>
    <row r="140" ht="180.0" customHeight="1">
      <c r="A140" s="21" t="str">
        <f>IMAGE("https://assets.tcgdex.net/de/sv/sv07/171/low.jpg", 1)</f>
        <v/>
      </c>
      <c r="B140" s="22"/>
      <c r="C140" s="20"/>
      <c r="D140" s="21" t="str">
        <f>IMAGE("https://assets.tcgdex.net/de/sv/sv07/172/low.jpg", 1)</f>
        <v/>
      </c>
      <c r="E140" s="22"/>
      <c r="F140" s="20"/>
      <c r="G140" s="21" t="str">
        <f>IMAGE("https://assets.tcgdex.net/de/sv/sv07/173/low.jpg", 1)</f>
        <v/>
      </c>
      <c r="H140" s="22"/>
      <c r="I140" s="20"/>
      <c r="J140" s="21" t="str">
        <f>IMAGE("https://assets.tcgdex.net/de/sv/sv07/174/low.jpg", 1)</f>
        <v/>
      </c>
      <c r="K140" s="22"/>
      <c r="L140" s="20"/>
      <c r="M140" s="21" t="str">
        <f>IMAGE("https://assets.tcgdex.net/de/sv/sv07/175/low.jpg", 1)</f>
        <v/>
      </c>
      <c r="N140" s="22"/>
      <c r="O140" s="20"/>
    </row>
    <row r="141" ht="22.5" customHeight="1">
      <c r="A141" s="23" t="b">
        <v>0</v>
      </c>
      <c r="B141" s="24" t="b">
        <v>0</v>
      </c>
      <c r="C141" s="25" t="str">
        <f>HYPERLINK("https://www.cardmarket.com/en/Pokemon/Products/Singles?idCategory=1&amp;idProduct=sv7-171", "CM")</f>
        <v>CM</v>
      </c>
      <c r="D141" s="23" t="b">
        <v>0</v>
      </c>
      <c r="E141" s="24" t="b">
        <v>0</v>
      </c>
      <c r="F141" s="25" t="str">
        <f>HYPERLINK("https://www.cardmarket.com/en/Pokemon/Products/Singles?idCategory=1&amp;idProduct=sv7-172", "CM")</f>
        <v>CM</v>
      </c>
      <c r="G141" s="23" t="b">
        <v>0</v>
      </c>
      <c r="H141" s="24" t="b">
        <v>0</v>
      </c>
      <c r="I141" s="25" t="str">
        <f>HYPERLINK("https://www.cardmarket.com/en/Pokemon/Products/Singles?idCategory=1&amp;idProduct=sv7-173", "CM")</f>
        <v>CM</v>
      </c>
      <c r="J141" s="23" t="b">
        <v>0</v>
      </c>
      <c r="K141" s="24" t="b">
        <v>0</v>
      </c>
      <c r="L141" s="25" t="str">
        <f>HYPERLINK("https://www.cardmarket.com/en/Pokemon/Products/Singles?idCategory=1&amp;idProduct=sv7-174", "CM")</f>
        <v>CM</v>
      </c>
      <c r="M141" s="23" t="b">
        <v>0</v>
      </c>
      <c r="N141" s="24" t="b">
        <v>0</v>
      </c>
      <c r="O141" s="25" t="str">
        <f>HYPERLINK("https://www.cardmarket.com/en/Pokemon/Products/Singles?idCategory=1&amp;idProduct=sv7-175", "CM")</f>
        <v>CM</v>
      </c>
    </row>
    <row r="142" ht="7.5" customHeight="1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</row>
  </sheetData>
  <mergeCells count="352">
    <mergeCell ref="H3:I3"/>
    <mergeCell ref="K3:L3"/>
    <mergeCell ref="J4:L4"/>
    <mergeCell ref="N3:O3"/>
    <mergeCell ref="M4:O4"/>
    <mergeCell ref="A1:N1"/>
    <mergeCell ref="A2:O2"/>
    <mergeCell ref="B3:C3"/>
    <mergeCell ref="A4:C4"/>
    <mergeCell ref="E3:F3"/>
    <mergeCell ref="D4:F4"/>
    <mergeCell ref="G4:I4"/>
    <mergeCell ref="K7:L7"/>
    <mergeCell ref="N7:O7"/>
    <mergeCell ref="M8:O8"/>
    <mergeCell ref="B7:C7"/>
    <mergeCell ref="A8:C8"/>
    <mergeCell ref="E7:F7"/>
    <mergeCell ref="D8:F8"/>
    <mergeCell ref="H7:I7"/>
    <mergeCell ref="G8:I8"/>
    <mergeCell ref="J8:L8"/>
    <mergeCell ref="K11:L11"/>
    <mergeCell ref="N11:O11"/>
    <mergeCell ref="M12:O12"/>
    <mergeCell ref="B11:C11"/>
    <mergeCell ref="A12:C12"/>
    <mergeCell ref="E11:F11"/>
    <mergeCell ref="D12:F12"/>
    <mergeCell ref="H11:I11"/>
    <mergeCell ref="G12:I12"/>
    <mergeCell ref="J12:L12"/>
    <mergeCell ref="K27:L27"/>
    <mergeCell ref="N27:O27"/>
    <mergeCell ref="M28:O28"/>
    <mergeCell ref="B27:C27"/>
    <mergeCell ref="A28:C28"/>
    <mergeCell ref="E27:F27"/>
    <mergeCell ref="D28:F28"/>
    <mergeCell ref="H27:I27"/>
    <mergeCell ref="G28:I28"/>
    <mergeCell ref="J28:L28"/>
    <mergeCell ref="K31:L31"/>
    <mergeCell ref="N31:O31"/>
    <mergeCell ref="M32:O32"/>
    <mergeCell ref="B31:C31"/>
    <mergeCell ref="A32:C32"/>
    <mergeCell ref="E31:F31"/>
    <mergeCell ref="D32:F32"/>
    <mergeCell ref="H31:I31"/>
    <mergeCell ref="G32:I32"/>
    <mergeCell ref="J32:L32"/>
    <mergeCell ref="K35:L35"/>
    <mergeCell ref="N35:O35"/>
    <mergeCell ref="M36:O36"/>
    <mergeCell ref="B35:C35"/>
    <mergeCell ref="A36:C36"/>
    <mergeCell ref="E35:F35"/>
    <mergeCell ref="D36:F36"/>
    <mergeCell ref="H35:I35"/>
    <mergeCell ref="G36:I36"/>
    <mergeCell ref="J36:L36"/>
    <mergeCell ref="K39:L39"/>
    <mergeCell ref="N39:O39"/>
    <mergeCell ref="M40:O40"/>
    <mergeCell ref="B39:C39"/>
    <mergeCell ref="A40:C40"/>
    <mergeCell ref="E39:F39"/>
    <mergeCell ref="D40:F40"/>
    <mergeCell ref="H39:I39"/>
    <mergeCell ref="G40:I40"/>
    <mergeCell ref="J40:L40"/>
    <mergeCell ref="K43:L43"/>
    <mergeCell ref="N43:O43"/>
    <mergeCell ref="M44:O44"/>
    <mergeCell ref="B43:C43"/>
    <mergeCell ref="A44:C44"/>
    <mergeCell ref="E43:F43"/>
    <mergeCell ref="D44:F44"/>
    <mergeCell ref="H43:I43"/>
    <mergeCell ref="G44:I44"/>
    <mergeCell ref="J44:L44"/>
    <mergeCell ref="K47:L47"/>
    <mergeCell ref="N47:O47"/>
    <mergeCell ref="M48:O48"/>
    <mergeCell ref="B47:C47"/>
    <mergeCell ref="A48:C48"/>
    <mergeCell ref="E47:F47"/>
    <mergeCell ref="D48:F48"/>
    <mergeCell ref="H47:I47"/>
    <mergeCell ref="G48:I48"/>
    <mergeCell ref="J48:L48"/>
    <mergeCell ref="K51:L51"/>
    <mergeCell ref="N51:O51"/>
    <mergeCell ref="M52:O52"/>
    <mergeCell ref="B51:C51"/>
    <mergeCell ref="A52:C52"/>
    <mergeCell ref="E51:F51"/>
    <mergeCell ref="D52:F52"/>
    <mergeCell ref="H51:I51"/>
    <mergeCell ref="G52:I52"/>
    <mergeCell ref="J52:L52"/>
    <mergeCell ref="K55:L55"/>
    <mergeCell ref="N55:O55"/>
    <mergeCell ref="M56:O56"/>
    <mergeCell ref="B55:C55"/>
    <mergeCell ref="A56:C56"/>
    <mergeCell ref="E55:F55"/>
    <mergeCell ref="D56:F56"/>
    <mergeCell ref="H55:I55"/>
    <mergeCell ref="G56:I56"/>
    <mergeCell ref="J56:L56"/>
    <mergeCell ref="K59:L59"/>
    <mergeCell ref="N59:O59"/>
    <mergeCell ref="M60:O60"/>
    <mergeCell ref="B59:C59"/>
    <mergeCell ref="A60:C60"/>
    <mergeCell ref="E59:F59"/>
    <mergeCell ref="D60:F60"/>
    <mergeCell ref="H59:I59"/>
    <mergeCell ref="G60:I60"/>
    <mergeCell ref="J60:L60"/>
    <mergeCell ref="K63:L63"/>
    <mergeCell ref="N63:O63"/>
    <mergeCell ref="M64:O64"/>
    <mergeCell ref="B63:C63"/>
    <mergeCell ref="A64:C64"/>
    <mergeCell ref="E63:F63"/>
    <mergeCell ref="D64:F64"/>
    <mergeCell ref="H63:I63"/>
    <mergeCell ref="G64:I64"/>
    <mergeCell ref="J64:L64"/>
    <mergeCell ref="K67:L67"/>
    <mergeCell ref="N67:O67"/>
    <mergeCell ref="M68:O68"/>
    <mergeCell ref="B67:C67"/>
    <mergeCell ref="A68:C68"/>
    <mergeCell ref="E67:F67"/>
    <mergeCell ref="D68:F68"/>
    <mergeCell ref="H67:I67"/>
    <mergeCell ref="G68:I68"/>
    <mergeCell ref="J68:L68"/>
    <mergeCell ref="K71:L71"/>
    <mergeCell ref="N71:O71"/>
    <mergeCell ref="M72:O72"/>
    <mergeCell ref="B71:C71"/>
    <mergeCell ref="A72:C72"/>
    <mergeCell ref="E71:F71"/>
    <mergeCell ref="D72:F72"/>
    <mergeCell ref="H71:I71"/>
    <mergeCell ref="G72:I72"/>
    <mergeCell ref="J72:L72"/>
    <mergeCell ref="K75:L75"/>
    <mergeCell ref="N75:O75"/>
    <mergeCell ref="M76:O76"/>
    <mergeCell ref="B75:C75"/>
    <mergeCell ref="A76:C76"/>
    <mergeCell ref="E75:F75"/>
    <mergeCell ref="D76:F76"/>
    <mergeCell ref="H75:I75"/>
    <mergeCell ref="G76:I76"/>
    <mergeCell ref="J76:L76"/>
    <mergeCell ref="K79:L79"/>
    <mergeCell ref="N79:O79"/>
    <mergeCell ref="M80:O80"/>
    <mergeCell ref="B79:C79"/>
    <mergeCell ref="A80:C80"/>
    <mergeCell ref="E79:F79"/>
    <mergeCell ref="D80:F80"/>
    <mergeCell ref="H79:I79"/>
    <mergeCell ref="G80:I80"/>
    <mergeCell ref="J80:L80"/>
    <mergeCell ref="K83:L83"/>
    <mergeCell ref="N83:O83"/>
    <mergeCell ref="M84:O84"/>
    <mergeCell ref="B83:C83"/>
    <mergeCell ref="A84:C84"/>
    <mergeCell ref="E83:F83"/>
    <mergeCell ref="D84:F84"/>
    <mergeCell ref="H83:I83"/>
    <mergeCell ref="G84:I84"/>
    <mergeCell ref="J84:L84"/>
    <mergeCell ref="K87:L87"/>
    <mergeCell ref="N87:O87"/>
    <mergeCell ref="M88:O88"/>
    <mergeCell ref="B87:C87"/>
    <mergeCell ref="A88:C88"/>
    <mergeCell ref="E87:F87"/>
    <mergeCell ref="D88:F88"/>
    <mergeCell ref="H87:I87"/>
    <mergeCell ref="G88:I88"/>
    <mergeCell ref="J88:L88"/>
    <mergeCell ref="K91:L91"/>
    <mergeCell ref="N91:O91"/>
    <mergeCell ref="M92:O92"/>
    <mergeCell ref="B91:C91"/>
    <mergeCell ref="A92:C92"/>
    <mergeCell ref="E91:F91"/>
    <mergeCell ref="D92:F92"/>
    <mergeCell ref="H91:I91"/>
    <mergeCell ref="G92:I92"/>
    <mergeCell ref="J92:L92"/>
    <mergeCell ref="K95:L95"/>
    <mergeCell ref="N95:O95"/>
    <mergeCell ref="M96:O96"/>
    <mergeCell ref="B95:C95"/>
    <mergeCell ref="A96:C96"/>
    <mergeCell ref="E95:F95"/>
    <mergeCell ref="D96:F96"/>
    <mergeCell ref="H95:I95"/>
    <mergeCell ref="G96:I96"/>
    <mergeCell ref="J96:L96"/>
    <mergeCell ref="K99:L99"/>
    <mergeCell ref="N99:O99"/>
    <mergeCell ref="M100:O100"/>
    <mergeCell ref="B99:C99"/>
    <mergeCell ref="A100:C100"/>
    <mergeCell ref="E99:F99"/>
    <mergeCell ref="D100:F100"/>
    <mergeCell ref="H99:I99"/>
    <mergeCell ref="G100:I100"/>
    <mergeCell ref="J100:L100"/>
    <mergeCell ref="K103:L103"/>
    <mergeCell ref="N103:O103"/>
    <mergeCell ref="M104:O104"/>
    <mergeCell ref="B103:C103"/>
    <mergeCell ref="A104:C104"/>
    <mergeCell ref="E103:F103"/>
    <mergeCell ref="D104:F104"/>
    <mergeCell ref="H103:I103"/>
    <mergeCell ref="G104:I104"/>
    <mergeCell ref="J104:L104"/>
    <mergeCell ref="K135:L135"/>
    <mergeCell ref="N135:O135"/>
    <mergeCell ref="M136:O136"/>
    <mergeCell ref="B135:C135"/>
    <mergeCell ref="A136:C136"/>
    <mergeCell ref="E135:F135"/>
    <mergeCell ref="D136:F136"/>
    <mergeCell ref="H135:I135"/>
    <mergeCell ref="G136:I136"/>
    <mergeCell ref="J136:L136"/>
    <mergeCell ref="K15:L15"/>
    <mergeCell ref="N15:O15"/>
    <mergeCell ref="M16:O16"/>
    <mergeCell ref="B15:C15"/>
    <mergeCell ref="A16:C16"/>
    <mergeCell ref="E15:F15"/>
    <mergeCell ref="D16:F16"/>
    <mergeCell ref="H15:I15"/>
    <mergeCell ref="G16:I16"/>
    <mergeCell ref="J16:L16"/>
    <mergeCell ref="K19:L19"/>
    <mergeCell ref="N19:O19"/>
    <mergeCell ref="M20:O20"/>
    <mergeCell ref="B19:C19"/>
    <mergeCell ref="A20:C20"/>
    <mergeCell ref="E19:F19"/>
    <mergeCell ref="D20:F20"/>
    <mergeCell ref="H19:I19"/>
    <mergeCell ref="G20:I20"/>
    <mergeCell ref="J20:L20"/>
    <mergeCell ref="K23:L23"/>
    <mergeCell ref="N23:O23"/>
    <mergeCell ref="M24:O24"/>
    <mergeCell ref="B23:C23"/>
    <mergeCell ref="A24:C24"/>
    <mergeCell ref="E23:F23"/>
    <mergeCell ref="D24:F24"/>
    <mergeCell ref="H23:I23"/>
    <mergeCell ref="G24:I24"/>
    <mergeCell ref="J24:L24"/>
    <mergeCell ref="K139:L139"/>
    <mergeCell ref="N139:O139"/>
    <mergeCell ref="M140:O140"/>
    <mergeCell ref="B139:C139"/>
    <mergeCell ref="A140:C140"/>
    <mergeCell ref="E139:F139"/>
    <mergeCell ref="D140:F140"/>
    <mergeCell ref="H139:I139"/>
    <mergeCell ref="G140:I140"/>
    <mergeCell ref="J140:L140"/>
    <mergeCell ref="K107:L107"/>
    <mergeCell ref="N107:O107"/>
    <mergeCell ref="M108:O108"/>
    <mergeCell ref="B107:C107"/>
    <mergeCell ref="A108:C108"/>
    <mergeCell ref="E107:F107"/>
    <mergeCell ref="D108:F108"/>
    <mergeCell ref="H107:I107"/>
    <mergeCell ref="G108:I108"/>
    <mergeCell ref="J108:L108"/>
    <mergeCell ref="K111:L111"/>
    <mergeCell ref="N111:O111"/>
    <mergeCell ref="M112:O112"/>
    <mergeCell ref="B111:C111"/>
    <mergeCell ref="A112:C112"/>
    <mergeCell ref="E111:F111"/>
    <mergeCell ref="D112:F112"/>
    <mergeCell ref="H111:I111"/>
    <mergeCell ref="G112:I112"/>
    <mergeCell ref="J112:L112"/>
    <mergeCell ref="K115:L115"/>
    <mergeCell ref="N115:O115"/>
    <mergeCell ref="M116:O116"/>
    <mergeCell ref="B115:C115"/>
    <mergeCell ref="A116:C116"/>
    <mergeCell ref="E115:F115"/>
    <mergeCell ref="D116:F116"/>
    <mergeCell ref="H115:I115"/>
    <mergeCell ref="G116:I116"/>
    <mergeCell ref="J116:L116"/>
    <mergeCell ref="K119:L119"/>
    <mergeCell ref="N119:O119"/>
    <mergeCell ref="M120:O120"/>
    <mergeCell ref="B119:C119"/>
    <mergeCell ref="A120:C120"/>
    <mergeCell ref="E119:F119"/>
    <mergeCell ref="D120:F120"/>
    <mergeCell ref="H119:I119"/>
    <mergeCell ref="G120:I120"/>
    <mergeCell ref="J120:L120"/>
    <mergeCell ref="K123:L123"/>
    <mergeCell ref="N123:O123"/>
    <mergeCell ref="M124:O124"/>
    <mergeCell ref="B123:C123"/>
    <mergeCell ref="A124:C124"/>
    <mergeCell ref="E123:F123"/>
    <mergeCell ref="D124:F124"/>
    <mergeCell ref="H123:I123"/>
    <mergeCell ref="G124:I124"/>
    <mergeCell ref="J124:L124"/>
    <mergeCell ref="K127:L127"/>
    <mergeCell ref="N127:O127"/>
    <mergeCell ref="M128:O128"/>
    <mergeCell ref="B127:C127"/>
    <mergeCell ref="A128:C128"/>
    <mergeCell ref="E127:F127"/>
    <mergeCell ref="D128:F128"/>
    <mergeCell ref="H127:I127"/>
    <mergeCell ref="G128:I128"/>
    <mergeCell ref="J128:L128"/>
    <mergeCell ref="K131:L131"/>
    <mergeCell ref="N131:O131"/>
    <mergeCell ref="M132:O132"/>
    <mergeCell ref="B131:C131"/>
    <mergeCell ref="A132:C132"/>
    <mergeCell ref="E131:F131"/>
    <mergeCell ref="D132:F132"/>
    <mergeCell ref="H131:I131"/>
    <mergeCell ref="G132:I132"/>
    <mergeCell ref="J132:L132"/>
  </mergeCells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.13"/>
    <col customWidth="1" min="3" max="3" width="12.63"/>
    <col customWidth="1" min="4" max="5" width="5.13"/>
    <col customWidth="1" min="6" max="6" width="12.63"/>
    <col customWidth="1" min="7" max="8" width="5.13"/>
    <col customWidth="1" min="9" max="9" width="12.63"/>
    <col customWidth="1" min="10" max="11" width="5.13"/>
    <col customWidth="1" min="12" max="12" width="12.63"/>
    <col customWidth="1" min="13" max="14" width="5.13"/>
    <col customWidth="1" min="15" max="15" width="12.63"/>
  </cols>
  <sheetData>
    <row r="1" ht="18.75" customHeight="1">
      <c r="A1" s="16" t="s">
        <v>2054</v>
      </c>
      <c r="O1" s="17" t="b">
        <v>0</v>
      </c>
    </row>
    <row r="2" ht="18.75" customHeight="1">
      <c r="A2" s="3" t="s">
        <v>2055</v>
      </c>
    </row>
    <row r="3" ht="18.75" customHeight="1">
      <c r="A3" s="18" t="s">
        <v>736</v>
      </c>
      <c r="B3" s="19" t="s">
        <v>926</v>
      </c>
      <c r="C3" s="20"/>
      <c r="D3" s="18" t="s">
        <v>738</v>
      </c>
      <c r="E3" s="19" t="s">
        <v>926</v>
      </c>
      <c r="F3" s="20"/>
      <c r="G3" s="18" t="s">
        <v>739</v>
      </c>
      <c r="H3" s="19" t="s">
        <v>927</v>
      </c>
      <c r="I3" s="20"/>
      <c r="J3" s="18" t="s">
        <v>740</v>
      </c>
      <c r="K3" s="19" t="s">
        <v>2056</v>
      </c>
      <c r="L3" s="20"/>
      <c r="M3" s="18" t="s">
        <v>742</v>
      </c>
      <c r="N3" s="19" t="s">
        <v>1246</v>
      </c>
      <c r="O3" s="20"/>
    </row>
    <row r="4" ht="180.0" customHeight="1">
      <c r="A4" s="21" t="str">
        <f>IMAGE("https://assets.tcgdex.net/de/sv/sv08/001/low.jpg", 1)</f>
        <v/>
      </c>
      <c r="B4" s="22"/>
      <c r="C4" s="20"/>
      <c r="D4" s="21" t="str">
        <f>IMAGE("https://assets.tcgdex.net/de/sv/sv08/002/low.jpg", 1)</f>
        <v/>
      </c>
      <c r="E4" s="22"/>
      <c r="F4" s="20"/>
      <c r="G4" s="21" t="str">
        <f>IMAGE("https://assets.tcgdex.net/de/sv/sv08/003/low.jpg", 1)</f>
        <v/>
      </c>
      <c r="H4" s="22"/>
      <c r="I4" s="20"/>
      <c r="J4" s="21" t="str">
        <f>IMAGE("https://assets.tcgdex.net/de/sv/sv08/004/low.jpg", 1)</f>
        <v/>
      </c>
      <c r="K4" s="22"/>
      <c r="L4" s="20"/>
      <c r="M4" s="21" t="str">
        <f>IMAGE("https://assets.tcgdex.net/de/sv/sv08/005/low.jpg", 1)</f>
        <v/>
      </c>
      <c r="N4" s="22"/>
      <c r="O4" s="20"/>
    </row>
    <row r="5" ht="22.5" customHeight="1">
      <c r="A5" s="23" t="b">
        <v>0</v>
      </c>
      <c r="B5" s="24" t="b">
        <v>0</v>
      </c>
      <c r="C5" s="25" t="str">
        <f>HYPERLINK("https://www.cardmarket.com/en/Pokemon/Products/Singles?idCategory=1&amp;idProduct=sv8-1", "CM")</f>
        <v>CM</v>
      </c>
      <c r="D5" s="23" t="b">
        <v>0</v>
      </c>
      <c r="E5" s="24" t="b">
        <v>0</v>
      </c>
      <c r="F5" s="25" t="str">
        <f>HYPERLINK("https://www.cardmarket.com/en/Pokemon/Products/Singles?idCategory=1&amp;idProduct=sv8-2", "CM")</f>
        <v>CM</v>
      </c>
      <c r="G5" s="23" t="b">
        <v>0</v>
      </c>
      <c r="H5" s="24" t="b">
        <v>0</v>
      </c>
      <c r="I5" s="25" t="str">
        <f>HYPERLINK("https://www.cardmarket.com/en/Pokemon/Products/Singles?idCategory=1&amp;idProduct=sv8-3", "CM")</f>
        <v>CM</v>
      </c>
      <c r="J5" s="23" t="b">
        <v>0</v>
      </c>
      <c r="K5" s="24" t="b">
        <v>0</v>
      </c>
      <c r="L5" s="25" t="str">
        <f>HYPERLINK("https://www.cardmarket.com/en/Pokemon/Products/Singles?idCategory=1&amp;idProduct=sv8-4", "CM")</f>
        <v>CM</v>
      </c>
      <c r="M5" s="23" t="b">
        <v>0</v>
      </c>
      <c r="N5" s="24" t="b">
        <v>0</v>
      </c>
      <c r="O5" s="25" t="str">
        <f>HYPERLINK("https://www.cardmarket.com/en/Pokemon/Products/Singles?idCategory=1&amp;idProduct=sv8-5", "CM")</f>
        <v>CM</v>
      </c>
    </row>
    <row r="6" ht="7.5" customHeight="1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</row>
    <row r="7" ht="18.75" customHeight="1">
      <c r="A7" s="18" t="s">
        <v>529</v>
      </c>
      <c r="B7" s="19" t="s">
        <v>1207</v>
      </c>
      <c r="C7" s="20"/>
      <c r="D7" s="18" t="s">
        <v>744</v>
      </c>
      <c r="E7" s="19" t="s">
        <v>1247</v>
      </c>
      <c r="F7" s="20"/>
      <c r="G7" s="18" t="s">
        <v>531</v>
      </c>
      <c r="H7" s="19" t="s">
        <v>2057</v>
      </c>
      <c r="I7" s="20"/>
      <c r="J7" s="18" t="s">
        <v>746</v>
      </c>
      <c r="K7" s="19" t="s">
        <v>2058</v>
      </c>
      <c r="L7" s="20"/>
      <c r="M7" s="18" t="s">
        <v>748</v>
      </c>
      <c r="N7" s="19" t="s">
        <v>1783</v>
      </c>
      <c r="O7" s="20"/>
    </row>
    <row r="8" ht="180.0" customHeight="1">
      <c r="A8" s="21" t="str">
        <f>IMAGE("https://assets.tcgdex.net/de/sv/sv08/006/low.jpg", 1)</f>
        <v/>
      </c>
      <c r="B8" s="22"/>
      <c r="C8" s="20"/>
      <c r="D8" s="21" t="str">
        <f>IMAGE("https://assets.tcgdex.net/de/sv/sv08/007/low.jpg", 1)</f>
        <v/>
      </c>
      <c r="E8" s="22"/>
      <c r="F8" s="20"/>
      <c r="G8" s="21" t="str">
        <f>IMAGE("https://assets.tcgdex.net/de/sv/sv08/008/low.jpg", 1)</f>
        <v/>
      </c>
      <c r="H8" s="22"/>
      <c r="I8" s="20"/>
      <c r="J8" s="21" t="str">
        <f>IMAGE("https://assets.tcgdex.net/de/sv/sv08/009/low.jpg", 1)</f>
        <v/>
      </c>
      <c r="K8" s="22"/>
      <c r="L8" s="20"/>
      <c r="M8" s="21" t="str">
        <f>IMAGE("https://assets.tcgdex.net/de/sv/sv08/010/low.jpg", 1)</f>
        <v/>
      </c>
      <c r="N8" s="22"/>
      <c r="O8" s="20"/>
    </row>
    <row r="9" ht="22.5" customHeight="1">
      <c r="A9" s="23" t="b">
        <v>0</v>
      </c>
      <c r="B9" s="24" t="b">
        <v>0</v>
      </c>
      <c r="C9" s="25" t="str">
        <f>HYPERLINK("https://www.cardmarket.com/en/Pokemon/Products/Singles?idCategory=1&amp;idProduct=sv8-6", "CM")</f>
        <v>CM</v>
      </c>
      <c r="D9" s="23" t="b">
        <v>0</v>
      </c>
      <c r="E9" s="24" t="b">
        <v>0</v>
      </c>
      <c r="F9" s="25" t="str">
        <f>HYPERLINK("https://www.cardmarket.com/en/Pokemon/Products/Singles?idCategory=1&amp;idProduct=sv8-7", "CM")</f>
        <v>CM</v>
      </c>
      <c r="G9" s="23" t="b">
        <v>0</v>
      </c>
      <c r="H9" s="24" t="b">
        <v>0</v>
      </c>
      <c r="I9" s="25" t="str">
        <f>HYPERLINK("https://www.cardmarket.com/en/Pokemon/Products/Singles?idCategory=1&amp;idProduct=sv8-8", "CM")</f>
        <v>CM</v>
      </c>
      <c r="J9" s="23" t="b">
        <v>0</v>
      </c>
      <c r="K9" s="24" t="b">
        <v>0</v>
      </c>
      <c r="L9" s="25" t="str">
        <f>HYPERLINK("https://www.cardmarket.com/en/Pokemon/Products/Singles?idCategory=1&amp;idProduct=sv8-9", "CM")</f>
        <v>CM</v>
      </c>
      <c r="M9" s="23" t="b">
        <v>0</v>
      </c>
      <c r="N9" s="24" t="b">
        <v>0</v>
      </c>
      <c r="O9" s="25" t="str">
        <f>HYPERLINK("https://www.cardmarket.com/en/Pokemon/Products/Singles?idCategory=1&amp;idProduct=sv8-10", "CM")</f>
        <v>CM</v>
      </c>
    </row>
    <row r="10" ht="7.5" customHeight="1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</row>
    <row r="11" ht="18.75" customHeight="1">
      <c r="A11" s="18" t="s">
        <v>750</v>
      </c>
      <c r="B11" s="19" t="s">
        <v>723</v>
      </c>
      <c r="C11" s="20"/>
      <c r="D11" s="18" t="s">
        <v>752</v>
      </c>
      <c r="E11" s="19" t="s">
        <v>1211</v>
      </c>
      <c r="F11" s="20"/>
      <c r="G11" s="18" t="s">
        <v>754</v>
      </c>
      <c r="H11" s="19" t="s">
        <v>1759</v>
      </c>
      <c r="I11" s="20"/>
      <c r="J11" s="18" t="s">
        <v>755</v>
      </c>
      <c r="K11" s="19" t="s">
        <v>1762</v>
      </c>
      <c r="L11" s="20"/>
      <c r="M11" s="18" t="s">
        <v>533</v>
      </c>
      <c r="N11" s="19" t="s">
        <v>1601</v>
      </c>
      <c r="O11" s="20"/>
    </row>
    <row r="12" ht="180.0" customHeight="1">
      <c r="A12" s="21" t="str">
        <f>IMAGE("https://assets.tcgdex.net/de/sv/sv08/011/low.jpg", 1)</f>
        <v/>
      </c>
      <c r="B12" s="22"/>
      <c r="C12" s="20"/>
      <c r="D12" s="21" t="str">
        <f>IMAGE("https://assets.tcgdex.net/de/sv/sv08/012/low.jpg", 1)</f>
        <v/>
      </c>
      <c r="E12" s="22"/>
      <c r="F12" s="20"/>
      <c r="G12" s="21" t="str">
        <f>IMAGE("https://assets.tcgdex.net/de/sv/sv08/013/low.jpg", 1)</f>
        <v/>
      </c>
      <c r="H12" s="22"/>
      <c r="I12" s="20"/>
      <c r="J12" s="21" t="str">
        <f>IMAGE("https://assets.tcgdex.net/de/sv/sv08/014/low.jpg", 1)</f>
        <v/>
      </c>
      <c r="K12" s="22"/>
      <c r="L12" s="20"/>
      <c r="M12" s="21" t="str">
        <f>IMAGE("https://assets.tcgdex.net/de/sv/sv08/015/low.jpg", 1)</f>
        <v/>
      </c>
      <c r="N12" s="22"/>
      <c r="O12" s="20"/>
    </row>
    <row r="13" ht="22.5" customHeight="1">
      <c r="A13" s="23" t="b">
        <v>0</v>
      </c>
      <c r="B13" s="24" t="b">
        <v>0</v>
      </c>
      <c r="C13" s="25" t="str">
        <f>HYPERLINK("https://www.cardmarket.com/en/Pokemon/Products/Singles?idCategory=1&amp;idProduct=sv8-11", "CM")</f>
        <v>CM</v>
      </c>
      <c r="D13" s="23" t="b">
        <v>0</v>
      </c>
      <c r="E13" s="24" t="b">
        <v>0</v>
      </c>
      <c r="F13" s="25" t="str">
        <f>HYPERLINK("https://www.cardmarket.com/en/Pokemon/Products/Singles?idCategory=1&amp;idProduct=sv8-12", "CM")</f>
        <v>CM</v>
      </c>
      <c r="G13" s="23" t="b">
        <v>0</v>
      </c>
      <c r="H13" s="24" t="b">
        <v>0</v>
      </c>
      <c r="I13" s="25" t="str">
        <f>HYPERLINK("https://www.cardmarket.com/en/Pokemon/Products/Singles?idCategory=1&amp;idProduct=sv8-13", "CM")</f>
        <v>CM</v>
      </c>
      <c r="J13" s="23" t="b">
        <v>0</v>
      </c>
      <c r="K13" s="24" t="b">
        <v>0</v>
      </c>
      <c r="L13" s="25" t="str">
        <f>HYPERLINK("https://www.cardmarket.com/en/Pokemon/Products/Singles?idCategory=1&amp;idProduct=sv8-14", "CM")</f>
        <v>CM</v>
      </c>
      <c r="M13" s="23" t="b">
        <v>0</v>
      </c>
      <c r="N13" s="24" t="b">
        <v>0</v>
      </c>
      <c r="O13" s="25" t="str">
        <f>HYPERLINK("https://www.cardmarket.com/en/Pokemon/Products/Singles?idCategory=1&amp;idProduct=sv8-15", "CM")</f>
        <v>CM</v>
      </c>
    </row>
    <row r="14" ht="7.5" customHeight="1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</row>
    <row r="15" ht="18.75" customHeight="1">
      <c r="A15" s="18" t="s">
        <v>535</v>
      </c>
      <c r="B15" s="19" t="s">
        <v>1378</v>
      </c>
      <c r="C15" s="20"/>
      <c r="D15" s="18" t="s">
        <v>537</v>
      </c>
      <c r="E15" s="19" t="s">
        <v>1379</v>
      </c>
      <c r="F15" s="20"/>
      <c r="G15" s="18" t="s">
        <v>756</v>
      </c>
      <c r="H15" s="19" t="s">
        <v>1760</v>
      </c>
      <c r="I15" s="20"/>
      <c r="J15" s="18" t="s">
        <v>539</v>
      </c>
      <c r="K15" s="19" t="s">
        <v>2059</v>
      </c>
      <c r="L15" s="20"/>
      <c r="M15" s="18" t="s">
        <v>541</v>
      </c>
      <c r="N15" s="19" t="s">
        <v>2060</v>
      </c>
      <c r="O15" s="20"/>
    </row>
    <row r="16" ht="180.0" customHeight="1">
      <c r="A16" s="21" t="str">
        <f>IMAGE("https://assets.tcgdex.net/de/sv/sv08/016/low.jpg", 1)</f>
        <v/>
      </c>
      <c r="B16" s="22"/>
      <c r="C16" s="20"/>
      <c r="D16" s="21" t="str">
        <f>IMAGE("https://assets.tcgdex.net/de/sv/sv08/017/low.jpg", 1)</f>
        <v/>
      </c>
      <c r="E16" s="22"/>
      <c r="F16" s="20"/>
      <c r="G16" s="21" t="str">
        <f>IMAGE("https://assets.tcgdex.net/de/sv/sv08/018/low.jpg", 1)</f>
        <v/>
      </c>
      <c r="H16" s="22"/>
      <c r="I16" s="20"/>
      <c r="J16" s="21" t="str">
        <f>IMAGE("https://assets.tcgdex.net/de/sv/sv08/019/low.jpg", 1)</f>
        <v/>
      </c>
      <c r="K16" s="22"/>
      <c r="L16" s="20"/>
      <c r="M16" s="21" t="str">
        <f>IMAGE("https://assets.tcgdex.net/de/sv/sv08/020/low.jpg", 1)</f>
        <v/>
      </c>
      <c r="N16" s="22"/>
      <c r="O16" s="20"/>
    </row>
    <row r="17" ht="22.5" customHeight="1">
      <c r="A17" s="23" t="b">
        <v>0</v>
      </c>
      <c r="B17" s="24" t="b">
        <v>0</v>
      </c>
      <c r="C17" s="25" t="str">
        <f>HYPERLINK("https://www.cardmarket.com/en/Pokemon/Products/Singles?idCategory=1&amp;idProduct=sv8-16", "CM")</f>
        <v>CM</v>
      </c>
      <c r="D17" s="23" t="b">
        <v>0</v>
      </c>
      <c r="E17" s="24" t="b">
        <v>0</v>
      </c>
      <c r="F17" s="25" t="str">
        <f>HYPERLINK("https://www.cardmarket.com/en/Pokemon/Products/Singles?idCategory=1&amp;idProduct=sv8-17", "CM")</f>
        <v>CM</v>
      </c>
      <c r="G17" s="23" t="b">
        <v>0</v>
      </c>
      <c r="H17" s="24" t="b">
        <v>0</v>
      </c>
      <c r="I17" s="25" t="str">
        <f>HYPERLINK("https://www.cardmarket.com/en/Pokemon/Products/Singles?idCategory=1&amp;idProduct=sv8-18", "CM")</f>
        <v>CM</v>
      </c>
      <c r="J17" s="23" t="b">
        <v>0</v>
      </c>
      <c r="K17" s="24" t="b">
        <v>0</v>
      </c>
      <c r="L17" s="25" t="str">
        <f>HYPERLINK("https://www.cardmarket.com/en/Pokemon/Products/Singles?idCategory=1&amp;idProduct=sv8-19", "CM")</f>
        <v>CM</v>
      </c>
      <c r="M17" s="23" t="b">
        <v>0</v>
      </c>
      <c r="N17" s="24" t="b">
        <v>0</v>
      </c>
      <c r="O17" s="25" t="str">
        <f>HYPERLINK("https://www.cardmarket.com/en/Pokemon/Products/Singles?idCategory=1&amp;idProduct=sv8-20", "CM")</f>
        <v>CM</v>
      </c>
    </row>
    <row r="18" ht="7.5" customHeight="1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</row>
    <row r="19" ht="18.75" customHeight="1">
      <c r="A19" s="18" t="s">
        <v>543</v>
      </c>
      <c r="B19" s="19" t="s">
        <v>1789</v>
      </c>
      <c r="C19" s="20"/>
      <c r="D19" s="18" t="s">
        <v>545</v>
      </c>
      <c r="E19" s="19" t="s">
        <v>1603</v>
      </c>
      <c r="F19" s="20"/>
      <c r="G19" s="18" t="s">
        <v>547</v>
      </c>
      <c r="H19" s="19" t="s">
        <v>1604</v>
      </c>
      <c r="I19" s="20"/>
      <c r="J19" s="18" t="s">
        <v>549</v>
      </c>
      <c r="K19" s="19" t="s">
        <v>972</v>
      </c>
      <c r="L19" s="20"/>
      <c r="M19" s="18" t="s">
        <v>758</v>
      </c>
      <c r="N19" s="19" t="s">
        <v>973</v>
      </c>
      <c r="O19" s="20"/>
    </row>
    <row r="20" ht="180.0" customHeight="1">
      <c r="A20" s="21" t="str">
        <f>IMAGE("https://assets.tcgdex.net/de/sv/sv08/021/low.jpg", 1)</f>
        <v/>
      </c>
      <c r="B20" s="22"/>
      <c r="C20" s="20"/>
      <c r="D20" s="21" t="str">
        <f>IMAGE("https://assets.tcgdex.net/de/sv/sv08/022/low.jpg", 1)</f>
        <v/>
      </c>
      <c r="E20" s="22"/>
      <c r="F20" s="20"/>
      <c r="G20" s="21" t="str">
        <f>IMAGE("https://assets.tcgdex.net/de/sv/sv08/023/low.jpg", 1)</f>
        <v/>
      </c>
      <c r="H20" s="22"/>
      <c r="I20" s="20"/>
      <c r="J20" s="21" t="str">
        <f>IMAGE("https://assets.tcgdex.net/de/sv/sv08/024/low.jpg", 1)</f>
        <v/>
      </c>
      <c r="K20" s="22"/>
      <c r="L20" s="20"/>
      <c r="M20" s="21" t="str">
        <f>IMAGE("https://assets.tcgdex.net/de/sv/sv08/025/low.jpg", 1)</f>
        <v/>
      </c>
      <c r="N20" s="22"/>
      <c r="O20" s="20"/>
    </row>
    <row r="21" ht="22.5" customHeight="1">
      <c r="A21" s="23" t="b">
        <v>0</v>
      </c>
      <c r="B21" s="24" t="b">
        <v>0</v>
      </c>
      <c r="C21" s="25" t="str">
        <f>HYPERLINK("https://www.cardmarket.com/en/Pokemon/Products/Singles?idCategory=1&amp;idProduct=sv8-21", "CM")</f>
        <v>CM</v>
      </c>
      <c r="D21" s="23" t="b">
        <v>0</v>
      </c>
      <c r="E21" s="24" t="b">
        <v>0</v>
      </c>
      <c r="F21" s="25" t="str">
        <f>HYPERLINK("https://www.cardmarket.com/en/Pokemon/Products/Singles?idCategory=1&amp;idProduct=sv8-22", "CM")</f>
        <v>CM</v>
      </c>
      <c r="G21" s="23" t="b">
        <v>0</v>
      </c>
      <c r="H21" s="24" t="b">
        <v>0</v>
      </c>
      <c r="I21" s="25" t="str">
        <f>HYPERLINK("https://www.cardmarket.com/en/Pokemon/Products/Singles?idCategory=1&amp;idProduct=sv8-23", "CM")</f>
        <v>CM</v>
      </c>
      <c r="J21" s="23" t="b">
        <v>0</v>
      </c>
      <c r="K21" s="24" t="b">
        <v>0</v>
      </c>
      <c r="L21" s="25" t="str">
        <f>HYPERLINK("https://www.cardmarket.com/en/Pokemon/Products/Singles?idCategory=1&amp;idProduct=sv8-24", "CM")</f>
        <v>CM</v>
      </c>
      <c r="M21" s="23" t="b">
        <v>0</v>
      </c>
      <c r="N21" s="24" t="b">
        <v>0</v>
      </c>
      <c r="O21" s="25" t="str">
        <f>HYPERLINK("https://www.cardmarket.com/en/Pokemon/Products/Singles?idCategory=1&amp;idProduct=sv8-25", "CM")</f>
        <v>CM</v>
      </c>
    </row>
    <row r="22" ht="7.5" customHeight="1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</row>
    <row r="23" ht="18.75" customHeight="1">
      <c r="A23" s="18" t="s">
        <v>760</v>
      </c>
      <c r="B23" s="19" t="s">
        <v>1633</v>
      </c>
      <c r="C23" s="20"/>
      <c r="D23" s="18" t="s">
        <v>762</v>
      </c>
      <c r="E23" s="19" t="s">
        <v>1794</v>
      </c>
      <c r="F23" s="20"/>
      <c r="G23" s="18" t="s">
        <v>551</v>
      </c>
      <c r="H23" s="19" t="s">
        <v>1795</v>
      </c>
      <c r="I23" s="20"/>
      <c r="J23" s="18" t="s">
        <v>553</v>
      </c>
      <c r="K23" s="19" t="s">
        <v>600</v>
      </c>
      <c r="L23" s="20"/>
      <c r="M23" s="18" t="s">
        <v>555</v>
      </c>
      <c r="N23" s="19" t="s">
        <v>602</v>
      </c>
      <c r="O23" s="20"/>
    </row>
    <row r="24" ht="180.0" customHeight="1">
      <c r="A24" s="21" t="str">
        <f>IMAGE("https://assets.tcgdex.net/de/sv/sv08/026/low.jpg", 1)</f>
        <v/>
      </c>
      <c r="B24" s="22"/>
      <c r="C24" s="20"/>
      <c r="D24" s="21" t="str">
        <f>IMAGE("https://assets.tcgdex.net/de/sv/sv08/027/low.jpg", 1)</f>
        <v/>
      </c>
      <c r="E24" s="22"/>
      <c r="F24" s="20"/>
      <c r="G24" s="21" t="str">
        <f>IMAGE("https://assets.tcgdex.net/de/sv/sv08/028/low.jpg", 1)</f>
        <v/>
      </c>
      <c r="H24" s="22"/>
      <c r="I24" s="20"/>
      <c r="J24" s="21" t="str">
        <f>IMAGE("https://assets.tcgdex.net/de/sv/sv08/029/low.jpg", 1)</f>
        <v/>
      </c>
      <c r="K24" s="22"/>
      <c r="L24" s="20"/>
      <c r="M24" s="21" t="str">
        <f>IMAGE("https://assets.tcgdex.net/de/sv/sv08/030/low.jpg", 1)</f>
        <v/>
      </c>
      <c r="N24" s="22"/>
      <c r="O24" s="20"/>
    </row>
    <row r="25" ht="22.5" customHeight="1">
      <c r="A25" s="23" t="b">
        <v>0</v>
      </c>
      <c r="B25" s="24" t="b">
        <v>0</v>
      </c>
      <c r="C25" s="25" t="str">
        <f>HYPERLINK("https://www.cardmarket.com/en/Pokemon/Products/Singles?idCategory=1&amp;idProduct=sv8-26", "CM")</f>
        <v>CM</v>
      </c>
      <c r="D25" s="23" t="b">
        <v>0</v>
      </c>
      <c r="E25" s="24" t="b">
        <v>0</v>
      </c>
      <c r="F25" s="25" t="str">
        <f>HYPERLINK("https://www.cardmarket.com/en/Pokemon/Products/Singles?idCategory=1&amp;idProduct=sv8-27", "CM")</f>
        <v>CM</v>
      </c>
      <c r="G25" s="23" t="b">
        <v>0</v>
      </c>
      <c r="H25" s="24" t="b">
        <v>0</v>
      </c>
      <c r="I25" s="25" t="str">
        <f>HYPERLINK("https://www.cardmarket.com/en/Pokemon/Products/Singles?idCategory=1&amp;idProduct=sv8-28", "CM")</f>
        <v>CM</v>
      </c>
      <c r="J25" s="23" t="b">
        <v>0</v>
      </c>
      <c r="K25" s="24" t="b">
        <v>0</v>
      </c>
      <c r="L25" s="25" t="str">
        <f>HYPERLINK("https://www.cardmarket.com/en/Pokemon/Products/Singles?idCategory=1&amp;idProduct=sv8-29", "CM")</f>
        <v>CM</v>
      </c>
      <c r="M25" s="23" t="b">
        <v>0</v>
      </c>
      <c r="N25" s="24" t="b">
        <v>0</v>
      </c>
      <c r="O25" s="25" t="str">
        <f>HYPERLINK("https://www.cardmarket.com/en/Pokemon/Products/Singles?idCategory=1&amp;idProduct=sv8-30", "CM")</f>
        <v>CM</v>
      </c>
    </row>
    <row r="26" ht="7.5" customHeight="1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</row>
    <row r="27" ht="18.75" customHeight="1">
      <c r="A27" s="18" t="s">
        <v>557</v>
      </c>
      <c r="B27" s="19" t="s">
        <v>1212</v>
      </c>
      <c r="C27" s="20"/>
      <c r="D27" s="18" t="s">
        <v>559</v>
      </c>
      <c r="E27" s="19" t="s">
        <v>1213</v>
      </c>
      <c r="F27" s="20"/>
      <c r="G27" s="18" t="s">
        <v>561</v>
      </c>
      <c r="H27" s="19" t="s">
        <v>1213</v>
      </c>
      <c r="I27" s="20"/>
      <c r="J27" s="18" t="s">
        <v>563</v>
      </c>
      <c r="K27" s="19" t="s">
        <v>1257</v>
      </c>
      <c r="L27" s="20"/>
      <c r="M27" s="18" t="s">
        <v>565</v>
      </c>
      <c r="N27" s="19" t="s">
        <v>1739</v>
      </c>
      <c r="O27" s="20"/>
    </row>
    <row r="28" ht="180.0" customHeight="1">
      <c r="A28" s="21" t="str">
        <f>IMAGE("https://assets.tcgdex.net/de/sv/sv08/031/low.jpg", 1)</f>
        <v/>
      </c>
      <c r="B28" s="22"/>
      <c r="C28" s="20"/>
      <c r="D28" s="21" t="str">
        <f>IMAGE("https://assets.tcgdex.net/de/sv/sv08/032/low.jpg", 1)</f>
        <v/>
      </c>
      <c r="E28" s="22"/>
      <c r="F28" s="20"/>
      <c r="G28" s="21" t="str">
        <f>IMAGE("https://assets.tcgdex.net/de/sv/sv08/033/low.jpg", 1)</f>
        <v/>
      </c>
      <c r="H28" s="22"/>
      <c r="I28" s="20"/>
      <c r="J28" s="21" t="str">
        <f>IMAGE("https://assets.tcgdex.net/de/sv/sv08/034/low.jpg", 1)</f>
        <v/>
      </c>
      <c r="K28" s="22"/>
      <c r="L28" s="20"/>
      <c r="M28" s="21" t="str">
        <f>IMAGE("https://assets.tcgdex.net/de/sv/sv08/035/low.jpg", 1)</f>
        <v/>
      </c>
      <c r="N28" s="22"/>
      <c r="O28" s="20"/>
    </row>
    <row r="29" ht="22.5" customHeight="1">
      <c r="A29" s="23" t="b">
        <v>0</v>
      </c>
      <c r="B29" s="24" t="b">
        <v>0</v>
      </c>
      <c r="C29" s="25" t="str">
        <f>HYPERLINK("https://www.cardmarket.com/en/Pokemon/Products/Singles?idCategory=1&amp;idProduct=sv8-31", "CM")</f>
        <v>CM</v>
      </c>
      <c r="D29" s="23" t="b">
        <v>0</v>
      </c>
      <c r="E29" s="24" t="b">
        <v>0</v>
      </c>
      <c r="F29" s="25" t="str">
        <f>HYPERLINK("https://www.cardmarket.com/en/Pokemon/Products/Singles?idCategory=1&amp;idProduct=sv8-32", "CM")</f>
        <v>CM</v>
      </c>
      <c r="G29" s="23" t="b">
        <v>0</v>
      </c>
      <c r="H29" s="24" t="b">
        <v>0</v>
      </c>
      <c r="I29" s="25" t="str">
        <f>HYPERLINK("https://www.cardmarket.com/en/Pokemon/Products/Singles?idCategory=1&amp;idProduct=sv8-33", "CM")</f>
        <v>CM</v>
      </c>
      <c r="J29" s="23" t="b">
        <v>0</v>
      </c>
      <c r="K29" s="24" t="b">
        <v>0</v>
      </c>
      <c r="L29" s="25" t="str">
        <f>HYPERLINK("https://www.cardmarket.com/en/Pokemon/Products/Singles?idCategory=1&amp;idProduct=sv8-34", "CM")</f>
        <v>CM</v>
      </c>
      <c r="M29" s="23" t="b">
        <v>0</v>
      </c>
      <c r="N29" s="24" t="b">
        <v>0</v>
      </c>
      <c r="O29" s="25" t="str">
        <f>HYPERLINK("https://www.cardmarket.com/en/Pokemon/Products/Singles?idCategory=1&amp;idProduct=sv8-35", "CM")</f>
        <v>CM</v>
      </c>
    </row>
    <row r="30" ht="7.5" customHeight="1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</row>
    <row r="31" ht="18.75" customHeight="1">
      <c r="A31" s="18" t="s">
        <v>567</v>
      </c>
      <c r="B31" s="19" t="s">
        <v>2061</v>
      </c>
      <c r="C31" s="20"/>
      <c r="D31" s="18" t="s">
        <v>569</v>
      </c>
      <c r="E31" s="19" t="s">
        <v>1786</v>
      </c>
      <c r="F31" s="20"/>
      <c r="G31" s="18" t="s">
        <v>571</v>
      </c>
      <c r="H31" s="19" t="s">
        <v>854</v>
      </c>
      <c r="I31" s="20"/>
      <c r="J31" s="18" t="s">
        <v>573</v>
      </c>
      <c r="K31" s="19" t="s">
        <v>1760</v>
      </c>
      <c r="L31" s="20"/>
      <c r="M31" s="18" t="s">
        <v>575</v>
      </c>
      <c r="N31" s="19" t="s">
        <v>2062</v>
      </c>
      <c r="O31" s="20"/>
    </row>
    <row r="32" ht="180.0" customHeight="1">
      <c r="A32" s="21" t="str">
        <f>IMAGE("https://assets.tcgdex.net/de/sv/sv08/036/low.jpg", 1)</f>
        <v/>
      </c>
      <c r="B32" s="22"/>
      <c r="C32" s="20"/>
      <c r="D32" s="21" t="str">
        <f>IMAGE("https://assets.tcgdex.net/de/sv/sv08/037/low.jpg", 1)</f>
        <v/>
      </c>
      <c r="E32" s="22"/>
      <c r="F32" s="20"/>
      <c r="G32" s="21" t="str">
        <f>IMAGE("https://assets.tcgdex.net/de/sv/sv08/038/low.jpg", 1)</f>
        <v/>
      </c>
      <c r="H32" s="22"/>
      <c r="I32" s="20"/>
      <c r="J32" s="21" t="str">
        <f>IMAGE("https://assets.tcgdex.net/de/sv/sv08/039/low.jpg", 1)</f>
        <v/>
      </c>
      <c r="K32" s="22"/>
      <c r="L32" s="20"/>
      <c r="M32" s="21" t="str">
        <f>IMAGE("https://assets.tcgdex.net/de/sv/sv08/040/low.jpg", 1)</f>
        <v/>
      </c>
      <c r="N32" s="22"/>
      <c r="O32" s="20"/>
    </row>
    <row r="33" ht="22.5" customHeight="1">
      <c r="A33" s="23" t="b">
        <v>0</v>
      </c>
      <c r="B33" s="24" t="b">
        <v>0</v>
      </c>
      <c r="C33" s="25" t="str">
        <f>HYPERLINK("https://www.cardmarket.com/en/Pokemon/Products/Singles?idCategory=1&amp;idProduct=sv8-36", "CM")</f>
        <v>CM</v>
      </c>
      <c r="D33" s="23" t="b">
        <v>0</v>
      </c>
      <c r="E33" s="24" t="b">
        <v>0</v>
      </c>
      <c r="F33" s="25" t="str">
        <f>HYPERLINK("https://www.cardmarket.com/en/Pokemon/Products/Singles?idCategory=1&amp;idProduct=sv8-37", "CM")</f>
        <v>CM</v>
      </c>
      <c r="G33" s="23" t="b">
        <v>0</v>
      </c>
      <c r="H33" s="24" t="b">
        <v>0</v>
      </c>
      <c r="I33" s="25" t="str">
        <f>HYPERLINK("https://www.cardmarket.com/en/Pokemon/Products/Singles?idCategory=1&amp;idProduct=sv8-38", "CM")</f>
        <v>CM</v>
      </c>
      <c r="J33" s="23" t="b">
        <v>0</v>
      </c>
      <c r="K33" s="24" t="b">
        <v>0</v>
      </c>
      <c r="L33" s="25" t="str">
        <f>HYPERLINK("https://www.cardmarket.com/en/Pokemon/Products/Singles?idCategory=1&amp;idProduct=sv8-39", "CM")</f>
        <v>CM</v>
      </c>
      <c r="M33" s="23" t="b">
        <v>0</v>
      </c>
      <c r="N33" s="24" t="b">
        <v>0</v>
      </c>
      <c r="O33" s="25" t="str">
        <f>HYPERLINK("https://www.cardmarket.com/en/Pokemon/Products/Singles?idCategory=1&amp;idProduct=sv8-40", "CM")</f>
        <v>CM</v>
      </c>
    </row>
    <row r="34" ht="7.5" customHeight="1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</row>
    <row r="35" ht="18.75" customHeight="1">
      <c r="A35" s="18" t="s">
        <v>577</v>
      </c>
      <c r="B35" s="19" t="s">
        <v>1609</v>
      </c>
      <c r="C35" s="20"/>
      <c r="D35" s="18" t="s">
        <v>579</v>
      </c>
      <c r="E35" s="19" t="s">
        <v>2063</v>
      </c>
      <c r="F35" s="20"/>
      <c r="G35" s="18" t="s">
        <v>763</v>
      </c>
      <c r="H35" s="19" t="s">
        <v>2064</v>
      </c>
      <c r="I35" s="20"/>
      <c r="J35" s="18" t="s">
        <v>765</v>
      </c>
      <c r="K35" s="19" t="s">
        <v>2065</v>
      </c>
      <c r="L35" s="20"/>
      <c r="M35" s="18" t="s">
        <v>581</v>
      </c>
      <c r="N35" s="19" t="s">
        <v>2066</v>
      </c>
      <c r="O35" s="20"/>
    </row>
    <row r="36" ht="180.0" customHeight="1">
      <c r="A36" s="21" t="str">
        <f>IMAGE("https://assets.tcgdex.net/de/sv/sv08/041/low.jpg", 1)</f>
        <v/>
      </c>
      <c r="B36" s="22"/>
      <c r="C36" s="20"/>
      <c r="D36" s="21" t="str">
        <f>IMAGE("https://assets.tcgdex.net/de/sv/sv08/042/low.jpg", 1)</f>
        <v/>
      </c>
      <c r="E36" s="22"/>
      <c r="F36" s="20"/>
      <c r="G36" s="21" t="str">
        <f>IMAGE("https://assets.tcgdex.net/de/sv/sv08/043/low.jpg", 1)</f>
        <v/>
      </c>
      <c r="H36" s="22"/>
      <c r="I36" s="20"/>
      <c r="J36" s="21" t="str">
        <f>IMAGE("https://assets.tcgdex.net/de/sv/sv08/044/low.jpg", 1)</f>
        <v/>
      </c>
      <c r="K36" s="22"/>
      <c r="L36" s="20"/>
      <c r="M36" s="21" t="str">
        <f>IMAGE("https://assets.tcgdex.net/de/sv/sv08/045/low.jpg", 1)</f>
        <v/>
      </c>
      <c r="N36" s="22"/>
      <c r="O36" s="20"/>
    </row>
    <row r="37" ht="22.5" customHeight="1">
      <c r="A37" s="23" t="b">
        <v>0</v>
      </c>
      <c r="B37" s="24" t="b">
        <v>0</v>
      </c>
      <c r="C37" s="25" t="str">
        <f>HYPERLINK("https://www.cardmarket.com/en/Pokemon/Products/Singles?idCategory=1&amp;idProduct=sv8-41", "CM")</f>
        <v>CM</v>
      </c>
      <c r="D37" s="23" t="b">
        <v>0</v>
      </c>
      <c r="E37" s="24" t="b">
        <v>0</v>
      </c>
      <c r="F37" s="25" t="str">
        <f>HYPERLINK("https://www.cardmarket.com/en/Pokemon/Products/Singles?idCategory=1&amp;idProduct=sv8-42", "CM")</f>
        <v>CM</v>
      </c>
      <c r="G37" s="23" t="b">
        <v>0</v>
      </c>
      <c r="H37" s="24" t="b">
        <v>0</v>
      </c>
      <c r="I37" s="25" t="str">
        <f>HYPERLINK("https://www.cardmarket.com/en/Pokemon/Products/Singles?idCategory=1&amp;idProduct=sv8-43", "CM")</f>
        <v>CM</v>
      </c>
      <c r="J37" s="23" t="b">
        <v>0</v>
      </c>
      <c r="K37" s="24" t="b">
        <v>0</v>
      </c>
      <c r="L37" s="25" t="str">
        <f>HYPERLINK("https://www.cardmarket.com/en/Pokemon/Products/Singles?idCategory=1&amp;idProduct=sv8-44", "CM")</f>
        <v>CM</v>
      </c>
      <c r="M37" s="23" t="b">
        <v>0</v>
      </c>
      <c r="N37" s="24" t="b">
        <v>0</v>
      </c>
      <c r="O37" s="25" t="str">
        <f>HYPERLINK("https://www.cardmarket.com/en/Pokemon/Products/Singles?idCategory=1&amp;idProduct=sv8-45", "CM")</f>
        <v>CM</v>
      </c>
    </row>
    <row r="38" ht="7.5" customHeight="1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</row>
    <row r="39" ht="18.75" customHeight="1">
      <c r="A39" s="18" t="s">
        <v>767</v>
      </c>
      <c r="B39" s="19" t="s">
        <v>2067</v>
      </c>
      <c r="C39" s="20"/>
      <c r="D39" s="18" t="s">
        <v>769</v>
      </c>
      <c r="E39" s="19" t="s">
        <v>1395</v>
      </c>
      <c r="F39" s="20"/>
      <c r="G39" s="18" t="s">
        <v>770</v>
      </c>
      <c r="H39" s="19" t="s">
        <v>2068</v>
      </c>
      <c r="I39" s="20"/>
      <c r="J39" s="18" t="s">
        <v>772</v>
      </c>
      <c r="K39" s="19" t="s">
        <v>1265</v>
      </c>
      <c r="L39" s="20"/>
      <c r="M39" s="18" t="s">
        <v>774</v>
      </c>
      <c r="N39" s="19" t="s">
        <v>605</v>
      </c>
      <c r="O39" s="20"/>
    </row>
    <row r="40" ht="180.0" customHeight="1">
      <c r="A40" s="21" t="str">
        <f>IMAGE("https://assets.tcgdex.net/de/sv/sv08/046/low.jpg", 1)</f>
        <v/>
      </c>
      <c r="B40" s="22"/>
      <c r="C40" s="20"/>
      <c r="D40" s="21" t="str">
        <f>IMAGE("https://assets.tcgdex.net/de/sv/sv08/047/low.jpg", 1)</f>
        <v/>
      </c>
      <c r="E40" s="22"/>
      <c r="F40" s="20"/>
      <c r="G40" s="21" t="str">
        <f>IMAGE("https://assets.tcgdex.net/de/sv/sv08/048/low.jpg", 1)</f>
        <v/>
      </c>
      <c r="H40" s="22"/>
      <c r="I40" s="20"/>
      <c r="J40" s="21" t="str">
        <f>IMAGE("https://assets.tcgdex.net/de/sv/sv08/049/low.jpg", 1)</f>
        <v/>
      </c>
      <c r="K40" s="22"/>
      <c r="L40" s="20"/>
      <c r="M40" s="21" t="str">
        <f>IMAGE("https://assets.tcgdex.net/de/sv/sv08/050/low.jpg", 1)</f>
        <v/>
      </c>
      <c r="N40" s="22"/>
      <c r="O40" s="20"/>
    </row>
    <row r="41" ht="22.5" customHeight="1">
      <c r="A41" s="23" t="b">
        <v>0</v>
      </c>
      <c r="B41" s="24" t="b">
        <v>0</v>
      </c>
      <c r="C41" s="25" t="str">
        <f>HYPERLINK("https://www.cardmarket.com/en/Pokemon/Products/Singles?idCategory=1&amp;idProduct=sv8-46", "CM")</f>
        <v>CM</v>
      </c>
      <c r="D41" s="23" t="b">
        <v>0</v>
      </c>
      <c r="E41" s="24" t="b">
        <v>0</v>
      </c>
      <c r="F41" s="25" t="str">
        <f>HYPERLINK("https://www.cardmarket.com/en/Pokemon/Products/Singles?idCategory=1&amp;idProduct=sv8-47", "CM")</f>
        <v>CM</v>
      </c>
      <c r="G41" s="23" t="b">
        <v>0</v>
      </c>
      <c r="H41" s="24" t="b">
        <v>0</v>
      </c>
      <c r="I41" s="25" t="str">
        <f>HYPERLINK("https://www.cardmarket.com/en/Pokemon/Products/Singles?idCategory=1&amp;idProduct=sv8-48", "CM")</f>
        <v>CM</v>
      </c>
      <c r="J41" s="23" t="b">
        <v>0</v>
      </c>
      <c r="K41" s="24" t="b">
        <v>0</v>
      </c>
      <c r="L41" s="25" t="str">
        <f>HYPERLINK("https://www.cardmarket.com/en/Pokemon/Products/Singles?idCategory=1&amp;idProduct=sv8-49", "CM")</f>
        <v>CM</v>
      </c>
      <c r="M41" s="23" t="b">
        <v>0</v>
      </c>
      <c r="N41" s="24" t="b">
        <v>0</v>
      </c>
      <c r="O41" s="25" t="str">
        <f>HYPERLINK("https://www.cardmarket.com/en/Pokemon/Products/Singles?idCategory=1&amp;idProduct=sv8-50", "CM")</f>
        <v>CM</v>
      </c>
    </row>
    <row r="42" ht="7.5" customHeight="1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</row>
    <row r="43" ht="18.75" customHeight="1">
      <c r="A43" s="18" t="s">
        <v>776</v>
      </c>
      <c r="B43" s="19" t="s">
        <v>607</v>
      </c>
      <c r="C43" s="20"/>
      <c r="D43" s="18" t="s">
        <v>778</v>
      </c>
      <c r="E43" s="19" t="s">
        <v>743</v>
      </c>
      <c r="F43" s="20"/>
      <c r="G43" s="18" t="s">
        <v>780</v>
      </c>
      <c r="H43" s="19" t="s">
        <v>1267</v>
      </c>
      <c r="I43" s="20"/>
      <c r="J43" s="18" t="s">
        <v>583</v>
      </c>
      <c r="K43" s="19" t="s">
        <v>785</v>
      </c>
      <c r="L43" s="20"/>
      <c r="M43" s="18" t="s">
        <v>585</v>
      </c>
      <c r="N43" s="19" t="s">
        <v>590</v>
      </c>
      <c r="O43" s="20"/>
    </row>
    <row r="44" ht="180.0" customHeight="1">
      <c r="A44" s="21" t="str">
        <f>IMAGE("https://assets.tcgdex.net/de/sv/sv08/051/low.jpg", 1)</f>
        <v/>
      </c>
      <c r="B44" s="22"/>
      <c r="C44" s="20"/>
      <c r="D44" s="21" t="str">
        <f>IMAGE("https://assets.tcgdex.net/de/sv/sv08/052/low.jpg", 1)</f>
        <v/>
      </c>
      <c r="E44" s="22"/>
      <c r="F44" s="20"/>
      <c r="G44" s="21" t="str">
        <f>IMAGE("https://assets.tcgdex.net/de/sv/sv08/053/low.jpg", 1)</f>
        <v/>
      </c>
      <c r="H44" s="22"/>
      <c r="I44" s="20"/>
      <c r="J44" s="21" t="str">
        <f>IMAGE("https://assets.tcgdex.net/de/sv/sv08/054/low.jpg", 1)</f>
        <v/>
      </c>
      <c r="K44" s="22"/>
      <c r="L44" s="20"/>
      <c r="M44" s="21" t="str">
        <f>IMAGE("https://assets.tcgdex.net/de/sv/sv08/055/low.jpg", 1)</f>
        <v/>
      </c>
      <c r="N44" s="22"/>
      <c r="O44" s="20"/>
    </row>
    <row r="45" ht="22.5" customHeight="1">
      <c r="A45" s="23" t="b">
        <v>0</v>
      </c>
      <c r="B45" s="24" t="b">
        <v>0</v>
      </c>
      <c r="C45" s="25" t="str">
        <f>HYPERLINK("https://www.cardmarket.com/en/Pokemon/Products/Singles?idCategory=1&amp;idProduct=sv8-51", "CM")</f>
        <v>CM</v>
      </c>
      <c r="D45" s="23" t="b">
        <v>0</v>
      </c>
      <c r="E45" s="24" t="b">
        <v>0</v>
      </c>
      <c r="F45" s="25" t="str">
        <f>HYPERLINK("https://www.cardmarket.com/en/Pokemon/Products/Singles?idCategory=1&amp;idProduct=sv8-52", "CM")</f>
        <v>CM</v>
      </c>
      <c r="G45" s="23" t="b">
        <v>0</v>
      </c>
      <c r="H45" s="24" t="b">
        <v>0</v>
      </c>
      <c r="I45" s="25" t="str">
        <f>HYPERLINK("https://www.cardmarket.com/en/Pokemon/Products/Singles?idCategory=1&amp;idProduct=sv8-53", "CM")</f>
        <v>CM</v>
      </c>
      <c r="J45" s="23" t="b">
        <v>0</v>
      </c>
      <c r="K45" s="24" t="b">
        <v>0</v>
      </c>
      <c r="L45" s="25" t="str">
        <f>HYPERLINK("https://www.cardmarket.com/en/Pokemon/Products/Singles?idCategory=1&amp;idProduct=sv8-54", "CM")</f>
        <v>CM</v>
      </c>
      <c r="M45" s="23" t="b">
        <v>0</v>
      </c>
      <c r="N45" s="24" t="b">
        <v>0</v>
      </c>
      <c r="O45" s="25" t="str">
        <f>HYPERLINK("https://www.cardmarket.com/en/Pokemon/Products/Singles?idCategory=1&amp;idProduct=sv8-55", "CM")</f>
        <v>CM</v>
      </c>
    </row>
    <row r="46" ht="7.5" customHeight="1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</row>
    <row r="47" ht="18.75" customHeight="1">
      <c r="A47" s="18" t="s">
        <v>782</v>
      </c>
      <c r="B47" s="19" t="s">
        <v>856</v>
      </c>
      <c r="C47" s="20"/>
      <c r="D47" s="18" t="s">
        <v>587</v>
      </c>
      <c r="E47" s="19" t="s">
        <v>639</v>
      </c>
      <c r="F47" s="20"/>
      <c r="G47" s="18" t="s">
        <v>589</v>
      </c>
      <c r="H47" s="19" t="s">
        <v>1268</v>
      </c>
      <c r="I47" s="20"/>
      <c r="J47" s="18" t="s">
        <v>591</v>
      </c>
      <c r="K47" s="19" t="s">
        <v>688</v>
      </c>
      <c r="L47" s="20"/>
      <c r="M47" s="18" t="s">
        <v>593</v>
      </c>
      <c r="N47" s="19" t="s">
        <v>1097</v>
      </c>
      <c r="O47" s="20"/>
    </row>
    <row r="48" ht="180.0" customHeight="1">
      <c r="A48" s="21" t="str">
        <f>IMAGE("https://assets.tcgdex.net/de/sv/sv08/056/low.jpg", 1)</f>
        <v/>
      </c>
      <c r="B48" s="22"/>
      <c r="C48" s="20"/>
      <c r="D48" s="21" t="str">
        <f>IMAGE("https://assets.tcgdex.net/de/sv/sv08/057/low.jpg", 1)</f>
        <v/>
      </c>
      <c r="E48" s="22"/>
      <c r="F48" s="20"/>
      <c r="G48" s="21" t="str">
        <f>IMAGE("https://assets.tcgdex.net/de/sv/sv08/058/low.jpg", 1)</f>
        <v/>
      </c>
      <c r="H48" s="22"/>
      <c r="I48" s="20"/>
      <c r="J48" s="21" t="str">
        <f>IMAGE("https://assets.tcgdex.net/de/sv/sv08/059/low.jpg", 1)</f>
        <v/>
      </c>
      <c r="K48" s="22"/>
      <c r="L48" s="20"/>
      <c r="M48" s="21" t="str">
        <f>IMAGE("https://assets.tcgdex.net/de/sv/sv08/060/low.jpg", 1)</f>
        <v/>
      </c>
      <c r="N48" s="22"/>
      <c r="O48" s="20"/>
    </row>
    <row r="49" ht="22.5" customHeight="1">
      <c r="A49" s="23" t="b">
        <v>0</v>
      </c>
      <c r="B49" s="24" t="b">
        <v>0</v>
      </c>
      <c r="C49" s="25" t="str">
        <f>HYPERLINK("https://www.cardmarket.com/en/Pokemon/Products/Singles?idCategory=1&amp;idProduct=sv8-56", "CM")</f>
        <v>CM</v>
      </c>
      <c r="D49" s="23" t="b">
        <v>0</v>
      </c>
      <c r="E49" s="24" t="b">
        <v>0</v>
      </c>
      <c r="F49" s="25" t="str">
        <f>HYPERLINK("https://www.cardmarket.com/en/Pokemon/Products/Singles?idCategory=1&amp;idProduct=sv8-57", "CM")</f>
        <v>CM</v>
      </c>
      <c r="G49" s="23" t="b">
        <v>0</v>
      </c>
      <c r="H49" s="24" t="b">
        <v>0</v>
      </c>
      <c r="I49" s="25" t="str">
        <f>HYPERLINK("https://www.cardmarket.com/en/Pokemon/Products/Singles?idCategory=1&amp;idProduct=sv8-58", "CM")</f>
        <v>CM</v>
      </c>
      <c r="J49" s="23" t="b">
        <v>0</v>
      </c>
      <c r="K49" s="24" t="b">
        <v>0</v>
      </c>
      <c r="L49" s="25" t="str">
        <f>HYPERLINK("https://www.cardmarket.com/en/Pokemon/Products/Singles?idCategory=1&amp;idProduct=sv8-59", "CM")</f>
        <v>CM</v>
      </c>
      <c r="M49" s="23" t="b">
        <v>0</v>
      </c>
      <c r="N49" s="24" t="b">
        <v>0</v>
      </c>
      <c r="O49" s="25" t="str">
        <f>HYPERLINK("https://www.cardmarket.com/en/Pokemon/Products/Singles?idCategory=1&amp;idProduct=sv8-60", "CM")</f>
        <v>CM</v>
      </c>
    </row>
    <row r="50" ht="7.5" customHeight="1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</row>
    <row r="51" ht="18.75" customHeight="1">
      <c r="A51" s="18" t="s">
        <v>595</v>
      </c>
      <c r="B51" s="19" t="s">
        <v>1215</v>
      </c>
      <c r="C51" s="20"/>
      <c r="D51" s="18" t="s">
        <v>597</v>
      </c>
      <c r="E51" s="19" t="s">
        <v>1628</v>
      </c>
      <c r="F51" s="20"/>
      <c r="G51" s="18" t="s">
        <v>784</v>
      </c>
      <c r="H51" s="19" t="s">
        <v>1629</v>
      </c>
      <c r="I51" s="20"/>
      <c r="J51" s="18" t="s">
        <v>786</v>
      </c>
      <c r="K51" s="19" t="s">
        <v>1425</v>
      </c>
      <c r="L51" s="20"/>
      <c r="M51" s="18" t="s">
        <v>788</v>
      </c>
      <c r="N51" s="19" t="s">
        <v>2069</v>
      </c>
      <c r="O51" s="20"/>
    </row>
    <row r="52" ht="180.0" customHeight="1">
      <c r="A52" s="21" t="str">
        <f>IMAGE("https://assets.tcgdex.net/de/sv/sv08/061/low.jpg", 1)</f>
        <v/>
      </c>
      <c r="B52" s="22"/>
      <c r="C52" s="20"/>
      <c r="D52" s="21" t="str">
        <f>IMAGE("https://assets.tcgdex.net/de/sv/sv08/062/low.jpg", 1)</f>
        <v/>
      </c>
      <c r="E52" s="22"/>
      <c r="F52" s="20"/>
      <c r="G52" s="21" t="str">
        <f>IMAGE("https://assets.tcgdex.net/de/sv/sv08/063/low.jpg", 1)</f>
        <v/>
      </c>
      <c r="H52" s="22"/>
      <c r="I52" s="20"/>
      <c r="J52" s="21" t="str">
        <f>IMAGE("https://assets.tcgdex.net/de/sv/sv08/064/low.jpg", 1)</f>
        <v/>
      </c>
      <c r="K52" s="22"/>
      <c r="L52" s="20"/>
      <c r="M52" s="21" t="str">
        <f>IMAGE("https://assets.tcgdex.net/de/sv/sv08/065/low.jpg", 1)</f>
        <v/>
      </c>
      <c r="N52" s="22"/>
      <c r="O52" s="20"/>
    </row>
    <row r="53" ht="22.5" customHeight="1">
      <c r="A53" s="23" t="b">
        <v>0</v>
      </c>
      <c r="B53" s="24" t="b">
        <v>0</v>
      </c>
      <c r="C53" s="25" t="str">
        <f>HYPERLINK("https://www.cardmarket.com/en/Pokemon/Products/Singles?idCategory=1&amp;idProduct=sv8-61", "CM")</f>
        <v>CM</v>
      </c>
      <c r="D53" s="23" t="b">
        <v>0</v>
      </c>
      <c r="E53" s="24" t="b">
        <v>0</v>
      </c>
      <c r="F53" s="25" t="str">
        <f>HYPERLINK("https://www.cardmarket.com/en/Pokemon/Products/Singles?idCategory=1&amp;idProduct=sv8-62", "CM")</f>
        <v>CM</v>
      </c>
      <c r="G53" s="23" t="b">
        <v>0</v>
      </c>
      <c r="H53" s="24" t="b">
        <v>0</v>
      </c>
      <c r="I53" s="25" t="str">
        <f>HYPERLINK("https://www.cardmarket.com/en/Pokemon/Products/Singles?idCategory=1&amp;idProduct=sv8-63", "CM")</f>
        <v>CM</v>
      </c>
      <c r="J53" s="23" t="b">
        <v>0</v>
      </c>
      <c r="K53" s="24" t="b">
        <v>0</v>
      </c>
      <c r="L53" s="25" t="str">
        <f>HYPERLINK("https://www.cardmarket.com/en/Pokemon/Products/Singles?idCategory=1&amp;idProduct=sv8-64", "CM")</f>
        <v>CM</v>
      </c>
      <c r="M53" s="23" t="b">
        <v>0</v>
      </c>
      <c r="N53" s="24" t="b">
        <v>0</v>
      </c>
      <c r="O53" s="25" t="str">
        <f>HYPERLINK("https://www.cardmarket.com/en/Pokemon/Products/Singles?idCategory=1&amp;idProduct=sv8-65", "CM")</f>
        <v>CM</v>
      </c>
    </row>
    <row r="54" ht="7.5" customHeight="1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</row>
    <row r="55" ht="18.75" customHeight="1">
      <c r="A55" s="18" t="s">
        <v>790</v>
      </c>
      <c r="B55" s="19" t="s">
        <v>1216</v>
      </c>
      <c r="C55" s="20"/>
      <c r="D55" s="18" t="s">
        <v>791</v>
      </c>
      <c r="E55" s="19" t="s">
        <v>1271</v>
      </c>
      <c r="F55" s="20"/>
      <c r="G55" s="18" t="s">
        <v>793</v>
      </c>
      <c r="H55" s="19" t="s">
        <v>2070</v>
      </c>
      <c r="I55" s="20"/>
      <c r="J55" s="18" t="s">
        <v>795</v>
      </c>
      <c r="K55" s="19" t="s">
        <v>624</v>
      </c>
      <c r="L55" s="20"/>
      <c r="M55" s="18" t="s">
        <v>797</v>
      </c>
      <c r="N55" s="19" t="s">
        <v>1407</v>
      </c>
      <c r="O55" s="20"/>
    </row>
    <row r="56" ht="180.0" customHeight="1">
      <c r="A56" s="21" t="str">
        <f>IMAGE("https://assets.tcgdex.net/de/sv/sv08/066/low.jpg", 1)</f>
        <v/>
      </c>
      <c r="B56" s="22"/>
      <c r="C56" s="20"/>
      <c r="D56" s="21" t="str">
        <f>IMAGE("https://assets.tcgdex.net/de/sv/sv08/067/low.jpg", 1)</f>
        <v/>
      </c>
      <c r="E56" s="22"/>
      <c r="F56" s="20"/>
      <c r="G56" s="21" t="str">
        <f>IMAGE("https://assets.tcgdex.net/de/sv/sv08/068/low.jpg", 1)</f>
        <v/>
      </c>
      <c r="H56" s="22"/>
      <c r="I56" s="20"/>
      <c r="J56" s="21" t="str">
        <f>IMAGE("https://assets.tcgdex.net/de/sv/sv08/069/low.jpg", 1)</f>
        <v/>
      </c>
      <c r="K56" s="22"/>
      <c r="L56" s="20"/>
      <c r="M56" s="21" t="str">
        <f>IMAGE("https://assets.tcgdex.net/de/sv/sv08/070/low.jpg", 1)</f>
        <v/>
      </c>
      <c r="N56" s="22"/>
      <c r="O56" s="20"/>
    </row>
    <row r="57" ht="22.5" customHeight="1">
      <c r="A57" s="23" t="b">
        <v>0</v>
      </c>
      <c r="B57" s="24" t="b">
        <v>0</v>
      </c>
      <c r="C57" s="25" t="str">
        <f>HYPERLINK("https://www.cardmarket.com/en/Pokemon/Products/Singles?idCategory=1&amp;idProduct=sv8-66", "CM")</f>
        <v>CM</v>
      </c>
      <c r="D57" s="23" t="b">
        <v>0</v>
      </c>
      <c r="E57" s="24" t="b">
        <v>0</v>
      </c>
      <c r="F57" s="25" t="str">
        <f>HYPERLINK("https://www.cardmarket.com/en/Pokemon/Products/Singles?idCategory=1&amp;idProduct=sv8-67", "CM")</f>
        <v>CM</v>
      </c>
      <c r="G57" s="23" t="b">
        <v>0</v>
      </c>
      <c r="H57" s="24" t="b">
        <v>0</v>
      </c>
      <c r="I57" s="25" t="str">
        <f>HYPERLINK("https://www.cardmarket.com/en/Pokemon/Products/Singles?idCategory=1&amp;idProduct=sv8-68", "CM")</f>
        <v>CM</v>
      </c>
      <c r="J57" s="23" t="b">
        <v>0</v>
      </c>
      <c r="K57" s="24" t="b">
        <v>0</v>
      </c>
      <c r="L57" s="25" t="str">
        <f>HYPERLINK("https://www.cardmarket.com/en/Pokemon/Products/Singles?idCategory=1&amp;idProduct=sv8-69", "CM")</f>
        <v>CM</v>
      </c>
      <c r="M57" s="23" t="b">
        <v>0</v>
      </c>
      <c r="N57" s="24" t="b">
        <v>0</v>
      </c>
      <c r="O57" s="25" t="str">
        <f>HYPERLINK("https://www.cardmarket.com/en/Pokemon/Products/Singles?idCategory=1&amp;idProduct=sv8-70", "CM")</f>
        <v>CM</v>
      </c>
    </row>
    <row r="58" ht="7.5" customHeight="1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</row>
    <row r="59" ht="18.75" customHeight="1">
      <c r="A59" s="18" t="s">
        <v>799</v>
      </c>
      <c r="B59" s="19" t="s">
        <v>1408</v>
      </c>
      <c r="C59" s="20"/>
      <c r="D59" s="18" t="s">
        <v>801</v>
      </c>
      <c r="E59" s="19" t="s">
        <v>572</v>
      </c>
      <c r="F59" s="20"/>
      <c r="G59" s="18" t="s">
        <v>803</v>
      </c>
      <c r="H59" s="19" t="s">
        <v>1807</v>
      </c>
      <c r="I59" s="20"/>
      <c r="J59" s="18" t="s">
        <v>805</v>
      </c>
      <c r="K59" s="19" t="s">
        <v>1808</v>
      </c>
      <c r="L59" s="20"/>
      <c r="M59" s="18" t="s">
        <v>806</v>
      </c>
      <c r="N59" s="19" t="s">
        <v>2071</v>
      </c>
      <c r="O59" s="20"/>
    </row>
    <row r="60" ht="180.0" customHeight="1">
      <c r="A60" s="21" t="str">
        <f>IMAGE("https://assets.tcgdex.net/de/sv/sv08/071/low.jpg", 1)</f>
        <v/>
      </c>
      <c r="B60" s="22"/>
      <c r="C60" s="20"/>
      <c r="D60" s="21" t="str">
        <f>IMAGE("https://assets.tcgdex.net/de/sv/sv08/072/low.jpg", 1)</f>
        <v/>
      </c>
      <c r="E60" s="22"/>
      <c r="F60" s="20"/>
      <c r="G60" s="21" t="str">
        <f>IMAGE("https://assets.tcgdex.net/de/sv/sv08/073/low.jpg", 1)</f>
        <v/>
      </c>
      <c r="H60" s="22"/>
      <c r="I60" s="20"/>
      <c r="J60" s="21" t="str">
        <f>IMAGE("https://assets.tcgdex.net/de/sv/sv08/074/low.jpg", 1)</f>
        <v/>
      </c>
      <c r="K60" s="22"/>
      <c r="L60" s="20"/>
      <c r="M60" s="21" t="str">
        <f>IMAGE("https://assets.tcgdex.net/de/sv/sv08/075/low.jpg", 1)</f>
        <v/>
      </c>
      <c r="N60" s="22"/>
      <c r="O60" s="20"/>
    </row>
    <row r="61" ht="22.5" customHeight="1">
      <c r="A61" s="23" t="b">
        <v>0</v>
      </c>
      <c r="B61" s="24" t="b">
        <v>0</v>
      </c>
      <c r="C61" s="25" t="str">
        <f>HYPERLINK("https://www.cardmarket.com/en/Pokemon/Products/Singles?idCategory=1&amp;idProduct=sv8-71", "CM")</f>
        <v>CM</v>
      </c>
      <c r="D61" s="23" t="b">
        <v>0</v>
      </c>
      <c r="E61" s="24" t="b">
        <v>0</v>
      </c>
      <c r="F61" s="25" t="str">
        <f>HYPERLINK("https://www.cardmarket.com/en/Pokemon/Products/Singles?idCategory=1&amp;idProduct=sv8-72", "CM")</f>
        <v>CM</v>
      </c>
      <c r="G61" s="23" t="b">
        <v>0</v>
      </c>
      <c r="H61" s="24" t="b">
        <v>0</v>
      </c>
      <c r="I61" s="25" t="str">
        <f>HYPERLINK("https://www.cardmarket.com/en/Pokemon/Products/Singles?idCategory=1&amp;idProduct=sv8-73", "CM")</f>
        <v>CM</v>
      </c>
      <c r="J61" s="23" t="b">
        <v>0</v>
      </c>
      <c r="K61" s="24" t="b">
        <v>0</v>
      </c>
      <c r="L61" s="25" t="str">
        <f>HYPERLINK("https://www.cardmarket.com/en/Pokemon/Products/Singles?idCategory=1&amp;idProduct=sv8-74", "CM")</f>
        <v>CM</v>
      </c>
      <c r="M61" s="23" t="b">
        <v>0</v>
      </c>
      <c r="N61" s="24" t="b">
        <v>0</v>
      </c>
      <c r="O61" s="25" t="str">
        <f>HYPERLINK("https://www.cardmarket.com/en/Pokemon/Products/Singles?idCategory=1&amp;idProduct=sv8-75", "CM")</f>
        <v>CM</v>
      </c>
    </row>
    <row r="62" ht="7.5" customHeight="1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</row>
    <row r="63" ht="18.75" customHeight="1">
      <c r="A63" s="18" t="s">
        <v>808</v>
      </c>
      <c r="B63" s="19" t="s">
        <v>2072</v>
      </c>
      <c r="C63" s="20"/>
      <c r="D63" s="18" t="s">
        <v>809</v>
      </c>
      <c r="E63" s="19" t="s">
        <v>1637</v>
      </c>
      <c r="F63" s="20"/>
      <c r="G63" s="18" t="s">
        <v>811</v>
      </c>
      <c r="H63" s="19" t="s">
        <v>2073</v>
      </c>
      <c r="I63" s="20"/>
      <c r="J63" s="18" t="s">
        <v>599</v>
      </c>
      <c r="K63" s="19" t="s">
        <v>2074</v>
      </c>
      <c r="L63" s="20"/>
      <c r="M63" s="18" t="s">
        <v>601</v>
      </c>
      <c r="N63" s="19" t="s">
        <v>2075</v>
      </c>
      <c r="O63" s="20"/>
    </row>
    <row r="64" ht="180.0" customHeight="1">
      <c r="A64" s="21" t="str">
        <f>IMAGE("https://assets.tcgdex.net/de/sv/sv08/076/low.jpg", 1)</f>
        <v/>
      </c>
      <c r="B64" s="22"/>
      <c r="C64" s="20"/>
      <c r="D64" s="21" t="str">
        <f>IMAGE("https://assets.tcgdex.net/de/sv/sv08/077/low.jpg", 1)</f>
        <v/>
      </c>
      <c r="E64" s="22"/>
      <c r="F64" s="20"/>
      <c r="G64" s="21" t="str">
        <f>IMAGE("https://assets.tcgdex.net/de/sv/sv08/078/low.jpg", 1)</f>
        <v/>
      </c>
      <c r="H64" s="22"/>
      <c r="I64" s="20"/>
      <c r="J64" s="21" t="str">
        <f>IMAGE("https://assets.tcgdex.net/de/sv/sv08/079/low.jpg", 1)</f>
        <v/>
      </c>
      <c r="K64" s="22"/>
      <c r="L64" s="20"/>
      <c r="M64" s="21" t="str">
        <f>IMAGE("https://assets.tcgdex.net/de/sv/sv08/080/low.jpg", 1)</f>
        <v/>
      </c>
      <c r="N64" s="22"/>
      <c r="O64" s="20"/>
    </row>
    <row r="65" ht="22.5" customHeight="1">
      <c r="A65" s="23" t="b">
        <v>0</v>
      </c>
      <c r="B65" s="24" t="b">
        <v>0</v>
      </c>
      <c r="C65" s="25" t="str">
        <f>HYPERLINK("https://www.cardmarket.com/en/Pokemon/Products/Singles?idCategory=1&amp;idProduct=sv8-76", "CM")</f>
        <v>CM</v>
      </c>
      <c r="D65" s="23" t="b">
        <v>0</v>
      </c>
      <c r="E65" s="24" t="b">
        <v>0</v>
      </c>
      <c r="F65" s="25" t="str">
        <f>HYPERLINK("https://www.cardmarket.com/en/Pokemon/Products/Singles?idCategory=1&amp;idProduct=sv8-77", "CM")</f>
        <v>CM</v>
      </c>
      <c r="G65" s="23" t="b">
        <v>0</v>
      </c>
      <c r="H65" s="24" t="b">
        <v>0</v>
      </c>
      <c r="I65" s="25" t="str">
        <f>HYPERLINK("https://www.cardmarket.com/en/Pokemon/Products/Singles?idCategory=1&amp;idProduct=sv8-78", "CM")</f>
        <v>CM</v>
      </c>
      <c r="J65" s="23" t="b">
        <v>0</v>
      </c>
      <c r="K65" s="24" t="b">
        <v>0</v>
      </c>
      <c r="L65" s="25" t="str">
        <f>HYPERLINK("https://www.cardmarket.com/en/Pokemon/Products/Singles?idCategory=1&amp;idProduct=sv8-79", "CM")</f>
        <v>CM</v>
      </c>
      <c r="M65" s="23" t="b">
        <v>0</v>
      </c>
      <c r="N65" s="24" t="b">
        <v>0</v>
      </c>
      <c r="O65" s="25" t="str">
        <f>HYPERLINK("https://www.cardmarket.com/en/Pokemon/Products/Singles?idCategory=1&amp;idProduct=sv8-80", "CM")</f>
        <v>CM</v>
      </c>
    </row>
    <row r="66" ht="7.5" customHeight="1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</row>
    <row r="67" ht="18.75" customHeight="1">
      <c r="A67" s="18" t="s">
        <v>603</v>
      </c>
      <c r="B67" s="19" t="s">
        <v>2076</v>
      </c>
      <c r="C67" s="20"/>
      <c r="D67" s="18" t="s">
        <v>604</v>
      </c>
      <c r="E67" s="19" t="s">
        <v>1638</v>
      </c>
      <c r="F67" s="20"/>
      <c r="G67" s="18" t="s">
        <v>606</v>
      </c>
      <c r="H67" s="19" t="s">
        <v>2077</v>
      </c>
      <c r="I67" s="20"/>
      <c r="J67" s="18" t="s">
        <v>608</v>
      </c>
      <c r="K67" s="19" t="s">
        <v>2078</v>
      </c>
      <c r="L67" s="20"/>
      <c r="M67" s="18" t="s">
        <v>609</v>
      </c>
      <c r="N67" s="19" t="s">
        <v>2079</v>
      </c>
      <c r="O67" s="20"/>
    </row>
    <row r="68" ht="180.0" customHeight="1">
      <c r="A68" s="21" t="str">
        <f>IMAGE("https://assets.tcgdex.net/de/sv/sv08/081/low.jpg", 1)</f>
        <v/>
      </c>
      <c r="B68" s="22"/>
      <c r="C68" s="20"/>
      <c r="D68" s="21" t="str">
        <f>IMAGE("https://assets.tcgdex.net/de/sv/sv08/082/low.jpg", 1)</f>
        <v/>
      </c>
      <c r="E68" s="22"/>
      <c r="F68" s="20"/>
      <c r="G68" s="21" t="str">
        <f>IMAGE("https://assets.tcgdex.net/de/sv/sv08/083/low.jpg", 1)</f>
        <v/>
      </c>
      <c r="H68" s="22"/>
      <c r="I68" s="20"/>
      <c r="J68" s="21" t="str">
        <f>IMAGE("https://assets.tcgdex.net/de/sv/sv08/084/low.jpg", 1)</f>
        <v/>
      </c>
      <c r="K68" s="22"/>
      <c r="L68" s="20"/>
      <c r="M68" s="21" t="str">
        <f>IMAGE("https://assets.tcgdex.net/de/sv/sv08/085/low.jpg", 1)</f>
        <v/>
      </c>
      <c r="N68" s="22"/>
      <c r="O68" s="20"/>
    </row>
    <row r="69" ht="22.5" customHeight="1">
      <c r="A69" s="23" t="b">
        <v>0</v>
      </c>
      <c r="B69" s="24" t="b">
        <v>0</v>
      </c>
      <c r="C69" s="25" t="str">
        <f>HYPERLINK("https://www.cardmarket.com/en/Pokemon/Products/Singles?idCategory=1&amp;idProduct=sv8-81", "CM")</f>
        <v>CM</v>
      </c>
      <c r="D69" s="23" t="b">
        <v>0</v>
      </c>
      <c r="E69" s="24" t="b">
        <v>0</v>
      </c>
      <c r="F69" s="25" t="str">
        <f>HYPERLINK("https://www.cardmarket.com/en/Pokemon/Products/Singles?idCategory=1&amp;idProduct=sv8-82", "CM")</f>
        <v>CM</v>
      </c>
      <c r="G69" s="23" t="b">
        <v>0</v>
      </c>
      <c r="H69" s="24" t="b">
        <v>0</v>
      </c>
      <c r="I69" s="25" t="str">
        <f>HYPERLINK("https://www.cardmarket.com/en/Pokemon/Products/Singles?idCategory=1&amp;idProduct=sv8-83", "CM")</f>
        <v>CM</v>
      </c>
      <c r="J69" s="23" t="b">
        <v>0</v>
      </c>
      <c r="K69" s="24" t="b">
        <v>0</v>
      </c>
      <c r="L69" s="25" t="str">
        <f>HYPERLINK("https://www.cardmarket.com/en/Pokemon/Products/Singles?idCategory=1&amp;idProduct=sv8-84", "CM")</f>
        <v>CM</v>
      </c>
      <c r="M69" s="23" t="b">
        <v>0</v>
      </c>
      <c r="N69" s="24" t="b">
        <v>0</v>
      </c>
      <c r="O69" s="25" t="str">
        <f>HYPERLINK("https://www.cardmarket.com/en/Pokemon/Products/Singles?idCategory=1&amp;idProduct=sv8-85", "CM")</f>
        <v>CM</v>
      </c>
    </row>
    <row r="70" ht="7.5" customHeight="1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</row>
    <row r="71" ht="18.75" customHeight="1">
      <c r="A71" s="18" t="s">
        <v>611</v>
      </c>
      <c r="B71" s="19" t="s">
        <v>2080</v>
      </c>
      <c r="C71" s="20"/>
      <c r="D71" s="18" t="s">
        <v>613</v>
      </c>
      <c r="E71" s="19" t="s">
        <v>1218</v>
      </c>
      <c r="F71" s="20"/>
      <c r="G71" s="18" t="s">
        <v>615</v>
      </c>
      <c r="H71" s="19" t="s">
        <v>2081</v>
      </c>
      <c r="I71" s="20"/>
      <c r="J71" s="18" t="s">
        <v>617</v>
      </c>
      <c r="K71" s="19" t="s">
        <v>1633</v>
      </c>
      <c r="L71" s="20"/>
      <c r="M71" s="18" t="s">
        <v>619</v>
      </c>
      <c r="N71" s="19" t="s">
        <v>1902</v>
      </c>
      <c r="O71" s="20"/>
    </row>
    <row r="72" ht="180.0" customHeight="1">
      <c r="A72" s="21" t="str">
        <f>IMAGE("https://assets.tcgdex.net/de/sv/sv08/086/low.jpg", 1)</f>
        <v/>
      </c>
      <c r="B72" s="22"/>
      <c r="C72" s="20"/>
      <c r="D72" s="21" t="str">
        <f>IMAGE("https://assets.tcgdex.net/de/sv/sv08/087/low.jpg", 1)</f>
        <v/>
      </c>
      <c r="E72" s="22"/>
      <c r="F72" s="20"/>
      <c r="G72" s="21" t="str">
        <f>IMAGE("https://assets.tcgdex.net/de/sv/sv08/088/low.jpg", 1)</f>
        <v/>
      </c>
      <c r="H72" s="22"/>
      <c r="I72" s="20"/>
      <c r="J72" s="21" t="str">
        <f>IMAGE("https://assets.tcgdex.net/de/sv/sv08/089/low.jpg", 1)</f>
        <v/>
      </c>
      <c r="K72" s="22"/>
      <c r="L72" s="20"/>
      <c r="M72" s="21" t="str">
        <f>IMAGE("https://assets.tcgdex.net/de/sv/sv08/090/low.jpg", 1)</f>
        <v/>
      </c>
      <c r="N72" s="22"/>
      <c r="O72" s="20"/>
    </row>
    <row r="73" ht="22.5" customHeight="1">
      <c r="A73" s="23" t="b">
        <v>0</v>
      </c>
      <c r="B73" s="24" t="b">
        <v>0</v>
      </c>
      <c r="C73" s="25" t="str">
        <f>HYPERLINK("https://www.cardmarket.com/en/Pokemon/Products/Singles?idCategory=1&amp;idProduct=sv8-86", "CM")</f>
        <v>CM</v>
      </c>
      <c r="D73" s="23" t="b">
        <v>0</v>
      </c>
      <c r="E73" s="24" t="b">
        <v>0</v>
      </c>
      <c r="F73" s="25" t="str">
        <f>HYPERLINK("https://www.cardmarket.com/en/Pokemon/Products/Singles?idCategory=1&amp;idProduct=sv8-87", "CM")</f>
        <v>CM</v>
      </c>
      <c r="G73" s="23" t="b">
        <v>0</v>
      </c>
      <c r="H73" s="24" t="b">
        <v>0</v>
      </c>
      <c r="I73" s="25" t="str">
        <f>HYPERLINK("https://www.cardmarket.com/en/Pokemon/Products/Singles?idCategory=1&amp;idProduct=sv8-88", "CM")</f>
        <v>CM</v>
      </c>
      <c r="J73" s="23" t="b">
        <v>0</v>
      </c>
      <c r="K73" s="24" t="b">
        <v>0</v>
      </c>
      <c r="L73" s="25" t="str">
        <f>HYPERLINK("https://www.cardmarket.com/en/Pokemon/Products/Singles?idCategory=1&amp;idProduct=sv8-89", "CM")</f>
        <v>CM</v>
      </c>
      <c r="M73" s="23" t="b">
        <v>0</v>
      </c>
      <c r="N73" s="24" t="b">
        <v>0</v>
      </c>
      <c r="O73" s="25" t="str">
        <f>HYPERLINK("https://www.cardmarket.com/en/Pokemon/Products/Singles?idCategory=1&amp;idProduct=sv8-90", "CM")</f>
        <v>CM</v>
      </c>
    </row>
    <row r="74" ht="7.5" customHeight="1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</row>
    <row r="75" ht="18.75" customHeight="1">
      <c r="A75" s="18" t="s">
        <v>621</v>
      </c>
      <c r="B75" s="19" t="s">
        <v>2082</v>
      </c>
      <c r="C75" s="20"/>
      <c r="D75" s="18" t="s">
        <v>623</v>
      </c>
      <c r="E75" s="19" t="s">
        <v>992</v>
      </c>
      <c r="F75" s="20"/>
      <c r="G75" s="18" t="s">
        <v>625</v>
      </c>
      <c r="H75" s="19" t="s">
        <v>690</v>
      </c>
      <c r="I75" s="20"/>
      <c r="J75" s="18" t="s">
        <v>627</v>
      </c>
      <c r="K75" s="19" t="s">
        <v>1220</v>
      </c>
      <c r="L75" s="20"/>
      <c r="M75" s="18" t="s">
        <v>812</v>
      </c>
      <c r="N75" s="19" t="s">
        <v>749</v>
      </c>
      <c r="O75" s="20"/>
    </row>
    <row r="76" ht="180.0" customHeight="1">
      <c r="A76" s="21" t="str">
        <f>IMAGE("https://assets.tcgdex.net/de/sv/sv08/091/low.jpg", 1)</f>
        <v/>
      </c>
      <c r="B76" s="22"/>
      <c r="C76" s="20"/>
      <c r="D76" s="21" t="str">
        <f>IMAGE("https://assets.tcgdex.net/de/sv/sv08/092/low.jpg", 1)</f>
        <v/>
      </c>
      <c r="E76" s="22"/>
      <c r="F76" s="20"/>
      <c r="G76" s="21" t="str">
        <f>IMAGE("https://assets.tcgdex.net/de/sv/sv08/093/low.jpg", 1)</f>
        <v/>
      </c>
      <c r="H76" s="22"/>
      <c r="I76" s="20"/>
      <c r="J76" s="21" t="str">
        <f>IMAGE("https://assets.tcgdex.net/de/sv/sv08/094/low.jpg", 1)</f>
        <v/>
      </c>
      <c r="K76" s="22"/>
      <c r="L76" s="20"/>
      <c r="M76" s="21" t="str">
        <f>IMAGE("https://assets.tcgdex.net/de/sv/sv08/095/low.jpg", 1)</f>
        <v/>
      </c>
      <c r="N76" s="22"/>
      <c r="O76" s="20"/>
    </row>
    <row r="77" ht="22.5" customHeight="1">
      <c r="A77" s="23" t="b">
        <v>0</v>
      </c>
      <c r="B77" s="24" t="b">
        <v>0</v>
      </c>
      <c r="C77" s="25" t="str">
        <f>HYPERLINK("https://www.cardmarket.com/en/Pokemon/Products/Singles?idCategory=1&amp;idProduct=sv8-91", "CM")</f>
        <v>CM</v>
      </c>
      <c r="D77" s="23" t="b">
        <v>0</v>
      </c>
      <c r="E77" s="24" t="b">
        <v>0</v>
      </c>
      <c r="F77" s="25" t="str">
        <f>HYPERLINK("https://www.cardmarket.com/en/Pokemon/Products/Singles?idCategory=1&amp;idProduct=sv8-92", "CM")</f>
        <v>CM</v>
      </c>
      <c r="G77" s="23" t="b">
        <v>0</v>
      </c>
      <c r="H77" s="24" t="b">
        <v>0</v>
      </c>
      <c r="I77" s="25" t="str">
        <f>HYPERLINK("https://www.cardmarket.com/en/Pokemon/Products/Singles?idCategory=1&amp;idProduct=sv8-93", "CM")</f>
        <v>CM</v>
      </c>
      <c r="J77" s="23" t="b">
        <v>0</v>
      </c>
      <c r="K77" s="24" t="b">
        <v>0</v>
      </c>
      <c r="L77" s="25" t="str">
        <f>HYPERLINK("https://www.cardmarket.com/en/Pokemon/Products/Singles?idCategory=1&amp;idProduct=sv8-94", "CM")</f>
        <v>CM</v>
      </c>
      <c r="M77" s="23" t="b">
        <v>0</v>
      </c>
      <c r="N77" s="24" t="b">
        <v>0</v>
      </c>
      <c r="O77" s="25" t="str">
        <f>HYPERLINK("https://www.cardmarket.com/en/Pokemon/Products/Singles?idCategory=1&amp;idProduct=sv8-95", "CM")</f>
        <v>CM</v>
      </c>
    </row>
    <row r="78" ht="7.5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</row>
    <row r="79" ht="18.75" customHeight="1">
      <c r="A79" s="18" t="s">
        <v>813</v>
      </c>
      <c r="B79" s="19" t="s">
        <v>816</v>
      </c>
      <c r="C79" s="20"/>
      <c r="D79" s="18" t="s">
        <v>815</v>
      </c>
      <c r="E79" s="19" t="s">
        <v>1643</v>
      </c>
      <c r="F79" s="20"/>
      <c r="G79" s="18" t="s">
        <v>817</v>
      </c>
      <c r="H79" s="19" t="s">
        <v>1281</v>
      </c>
      <c r="I79" s="20"/>
      <c r="J79" s="18" t="s">
        <v>819</v>
      </c>
      <c r="K79" s="19" t="s">
        <v>1282</v>
      </c>
      <c r="L79" s="20"/>
      <c r="M79" s="18" t="s">
        <v>821</v>
      </c>
      <c r="N79" s="19" t="s">
        <v>1283</v>
      </c>
      <c r="O79" s="20"/>
    </row>
    <row r="80" ht="180.0" customHeight="1">
      <c r="A80" s="21" t="str">
        <f>IMAGE("https://assets.tcgdex.net/de/sv/sv08/096/low.jpg", 1)</f>
        <v/>
      </c>
      <c r="B80" s="22"/>
      <c r="C80" s="20"/>
      <c r="D80" s="21" t="str">
        <f>IMAGE("https://assets.tcgdex.net/de/sv/sv08/097/low.jpg", 1)</f>
        <v/>
      </c>
      <c r="E80" s="22"/>
      <c r="F80" s="20"/>
      <c r="G80" s="21" t="str">
        <f>IMAGE("https://assets.tcgdex.net/de/sv/sv08/098/low.jpg", 1)</f>
        <v/>
      </c>
      <c r="H80" s="22"/>
      <c r="I80" s="20"/>
      <c r="J80" s="21" t="str">
        <f>IMAGE("https://assets.tcgdex.net/de/sv/sv08/099/low.jpg", 1)</f>
        <v/>
      </c>
      <c r="K80" s="22"/>
      <c r="L80" s="20"/>
      <c r="M80" s="21" t="str">
        <f>IMAGE("https://assets.tcgdex.net/de/sv/sv08/100/low.jpg", 1)</f>
        <v/>
      </c>
      <c r="N80" s="22"/>
      <c r="O80" s="20"/>
    </row>
    <row r="81" ht="22.5" customHeight="1">
      <c r="A81" s="23" t="b">
        <v>0</v>
      </c>
      <c r="B81" s="24" t="b">
        <v>0</v>
      </c>
      <c r="C81" s="25" t="str">
        <f>HYPERLINK("https://www.cardmarket.com/en/Pokemon/Products/Singles?idCategory=1&amp;idProduct=sv8-96", "CM")</f>
        <v>CM</v>
      </c>
      <c r="D81" s="23" t="b">
        <v>0</v>
      </c>
      <c r="E81" s="24" t="b">
        <v>0</v>
      </c>
      <c r="F81" s="25" t="str">
        <f>HYPERLINK("https://www.cardmarket.com/en/Pokemon/Products/Singles?idCategory=1&amp;idProduct=sv8-97", "CM")</f>
        <v>CM</v>
      </c>
      <c r="G81" s="23" t="b">
        <v>0</v>
      </c>
      <c r="H81" s="24" t="b">
        <v>0</v>
      </c>
      <c r="I81" s="25" t="str">
        <f>HYPERLINK("https://www.cardmarket.com/en/Pokemon/Products/Singles?idCategory=1&amp;idProduct=sv8-98", "CM")</f>
        <v>CM</v>
      </c>
      <c r="J81" s="23" t="b">
        <v>0</v>
      </c>
      <c r="K81" s="24" t="b">
        <v>0</v>
      </c>
      <c r="L81" s="25" t="str">
        <f>HYPERLINK("https://www.cardmarket.com/en/Pokemon/Products/Singles?idCategory=1&amp;idProduct=sv8-99", "CM")</f>
        <v>CM</v>
      </c>
      <c r="M81" s="23" t="b">
        <v>0</v>
      </c>
      <c r="N81" s="24" t="b">
        <v>0</v>
      </c>
      <c r="O81" s="25" t="str">
        <f>HYPERLINK("https://www.cardmarket.com/en/Pokemon/Products/Singles?idCategory=1&amp;idProduct=sv8-100", "CM")</f>
        <v>CM</v>
      </c>
    </row>
    <row r="82" ht="7.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</row>
    <row r="83" ht="18.75" customHeight="1">
      <c r="A83" s="18" t="s">
        <v>629</v>
      </c>
      <c r="B83" s="19" t="s">
        <v>1760</v>
      </c>
      <c r="C83" s="20"/>
      <c r="D83" s="18" t="s">
        <v>630</v>
      </c>
      <c r="E83" s="19" t="s">
        <v>1740</v>
      </c>
      <c r="F83" s="20"/>
      <c r="G83" s="18" t="s">
        <v>632</v>
      </c>
      <c r="H83" s="19" t="s">
        <v>1741</v>
      </c>
      <c r="I83" s="20"/>
      <c r="J83" s="18" t="s">
        <v>634</v>
      </c>
      <c r="K83" s="19" t="s">
        <v>2083</v>
      </c>
      <c r="L83" s="20"/>
      <c r="M83" s="18" t="s">
        <v>636</v>
      </c>
      <c r="N83" s="19" t="s">
        <v>2084</v>
      </c>
      <c r="O83" s="20"/>
    </row>
    <row r="84" ht="180.0" customHeight="1">
      <c r="A84" s="21" t="str">
        <f>IMAGE("https://assets.tcgdex.net/de/sv/sv08/101/low.jpg", 1)</f>
        <v/>
      </c>
      <c r="B84" s="22"/>
      <c r="C84" s="20"/>
      <c r="D84" s="21" t="str">
        <f>IMAGE("https://assets.tcgdex.net/de/sv/sv08/102/low.jpg", 1)</f>
        <v/>
      </c>
      <c r="E84" s="22"/>
      <c r="F84" s="20"/>
      <c r="G84" s="21" t="str">
        <f>IMAGE("https://assets.tcgdex.net/de/sv/sv08/103/low.jpg", 1)</f>
        <v/>
      </c>
      <c r="H84" s="22"/>
      <c r="I84" s="20"/>
      <c r="J84" s="21" t="str">
        <f>IMAGE("https://assets.tcgdex.net/de/sv/sv08/104/low.jpg", 1)</f>
        <v/>
      </c>
      <c r="K84" s="22"/>
      <c r="L84" s="20"/>
      <c r="M84" s="21" t="str">
        <f>IMAGE("https://assets.tcgdex.net/de/sv/sv08/105/low.jpg", 1)</f>
        <v/>
      </c>
      <c r="N84" s="22"/>
      <c r="O84" s="20"/>
    </row>
    <row r="85" ht="22.5" customHeight="1">
      <c r="A85" s="23" t="b">
        <v>0</v>
      </c>
      <c r="B85" s="24" t="b">
        <v>0</v>
      </c>
      <c r="C85" s="25" t="str">
        <f>HYPERLINK("https://www.cardmarket.com/en/Pokemon/Products/Singles?idCategory=1&amp;idProduct=sv8-101", "CM")</f>
        <v>CM</v>
      </c>
      <c r="D85" s="23" t="b">
        <v>0</v>
      </c>
      <c r="E85" s="24" t="b">
        <v>0</v>
      </c>
      <c r="F85" s="25" t="str">
        <f>HYPERLINK("https://www.cardmarket.com/en/Pokemon/Products/Singles?idCategory=1&amp;idProduct=sv8-102", "CM")</f>
        <v>CM</v>
      </c>
      <c r="G85" s="23" t="b">
        <v>0</v>
      </c>
      <c r="H85" s="24" t="b">
        <v>0</v>
      </c>
      <c r="I85" s="25" t="str">
        <f>HYPERLINK("https://www.cardmarket.com/en/Pokemon/Products/Singles?idCategory=1&amp;idProduct=sv8-103", "CM")</f>
        <v>CM</v>
      </c>
      <c r="J85" s="23" t="b">
        <v>0</v>
      </c>
      <c r="K85" s="24" t="b">
        <v>0</v>
      </c>
      <c r="L85" s="25" t="str">
        <f>HYPERLINK("https://www.cardmarket.com/en/Pokemon/Products/Singles?idCategory=1&amp;idProduct=sv8-104", "CM")</f>
        <v>CM</v>
      </c>
      <c r="M85" s="23" t="b">
        <v>0</v>
      </c>
      <c r="N85" s="24" t="b">
        <v>0</v>
      </c>
      <c r="O85" s="25" t="str">
        <f>HYPERLINK("https://www.cardmarket.com/en/Pokemon/Products/Singles?idCategory=1&amp;idProduct=sv8-105", "CM")</f>
        <v>CM</v>
      </c>
    </row>
    <row r="86" ht="7.5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</row>
    <row r="87" ht="18.75" customHeight="1">
      <c r="A87" s="18" t="s">
        <v>638</v>
      </c>
      <c r="B87" s="19" t="s">
        <v>2085</v>
      </c>
      <c r="C87" s="20"/>
      <c r="D87" s="18" t="s">
        <v>640</v>
      </c>
      <c r="E87" s="19" t="s">
        <v>2086</v>
      </c>
      <c r="F87" s="20"/>
      <c r="G87" s="18" t="s">
        <v>642</v>
      </c>
      <c r="H87" s="19" t="s">
        <v>1424</v>
      </c>
      <c r="I87" s="20"/>
      <c r="J87" s="18" t="s">
        <v>643</v>
      </c>
      <c r="K87" s="19" t="s">
        <v>1441</v>
      </c>
      <c r="L87" s="20"/>
      <c r="M87" s="18" t="s">
        <v>645</v>
      </c>
      <c r="N87" s="19" t="s">
        <v>2087</v>
      </c>
      <c r="O87" s="20"/>
    </row>
    <row r="88" ht="180.0" customHeight="1">
      <c r="A88" s="21" t="str">
        <f>IMAGE("https://assets.tcgdex.net/de/sv/sv08/106/low.jpg", 1)</f>
        <v/>
      </c>
      <c r="B88" s="22"/>
      <c r="C88" s="20"/>
      <c r="D88" s="21" t="str">
        <f>IMAGE("https://assets.tcgdex.net/de/sv/sv08/107/low.jpg", 1)</f>
        <v/>
      </c>
      <c r="E88" s="22"/>
      <c r="F88" s="20"/>
      <c r="G88" s="21" t="str">
        <f>IMAGE("https://assets.tcgdex.net/de/sv/sv08/108/low.jpg", 1)</f>
        <v/>
      </c>
      <c r="H88" s="22"/>
      <c r="I88" s="20"/>
      <c r="J88" s="21" t="str">
        <f>IMAGE("https://assets.tcgdex.net/de/sv/sv08/109/low.jpg", 1)</f>
        <v/>
      </c>
      <c r="K88" s="22"/>
      <c r="L88" s="20"/>
      <c r="M88" s="21" t="str">
        <f>IMAGE("https://assets.tcgdex.net/de/sv/sv08/110/low.jpg", 1)</f>
        <v/>
      </c>
      <c r="N88" s="22"/>
      <c r="O88" s="20"/>
    </row>
    <row r="89" ht="22.5" customHeight="1">
      <c r="A89" s="23" t="b">
        <v>0</v>
      </c>
      <c r="B89" s="24" t="b">
        <v>0</v>
      </c>
      <c r="C89" s="25" t="str">
        <f>HYPERLINK("https://www.cardmarket.com/en/Pokemon/Products/Singles?idCategory=1&amp;idProduct=sv8-106", "CM")</f>
        <v>CM</v>
      </c>
      <c r="D89" s="23" t="b">
        <v>0</v>
      </c>
      <c r="E89" s="24" t="b">
        <v>0</v>
      </c>
      <c r="F89" s="25" t="str">
        <f>HYPERLINK("https://www.cardmarket.com/en/Pokemon/Products/Singles?idCategory=1&amp;idProduct=sv8-107", "CM")</f>
        <v>CM</v>
      </c>
      <c r="G89" s="23" t="b">
        <v>0</v>
      </c>
      <c r="H89" s="24" t="b">
        <v>0</v>
      </c>
      <c r="I89" s="25" t="str">
        <f>HYPERLINK("https://www.cardmarket.com/en/Pokemon/Products/Singles?idCategory=1&amp;idProduct=sv8-108", "CM")</f>
        <v>CM</v>
      </c>
      <c r="J89" s="23" t="b">
        <v>0</v>
      </c>
      <c r="K89" s="24" t="b">
        <v>0</v>
      </c>
      <c r="L89" s="25" t="str">
        <f>HYPERLINK("https://www.cardmarket.com/en/Pokemon/Products/Singles?idCategory=1&amp;idProduct=sv8-109", "CM")</f>
        <v>CM</v>
      </c>
      <c r="M89" s="23" t="b">
        <v>0</v>
      </c>
      <c r="N89" s="24" t="b">
        <v>0</v>
      </c>
      <c r="O89" s="25" t="str">
        <f>HYPERLINK("https://www.cardmarket.com/en/Pokemon/Products/Singles?idCategory=1&amp;idProduct=sv8-110", "CM")</f>
        <v>CM</v>
      </c>
    </row>
    <row r="90" ht="7.5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</row>
    <row r="91" ht="18.75" customHeight="1">
      <c r="A91" s="18" t="s">
        <v>647</v>
      </c>
      <c r="B91" s="19" t="s">
        <v>2088</v>
      </c>
      <c r="C91" s="20"/>
      <c r="D91" s="18" t="s">
        <v>649</v>
      </c>
      <c r="E91" s="19" t="s">
        <v>1742</v>
      </c>
      <c r="F91" s="20"/>
      <c r="G91" s="18" t="s">
        <v>651</v>
      </c>
      <c r="H91" s="19" t="s">
        <v>1743</v>
      </c>
      <c r="I91" s="20"/>
      <c r="J91" s="18" t="s">
        <v>823</v>
      </c>
      <c r="K91" s="19" t="s">
        <v>1429</v>
      </c>
      <c r="L91" s="20"/>
      <c r="M91" s="18" t="s">
        <v>653</v>
      </c>
      <c r="N91" s="19" t="s">
        <v>1912</v>
      </c>
      <c r="O91" s="20"/>
    </row>
    <row r="92" ht="180.0" customHeight="1">
      <c r="A92" s="21" t="str">
        <f>IMAGE("https://assets.tcgdex.net/de/sv/sv08/111/low.jpg", 1)</f>
        <v/>
      </c>
      <c r="B92" s="22"/>
      <c r="C92" s="20"/>
      <c r="D92" s="21" t="str">
        <f>IMAGE("https://assets.tcgdex.net/de/sv/sv08/112/low.jpg", 1)</f>
        <v/>
      </c>
      <c r="E92" s="22"/>
      <c r="F92" s="20"/>
      <c r="G92" s="21" t="str">
        <f>IMAGE("https://assets.tcgdex.net/de/sv/sv08/113/low.jpg", 1)</f>
        <v/>
      </c>
      <c r="H92" s="22"/>
      <c r="I92" s="20"/>
      <c r="J92" s="21" t="str">
        <f>IMAGE("https://assets.tcgdex.net/de/sv/sv08/114/low.jpg", 1)</f>
        <v/>
      </c>
      <c r="K92" s="22"/>
      <c r="L92" s="20"/>
      <c r="M92" s="21" t="str">
        <f>IMAGE("https://assets.tcgdex.net/de/sv/sv08/115/low.jpg", 1)</f>
        <v/>
      </c>
      <c r="N92" s="22"/>
      <c r="O92" s="20"/>
    </row>
    <row r="93" ht="22.5" customHeight="1">
      <c r="A93" s="23" t="b">
        <v>0</v>
      </c>
      <c r="B93" s="24" t="b">
        <v>0</v>
      </c>
      <c r="C93" s="25" t="str">
        <f>HYPERLINK("https://www.cardmarket.com/en/Pokemon/Products/Singles?idCategory=1&amp;idProduct=sv8-111", "CM")</f>
        <v>CM</v>
      </c>
      <c r="D93" s="23" t="b">
        <v>0</v>
      </c>
      <c r="E93" s="24" t="b">
        <v>0</v>
      </c>
      <c r="F93" s="25" t="str">
        <f>HYPERLINK("https://www.cardmarket.com/en/Pokemon/Products/Singles?idCategory=1&amp;idProduct=sv8-112", "CM")</f>
        <v>CM</v>
      </c>
      <c r="G93" s="23" t="b">
        <v>0</v>
      </c>
      <c r="H93" s="24" t="b">
        <v>0</v>
      </c>
      <c r="I93" s="25" t="str">
        <f>HYPERLINK("https://www.cardmarket.com/en/Pokemon/Products/Singles?idCategory=1&amp;idProduct=sv8-113", "CM")</f>
        <v>CM</v>
      </c>
      <c r="J93" s="23" t="b">
        <v>0</v>
      </c>
      <c r="K93" s="24" t="b">
        <v>0</v>
      </c>
      <c r="L93" s="25" t="str">
        <f>HYPERLINK("https://www.cardmarket.com/en/Pokemon/Products/Singles?idCategory=1&amp;idProduct=sv8-114", "CM")</f>
        <v>CM</v>
      </c>
      <c r="M93" s="23" t="b">
        <v>0</v>
      </c>
      <c r="N93" s="24" t="b">
        <v>0</v>
      </c>
      <c r="O93" s="25" t="str">
        <f>HYPERLINK("https://www.cardmarket.com/en/Pokemon/Products/Singles?idCategory=1&amp;idProduct=sv8-115", "CM")</f>
        <v>CM</v>
      </c>
    </row>
    <row r="94" ht="7.5" customHeigh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</row>
    <row r="95" ht="18.75" customHeight="1">
      <c r="A95" s="18" t="s">
        <v>825</v>
      </c>
      <c r="B95" s="19" t="s">
        <v>622</v>
      </c>
      <c r="C95" s="20"/>
      <c r="D95" s="18" t="s">
        <v>655</v>
      </c>
      <c r="E95" s="19" t="s">
        <v>2089</v>
      </c>
      <c r="F95" s="20"/>
      <c r="G95" s="18" t="s">
        <v>827</v>
      </c>
      <c r="H95" s="19" t="s">
        <v>2090</v>
      </c>
      <c r="I95" s="20"/>
      <c r="J95" s="18" t="s">
        <v>657</v>
      </c>
      <c r="K95" s="19" t="s">
        <v>2091</v>
      </c>
      <c r="L95" s="20"/>
      <c r="M95" s="18" t="s">
        <v>659</v>
      </c>
      <c r="N95" s="19" t="s">
        <v>820</v>
      </c>
      <c r="O95" s="20"/>
    </row>
    <row r="96" ht="180.0" customHeight="1">
      <c r="A96" s="21" t="str">
        <f>IMAGE("https://assets.tcgdex.net/de/sv/sv08/116/low.jpg", 1)</f>
        <v/>
      </c>
      <c r="B96" s="22"/>
      <c r="C96" s="20"/>
      <c r="D96" s="21" t="str">
        <f>IMAGE("https://assets.tcgdex.net/de/sv/sv08/117/low.jpg", 1)</f>
        <v/>
      </c>
      <c r="E96" s="22"/>
      <c r="F96" s="20"/>
      <c r="G96" s="21" t="str">
        <f>IMAGE("https://assets.tcgdex.net/de/sv/sv08/118/low.jpg", 1)</f>
        <v/>
      </c>
      <c r="H96" s="22"/>
      <c r="I96" s="20"/>
      <c r="J96" s="21" t="str">
        <f>IMAGE("https://assets.tcgdex.net/de/sv/sv08/119/low.jpg", 1)</f>
        <v/>
      </c>
      <c r="K96" s="22"/>
      <c r="L96" s="20"/>
      <c r="M96" s="21" t="str">
        <f>IMAGE("https://assets.tcgdex.net/de/sv/sv08/120/low.jpg", 1)</f>
        <v/>
      </c>
      <c r="N96" s="22"/>
      <c r="O96" s="20"/>
    </row>
    <row r="97" ht="22.5" customHeight="1">
      <c r="A97" s="23" t="b">
        <v>0</v>
      </c>
      <c r="B97" s="24" t="b">
        <v>0</v>
      </c>
      <c r="C97" s="25" t="str">
        <f>HYPERLINK("https://www.cardmarket.com/en/Pokemon/Products/Singles?idCategory=1&amp;idProduct=sv8-116", "CM")</f>
        <v>CM</v>
      </c>
      <c r="D97" s="23" t="b">
        <v>0</v>
      </c>
      <c r="E97" s="24" t="b">
        <v>0</v>
      </c>
      <c r="F97" s="25" t="str">
        <f>HYPERLINK("https://www.cardmarket.com/en/Pokemon/Products/Singles?idCategory=1&amp;idProduct=sv8-117", "CM")</f>
        <v>CM</v>
      </c>
      <c r="G97" s="23" t="b">
        <v>0</v>
      </c>
      <c r="H97" s="24" t="b">
        <v>0</v>
      </c>
      <c r="I97" s="25" t="str">
        <f>HYPERLINK("https://www.cardmarket.com/en/Pokemon/Products/Singles?idCategory=1&amp;idProduct=sv8-118", "CM")</f>
        <v>CM</v>
      </c>
      <c r="J97" s="23" t="b">
        <v>0</v>
      </c>
      <c r="K97" s="24" t="b">
        <v>0</v>
      </c>
      <c r="L97" s="25" t="str">
        <f>HYPERLINK("https://www.cardmarket.com/en/Pokemon/Products/Singles?idCategory=1&amp;idProduct=sv8-119", "CM")</f>
        <v>CM</v>
      </c>
      <c r="M97" s="23" t="b">
        <v>0</v>
      </c>
      <c r="N97" s="24" t="b">
        <v>0</v>
      </c>
      <c r="O97" s="25" t="str">
        <f>HYPERLINK("https://www.cardmarket.com/en/Pokemon/Products/Singles?idCategory=1&amp;idProduct=sv8-120", "CM")</f>
        <v>CM</v>
      </c>
    </row>
    <row r="98" ht="7.5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</row>
    <row r="99" ht="18.75" customHeight="1">
      <c r="A99" s="18" t="s">
        <v>829</v>
      </c>
      <c r="B99" s="19" t="s">
        <v>1766</v>
      </c>
      <c r="C99" s="20"/>
      <c r="D99" s="18" t="s">
        <v>830</v>
      </c>
      <c r="E99" s="19" t="s">
        <v>2092</v>
      </c>
      <c r="F99" s="20"/>
      <c r="G99" s="18" t="s">
        <v>831</v>
      </c>
      <c r="H99" s="19" t="s">
        <v>2093</v>
      </c>
      <c r="I99" s="20"/>
      <c r="J99" s="18" t="s">
        <v>833</v>
      </c>
      <c r="K99" s="19" t="s">
        <v>1437</v>
      </c>
      <c r="L99" s="20"/>
      <c r="M99" s="18" t="s">
        <v>661</v>
      </c>
      <c r="N99" s="19" t="s">
        <v>2094</v>
      </c>
      <c r="O99" s="20"/>
    </row>
    <row r="100" ht="180.0" customHeight="1">
      <c r="A100" s="21" t="str">
        <f>IMAGE("https://assets.tcgdex.net/de/sv/sv08/121/low.jpg", 1)</f>
        <v/>
      </c>
      <c r="B100" s="22"/>
      <c r="C100" s="20"/>
      <c r="D100" s="21" t="str">
        <f>IMAGE("https://assets.tcgdex.net/de/sv/sv08/122/low.jpg", 1)</f>
        <v/>
      </c>
      <c r="E100" s="22"/>
      <c r="F100" s="20"/>
      <c r="G100" s="21" t="str">
        <f>IMAGE("https://assets.tcgdex.net/de/sv/sv08/123/low.jpg", 1)</f>
        <v/>
      </c>
      <c r="H100" s="22"/>
      <c r="I100" s="20"/>
      <c r="J100" s="21" t="str">
        <f>IMAGE("https://assets.tcgdex.net/de/sv/sv08/124/low.jpg", 1)</f>
        <v/>
      </c>
      <c r="K100" s="22"/>
      <c r="L100" s="20"/>
      <c r="M100" s="21" t="str">
        <f>IMAGE("https://assets.tcgdex.net/de/sv/sv08/125/low.jpg", 1)</f>
        <v/>
      </c>
      <c r="N100" s="22"/>
      <c r="O100" s="20"/>
    </row>
    <row r="101" ht="22.5" customHeight="1">
      <c r="A101" s="23" t="b">
        <v>0</v>
      </c>
      <c r="B101" s="24" t="b">
        <v>0</v>
      </c>
      <c r="C101" s="25" t="str">
        <f>HYPERLINK("https://www.cardmarket.com/en/Pokemon/Products/Singles?idCategory=1&amp;idProduct=sv8-121", "CM")</f>
        <v>CM</v>
      </c>
      <c r="D101" s="23" t="b">
        <v>0</v>
      </c>
      <c r="E101" s="24" t="b">
        <v>0</v>
      </c>
      <c r="F101" s="25" t="str">
        <f>HYPERLINK("https://www.cardmarket.com/en/Pokemon/Products/Singles?idCategory=1&amp;idProduct=sv8-122", "CM")</f>
        <v>CM</v>
      </c>
      <c r="G101" s="23" t="b">
        <v>0</v>
      </c>
      <c r="H101" s="24" t="b">
        <v>0</v>
      </c>
      <c r="I101" s="25" t="str">
        <f>HYPERLINK("https://www.cardmarket.com/en/Pokemon/Products/Singles?idCategory=1&amp;idProduct=sv8-123", "CM")</f>
        <v>CM</v>
      </c>
      <c r="J101" s="23" t="b">
        <v>0</v>
      </c>
      <c r="K101" s="24" t="b">
        <v>0</v>
      </c>
      <c r="L101" s="25" t="str">
        <f>HYPERLINK("https://www.cardmarket.com/en/Pokemon/Products/Singles?idCategory=1&amp;idProduct=sv8-124", "CM")</f>
        <v>CM</v>
      </c>
      <c r="M101" s="23" t="b">
        <v>0</v>
      </c>
      <c r="N101" s="24" t="b">
        <v>0</v>
      </c>
      <c r="O101" s="25" t="str">
        <f>HYPERLINK("https://www.cardmarket.com/en/Pokemon/Products/Singles?idCategory=1&amp;idProduct=sv8-125", "CM")</f>
        <v>CM</v>
      </c>
    </row>
    <row r="102" ht="7.5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</row>
    <row r="103" ht="18.75" customHeight="1">
      <c r="A103" s="18" t="s">
        <v>835</v>
      </c>
      <c r="B103" s="19" t="s">
        <v>1438</v>
      </c>
      <c r="C103" s="20"/>
      <c r="D103" s="18" t="s">
        <v>662</v>
      </c>
      <c r="E103" s="19" t="s">
        <v>1439</v>
      </c>
      <c r="F103" s="20"/>
      <c r="G103" s="18" t="s">
        <v>837</v>
      </c>
      <c r="H103" s="19" t="s">
        <v>1219</v>
      </c>
      <c r="I103" s="20"/>
      <c r="J103" s="18" t="s">
        <v>839</v>
      </c>
      <c r="K103" s="19" t="s">
        <v>2028</v>
      </c>
      <c r="L103" s="20"/>
      <c r="M103" s="18" t="s">
        <v>841</v>
      </c>
      <c r="N103" s="19" t="s">
        <v>2095</v>
      </c>
      <c r="O103" s="20"/>
    </row>
    <row r="104" ht="180.0" customHeight="1">
      <c r="A104" s="21" t="str">
        <f>IMAGE("https://assets.tcgdex.net/de/sv/sv08/126/low.jpg", 1)</f>
        <v/>
      </c>
      <c r="B104" s="22"/>
      <c r="C104" s="20"/>
      <c r="D104" s="21" t="str">
        <f>IMAGE("https://assets.tcgdex.net/de/sv/sv08/127/low.jpg", 1)</f>
        <v/>
      </c>
      <c r="E104" s="22"/>
      <c r="F104" s="20"/>
      <c r="G104" s="21" t="str">
        <f>IMAGE("https://assets.tcgdex.net/de/sv/sv08/128/low.jpg", 1)</f>
        <v/>
      </c>
      <c r="H104" s="22"/>
      <c r="I104" s="20"/>
      <c r="J104" s="21" t="str">
        <f>IMAGE("https://assets.tcgdex.net/de/sv/sv08/129/low.jpg", 1)</f>
        <v/>
      </c>
      <c r="K104" s="22"/>
      <c r="L104" s="20"/>
      <c r="M104" s="21" t="str">
        <f>IMAGE("https://assets.tcgdex.net/de/sv/sv08/130/low.jpg", 1)</f>
        <v/>
      </c>
      <c r="N104" s="22"/>
      <c r="O104" s="20"/>
    </row>
    <row r="105" ht="22.5" customHeight="1">
      <c r="A105" s="23" t="b">
        <v>0</v>
      </c>
      <c r="B105" s="24" t="b">
        <v>0</v>
      </c>
      <c r="C105" s="25" t="str">
        <f>HYPERLINK("https://www.cardmarket.com/en/Pokemon/Products/Singles?idCategory=1&amp;idProduct=sv8-126", "CM")</f>
        <v>CM</v>
      </c>
      <c r="D105" s="23" t="b">
        <v>0</v>
      </c>
      <c r="E105" s="24" t="b">
        <v>0</v>
      </c>
      <c r="F105" s="25" t="str">
        <f>HYPERLINK("https://www.cardmarket.com/en/Pokemon/Products/Singles?idCategory=1&amp;idProduct=sv8-127", "CM")</f>
        <v>CM</v>
      </c>
      <c r="G105" s="23" t="b">
        <v>0</v>
      </c>
      <c r="H105" s="24" t="b">
        <v>0</v>
      </c>
      <c r="I105" s="25" t="str">
        <f>HYPERLINK("https://www.cardmarket.com/en/Pokemon/Products/Singles?idCategory=1&amp;idProduct=sv8-128", "CM")</f>
        <v>CM</v>
      </c>
      <c r="J105" s="23" t="b">
        <v>0</v>
      </c>
      <c r="K105" s="24" t="b">
        <v>0</v>
      </c>
      <c r="L105" s="25" t="str">
        <f>HYPERLINK("https://www.cardmarket.com/en/Pokemon/Products/Singles?idCategory=1&amp;idProduct=sv8-129", "CM")</f>
        <v>CM</v>
      </c>
      <c r="M105" s="23" t="b">
        <v>0</v>
      </c>
      <c r="N105" s="24" t="b">
        <v>0</v>
      </c>
      <c r="O105" s="25" t="str">
        <f>HYPERLINK("https://www.cardmarket.com/en/Pokemon/Products/Singles?idCategory=1&amp;idProduct=sv8-130", "CM")</f>
        <v>CM</v>
      </c>
    </row>
    <row r="106" ht="7.5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</row>
    <row r="107" ht="18.75" customHeight="1">
      <c r="A107" s="18" t="s">
        <v>842</v>
      </c>
      <c r="B107" s="19" t="s">
        <v>1745</v>
      </c>
      <c r="C107" s="20"/>
      <c r="D107" s="18" t="s">
        <v>844</v>
      </c>
      <c r="E107" s="19" t="s">
        <v>2096</v>
      </c>
      <c r="F107" s="20"/>
      <c r="G107" s="18" t="s">
        <v>664</v>
      </c>
      <c r="H107" s="19" t="s">
        <v>2097</v>
      </c>
      <c r="I107" s="20"/>
      <c r="J107" s="18" t="s">
        <v>666</v>
      </c>
      <c r="K107" s="19" t="s">
        <v>1099</v>
      </c>
      <c r="L107" s="20"/>
      <c r="M107" s="18" t="s">
        <v>845</v>
      </c>
      <c r="N107" s="19" t="s">
        <v>2098</v>
      </c>
      <c r="O107" s="20"/>
    </row>
    <row r="108" ht="180.0" customHeight="1">
      <c r="A108" s="21" t="str">
        <f>IMAGE("https://assets.tcgdex.net/de/sv/sv08/131/low.jpg", 1)</f>
        <v/>
      </c>
      <c r="B108" s="22"/>
      <c r="C108" s="20"/>
      <c r="D108" s="21" t="str">
        <f>IMAGE("https://assets.tcgdex.net/de/sv/sv08/132/low.jpg", 1)</f>
        <v/>
      </c>
      <c r="E108" s="22"/>
      <c r="F108" s="20"/>
      <c r="G108" s="21" t="str">
        <f>IMAGE("https://assets.tcgdex.net/de/sv/sv08/133/low.jpg", 1)</f>
        <v/>
      </c>
      <c r="H108" s="22"/>
      <c r="I108" s="20"/>
      <c r="J108" s="21" t="str">
        <f>IMAGE("https://assets.tcgdex.net/de/sv/sv08/134/low.jpg", 1)</f>
        <v/>
      </c>
      <c r="K108" s="22"/>
      <c r="L108" s="20"/>
      <c r="M108" s="21" t="str">
        <f>IMAGE("https://assets.tcgdex.net/de/sv/sv08/135/low.jpg", 1)</f>
        <v/>
      </c>
      <c r="N108" s="22"/>
      <c r="O108" s="20"/>
    </row>
    <row r="109" ht="22.5" customHeight="1">
      <c r="A109" s="23" t="b">
        <v>0</v>
      </c>
      <c r="B109" s="24" t="b">
        <v>0</v>
      </c>
      <c r="C109" s="25" t="str">
        <f>HYPERLINK("https://www.cardmarket.com/en/Pokemon/Products/Singles?idCategory=1&amp;idProduct=sv8-131", "CM")</f>
        <v>CM</v>
      </c>
      <c r="D109" s="23" t="b">
        <v>0</v>
      </c>
      <c r="E109" s="24" t="b">
        <v>0</v>
      </c>
      <c r="F109" s="25" t="str">
        <f>HYPERLINK("https://www.cardmarket.com/en/Pokemon/Products/Singles?idCategory=1&amp;idProduct=sv8-132", "CM")</f>
        <v>CM</v>
      </c>
      <c r="G109" s="23" t="b">
        <v>0</v>
      </c>
      <c r="H109" s="24" t="b">
        <v>0</v>
      </c>
      <c r="I109" s="25" t="str">
        <f>HYPERLINK("https://www.cardmarket.com/en/Pokemon/Products/Singles?idCategory=1&amp;idProduct=sv8-133", "CM")</f>
        <v>CM</v>
      </c>
      <c r="J109" s="23" t="b">
        <v>0</v>
      </c>
      <c r="K109" s="24" t="b">
        <v>0</v>
      </c>
      <c r="L109" s="25" t="str">
        <f>HYPERLINK("https://www.cardmarket.com/en/Pokemon/Products/Singles?idCategory=1&amp;idProduct=sv8-134", "CM")</f>
        <v>CM</v>
      </c>
      <c r="M109" s="23" t="b">
        <v>0</v>
      </c>
      <c r="N109" s="24" t="b">
        <v>0</v>
      </c>
      <c r="O109" s="25" t="str">
        <f>HYPERLINK("https://www.cardmarket.com/en/Pokemon/Products/Singles?idCategory=1&amp;idProduct=sv8-135", "CM")</f>
        <v>CM</v>
      </c>
    </row>
    <row r="110" ht="7.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</row>
    <row r="111" ht="18.75" customHeight="1">
      <c r="A111" s="18" t="s">
        <v>668</v>
      </c>
      <c r="B111" s="19" t="s">
        <v>1613</v>
      </c>
      <c r="C111" s="20"/>
      <c r="D111" s="18" t="s">
        <v>670</v>
      </c>
      <c r="E111" s="19" t="s">
        <v>1793</v>
      </c>
      <c r="F111" s="20"/>
      <c r="G111" s="18" t="s">
        <v>672</v>
      </c>
      <c r="H111" s="19" t="s">
        <v>1879</v>
      </c>
      <c r="I111" s="20"/>
      <c r="J111" s="18" t="s">
        <v>674</v>
      </c>
      <c r="K111" s="19" t="s">
        <v>2099</v>
      </c>
      <c r="L111" s="20"/>
      <c r="M111" s="18" t="s">
        <v>847</v>
      </c>
      <c r="N111" s="19" t="s">
        <v>2100</v>
      </c>
      <c r="O111" s="20"/>
    </row>
    <row r="112" ht="180.0" customHeight="1">
      <c r="A112" s="21" t="str">
        <f>IMAGE("https://assets.tcgdex.net/de/sv/sv08/136/low.jpg", 1)</f>
        <v/>
      </c>
      <c r="B112" s="22"/>
      <c r="C112" s="20"/>
      <c r="D112" s="21" t="str">
        <f>IMAGE("https://assets.tcgdex.net/de/sv/sv08/137/low.jpg", 1)</f>
        <v/>
      </c>
      <c r="E112" s="22"/>
      <c r="F112" s="20"/>
      <c r="G112" s="21" t="str">
        <f>IMAGE("https://assets.tcgdex.net/de/sv/sv08/138/low.jpg", 1)</f>
        <v/>
      </c>
      <c r="H112" s="22"/>
      <c r="I112" s="20"/>
      <c r="J112" s="21" t="str">
        <f>IMAGE("https://assets.tcgdex.net/de/sv/sv08/139/low.jpg", 1)</f>
        <v/>
      </c>
      <c r="K112" s="22"/>
      <c r="L112" s="20"/>
      <c r="M112" s="21" t="str">
        <f>IMAGE("https://assets.tcgdex.net/de/sv/sv08/140/low.jpg", 1)</f>
        <v/>
      </c>
      <c r="N112" s="22"/>
      <c r="O112" s="20"/>
    </row>
    <row r="113" ht="22.5" customHeight="1">
      <c r="A113" s="23" t="b">
        <v>0</v>
      </c>
      <c r="B113" s="24" t="b">
        <v>0</v>
      </c>
      <c r="C113" s="25" t="str">
        <f>HYPERLINK("https://www.cardmarket.com/en/Pokemon/Products/Singles?idCategory=1&amp;idProduct=sv8-136", "CM")</f>
        <v>CM</v>
      </c>
      <c r="D113" s="23" t="b">
        <v>0</v>
      </c>
      <c r="E113" s="24" t="b">
        <v>0</v>
      </c>
      <c r="F113" s="25" t="str">
        <f>HYPERLINK("https://www.cardmarket.com/en/Pokemon/Products/Singles?idCategory=1&amp;idProduct=sv8-137", "CM")</f>
        <v>CM</v>
      </c>
      <c r="G113" s="23" t="b">
        <v>0</v>
      </c>
      <c r="H113" s="24" t="b">
        <v>0</v>
      </c>
      <c r="I113" s="25" t="str">
        <f>HYPERLINK("https://www.cardmarket.com/en/Pokemon/Products/Singles?idCategory=1&amp;idProduct=sv8-138", "CM")</f>
        <v>CM</v>
      </c>
      <c r="J113" s="23" t="b">
        <v>0</v>
      </c>
      <c r="K113" s="24" t="b">
        <v>0</v>
      </c>
      <c r="L113" s="25" t="str">
        <f>HYPERLINK("https://www.cardmarket.com/en/Pokemon/Products/Singles?idCategory=1&amp;idProduct=sv8-139", "CM")</f>
        <v>CM</v>
      </c>
      <c r="M113" s="23" t="b">
        <v>0</v>
      </c>
      <c r="N113" s="24" t="b">
        <v>0</v>
      </c>
      <c r="O113" s="25" t="str">
        <f>HYPERLINK("https://www.cardmarket.com/en/Pokemon/Products/Singles?idCategory=1&amp;idProduct=sv8-140", "CM")</f>
        <v>CM</v>
      </c>
    </row>
    <row r="114" ht="7.5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</row>
    <row r="115" ht="18.75" customHeight="1">
      <c r="A115" s="18" t="s">
        <v>848</v>
      </c>
      <c r="B115" s="19" t="s">
        <v>2101</v>
      </c>
      <c r="C115" s="20"/>
      <c r="D115" s="18" t="s">
        <v>676</v>
      </c>
      <c r="E115" s="19" t="s">
        <v>2102</v>
      </c>
      <c r="F115" s="20"/>
      <c r="G115" s="18" t="s">
        <v>678</v>
      </c>
      <c r="H115" s="19" t="s">
        <v>764</v>
      </c>
      <c r="I115" s="20"/>
      <c r="J115" s="18" t="s">
        <v>679</v>
      </c>
      <c r="K115" s="19" t="s">
        <v>777</v>
      </c>
      <c r="L115" s="20"/>
      <c r="M115" s="18" t="s">
        <v>850</v>
      </c>
      <c r="N115" s="19" t="s">
        <v>2103</v>
      </c>
      <c r="O115" s="20"/>
    </row>
    <row r="116" ht="180.0" customHeight="1">
      <c r="A116" s="21" t="str">
        <f>IMAGE("https://assets.tcgdex.net/de/sv/sv08/141/low.jpg", 1)</f>
        <v/>
      </c>
      <c r="B116" s="22"/>
      <c r="C116" s="20"/>
      <c r="D116" s="21" t="str">
        <f>IMAGE("https://assets.tcgdex.net/de/sv/sv08/142/low.jpg", 1)</f>
        <v/>
      </c>
      <c r="E116" s="22"/>
      <c r="F116" s="20"/>
      <c r="G116" s="21" t="str">
        <f>IMAGE("https://assets.tcgdex.net/de/sv/sv08/143/low.jpg", 1)</f>
        <v/>
      </c>
      <c r="H116" s="22"/>
      <c r="I116" s="20"/>
      <c r="J116" s="21" t="str">
        <f>IMAGE("https://assets.tcgdex.net/de/sv/sv08/144/low.jpg", 1)</f>
        <v/>
      </c>
      <c r="K116" s="22"/>
      <c r="L116" s="20"/>
      <c r="M116" s="21" t="str">
        <f>IMAGE("https://assets.tcgdex.net/de/sv/sv08/145/low.jpg", 1)</f>
        <v/>
      </c>
      <c r="N116" s="22"/>
      <c r="O116" s="20"/>
    </row>
    <row r="117" ht="22.5" customHeight="1">
      <c r="A117" s="23" t="b">
        <v>0</v>
      </c>
      <c r="B117" s="24" t="b">
        <v>0</v>
      </c>
      <c r="C117" s="25" t="str">
        <f>HYPERLINK("https://www.cardmarket.com/en/Pokemon/Products/Singles?idCategory=1&amp;idProduct=sv8-141", "CM")</f>
        <v>CM</v>
      </c>
      <c r="D117" s="23" t="b">
        <v>0</v>
      </c>
      <c r="E117" s="24" t="b">
        <v>0</v>
      </c>
      <c r="F117" s="25" t="str">
        <f>HYPERLINK("https://www.cardmarket.com/en/Pokemon/Products/Singles?idCategory=1&amp;idProduct=sv8-142", "CM")</f>
        <v>CM</v>
      </c>
      <c r="G117" s="23" t="b">
        <v>0</v>
      </c>
      <c r="H117" s="24" t="b">
        <v>0</v>
      </c>
      <c r="I117" s="25" t="str">
        <f>HYPERLINK("https://www.cardmarket.com/en/Pokemon/Products/Singles?idCategory=1&amp;idProduct=sv8-143", "CM")</f>
        <v>CM</v>
      </c>
      <c r="J117" s="23" t="b">
        <v>0</v>
      </c>
      <c r="K117" s="24" t="b">
        <v>0</v>
      </c>
      <c r="L117" s="25" t="str">
        <f>HYPERLINK("https://www.cardmarket.com/en/Pokemon/Products/Singles?idCategory=1&amp;idProduct=sv8-144", "CM")</f>
        <v>CM</v>
      </c>
      <c r="M117" s="23" t="b">
        <v>0</v>
      </c>
      <c r="N117" s="24" t="b">
        <v>0</v>
      </c>
      <c r="O117" s="25" t="str">
        <f>HYPERLINK("https://www.cardmarket.com/en/Pokemon/Products/Singles?idCategory=1&amp;idProduct=sv8-145", "CM")</f>
        <v>CM</v>
      </c>
    </row>
    <row r="118" ht="7.5" customHeigh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</row>
    <row r="119" ht="18.75" customHeight="1">
      <c r="A119" s="18" t="s">
        <v>681</v>
      </c>
      <c r="B119" s="19" t="s">
        <v>2104</v>
      </c>
      <c r="C119" s="20"/>
      <c r="D119" s="18" t="s">
        <v>683</v>
      </c>
      <c r="E119" s="19" t="s">
        <v>2105</v>
      </c>
      <c r="F119" s="20"/>
      <c r="G119" s="18" t="s">
        <v>685</v>
      </c>
      <c r="H119" s="19" t="s">
        <v>1455</v>
      </c>
      <c r="I119" s="20"/>
      <c r="J119" s="18" t="s">
        <v>852</v>
      </c>
      <c r="K119" s="19" t="s">
        <v>1298</v>
      </c>
      <c r="L119" s="20"/>
      <c r="M119" s="18" t="s">
        <v>686</v>
      </c>
      <c r="N119" s="19" t="s">
        <v>2106</v>
      </c>
      <c r="O119" s="20"/>
    </row>
    <row r="120" ht="180.0" customHeight="1">
      <c r="A120" s="21" t="str">
        <f>IMAGE("https://assets.tcgdex.net/de/sv/sv08/146/low.jpg", 1)</f>
        <v/>
      </c>
      <c r="B120" s="22"/>
      <c r="C120" s="20"/>
      <c r="D120" s="21" t="str">
        <f>IMAGE("https://assets.tcgdex.net/de/sv/sv08/147/low.jpg", 1)</f>
        <v/>
      </c>
      <c r="E120" s="22"/>
      <c r="F120" s="20"/>
      <c r="G120" s="21" t="str">
        <f>IMAGE("https://assets.tcgdex.net/de/sv/sv08/148/low.jpg", 1)</f>
        <v/>
      </c>
      <c r="H120" s="22"/>
      <c r="I120" s="20"/>
      <c r="J120" s="21" t="str">
        <f>IMAGE("https://assets.tcgdex.net/de/sv/sv08/149/low.jpg", 1)</f>
        <v/>
      </c>
      <c r="K120" s="22"/>
      <c r="L120" s="20"/>
      <c r="M120" s="21" t="str">
        <f>IMAGE("https://assets.tcgdex.net/de/sv/sv08/150/low.jpg", 1)</f>
        <v/>
      </c>
      <c r="N120" s="22"/>
      <c r="O120" s="20"/>
    </row>
    <row r="121" ht="22.5" customHeight="1">
      <c r="A121" s="23" t="b">
        <v>0</v>
      </c>
      <c r="B121" s="24" t="b">
        <v>0</v>
      </c>
      <c r="C121" s="25" t="str">
        <f>HYPERLINK("https://www.cardmarket.com/en/Pokemon/Products/Singles?idCategory=1&amp;idProduct=sv8-146", "CM")</f>
        <v>CM</v>
      </c>
      <c r="D121" s="23" t="b">
        <v>0</v>
      </c>
      <c r="E121" s="24" t="b">
        <v>0</v>
      </c>
      <c r="F121" s="25" t="str">
        <f>HYPERLINK("https://www.cardmarket.com/en/Pokemon/Products/Singles?idCategory=1&amp;idProduct=sv8-147", "CM")</f>
        <v>CM</v>
      </c>
      <c r="G121" s="23" t="b">
        <v>0</v>
      </c>
      <c r="H121" s="24" t="b">
        <v>0</v>
      </c>
      <c r="I121" s="25" t="str">
        <f>HYPERLINK("https://www.cardmarket.com/en/Pokemon/Products/Singles?idCategory=1&amp;idProduct=sv8-148", "CM")</f>
        <v>CM</v>
      </c>
      <c r="J121" s="23" t="b">
        <v>0</v>
      </c>
      <c r="K121" s="24" t="b">
        <v>0</v>
      </c>
      <c r="L121" s="25" t="str">
        <f>HYPERLINK("https://www.cardmarket.com/en/Pokemon/Products/Singles?idCategory=1&amp;idProduct=sv8-149", "CM")</f>
        <v>CM</v>
      </c>
      <c r="M121" s="23" t="b">
        <v>0</v>
      </c>
      <c r="N121" s="24" t="b">
        <v>0</v>
      </c>
      <c r="O121" s="25" t="str">
        <f>HYPERLINK("https://www.cardmarket.com/en/Pokemon/Products/Singles?idCategory=1&amp;idProduct=sv8-150", "CM")</f>
        <v>CM</v>
      </c>
    </row>
    <row r="122" ht="7.5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</row>
    <row r="123" ht="18.75" customHeight="1">
      <c r="A123" s="18" t="s">
        <v>853</v>
      </c>
      <c r="B123" s="19" t="s">
        <v>669</v>
      </c>
      <c r="C123" s="20"/>
      <c r="D123" s="18" t="s">
        <v>855</v>
      </c>
      <c r="E123" s="19" t="s">
        <v>2107</v>
      </c>
      <c r="F123" s="20"/>
      <c r="G123" s="18" t="s">
        <v>687</v>
      </c>
      <c r="H123" s="19" t="s">
        <v>2108</v>
      </c>
      <c r="I123" s="20"/>
      <c r="J123" s="18" t="s">
        <v>689</v>
      </c>
      <c r="K123" s="19" t="s">
        <v>984</v>
      </c>
      <c r="L123" s="20"/>
      <c r="M123" s="18" t="s">
        <v>691</v>
      </c>
      <c r="N123" s="19" t="s">
        <v>985</v>
      </c>
      <c r="O123" s="20"/>
    </row>
    <row r="124" ht="180.0" customHeight="1">
      <c r="A124" s="21" t="str">
        <f>IMAGE("https://assets.tcgdex.net/de/sv/sv08/151/low.jpg", 1)</f>
        <v/>
      </c>
      <c r="B124" s="22"/>
      <c r="C124" s="20"/>
      <c r="D124" s="21" t="str">
        <f>IMAGE("https://assets.tcgdex.net/de/sv/sv08/152/low.jpg", 1)</f>
        <v/>
      </c>
      <c r="E124" s="22"/>
      <c r="F124" s="20"/>
      <c r="G124" s="21" t="str">
        <f>IMAGE("https://assets.tcgdex.net/de/sv/sv08/153/low.jpg", 1)</f>
        <v/>
      </c>
      <c r="H124" s="22"/>
      <c r="I124" s="20"/>
      <c r="J124" s="21" t="str">
        <f>IMAGE("https://assets.tcgdex.net/de/sv/sv08/154/low.jpg", 1)</f>
        <v/>
      </c>
      <c r="K124" s="22"/>
      <c r="L124" s="20"/>
      <c r="M124" s="21" t="str">
        <f>IMAGE("https://assets.tcgdex.net/de/sv/sv08/155/low.jpg", 1)</f>
        <v/>
      </c>
      <c r="N124" s="22"/>
      <c r="O124" s="20"/>
    </row>
    <row r="125" ht="22.5" customHeight="1">
      <c r="A125" s="23" t="b">
        <v>0</v>
      </c>
      <c r="B125" s="24" t="b">
        <v>0</v>
      </c>
      <c r="C125" s="25" t="str">
        <f>HYPERLINK("https://www.cardmarket.com/en/Pokemon/Products/Singles?idCategory=1&amp;idProduct=sv8-151", "CM")</f>
        <v>CM</v>
      </c>
      <c r="D125" s="23" t="b">
        <v>0</v>
      </c>
      <c r="E125" s="24" t="b">
        <v>0</v>
      </c>
      <c r="F125" s="25" t="str">
        <f>HYPERLINK("https://www.cardmarket.com/en/Pokemon/Products/Singles?idCategory=1&amp;idProduct=sv8-152", "CM")</f>
        <v>CM</v>
      </c>
      <c r="G125" s="23" t="b">
        <v>0</v>
      </c>
      <c r="H125" s="24" t="b">
        <v>0</v>
      </c>
      <c r="I125" s="25" t="str">
        <f>HYPERLINK("https://www.cardmarket.com/en/Pokemon/Products/Singles?idCategory=1&amp;idProduct=sv8-153", "CM")</f>
        <v>CM</v>
      </c>
      <c r="J125" s="23" t="b">
        <v>0</v>
      </c>
      <c r="K125" s="24" t="b">
        <v>0</v>
      </c>
      <c r="L125" s="25" t="str">
        <f>HYPERLINK("https://www.cardmarket.com/en/Pokemon/Products/Singles?idCategory=1&amp;idProduct=sv8-154", "CM")</f>
        <v>CM</v>
      </c>
      <c r="M125" s="23" t="b">
        <v>0</v>
      </c>
      <c r="N125" s="24" t="b">
        <v>0</v>
      </c>
      <c r="O125" s="25" t="str">
        <f>HYPERLINK("https://www.cardmarket.com/en/Pokemon/Products/Singles?idCategory=1&amp;idProduct=sv8-155", "CM")</f>
        <v>CM</v>
      </c>
    </row>
    <row r="126" ht="7.5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</row>
    <row r="127" ht="18.75" customHeight="1">
      <c r="A127" s="18" t="s">
        <v>857</v>
      </c>
      <c r="B127" s="19" t="s">
        <v>944</v>
      </c>
      <c r="C127" s="20"/>
      <c r="D127" s="18" t="s">
        <v>859</v>
      </c>
      <c r="E127" s="19" t="s">
        <v>1230</v>
      </c>
      <c r="F127" s="20"/>
      <c r="G127" s="18" t="s">
        <v>693</v>
      </c>
      <c r="H127" s="19" t="s">
        <v>1231</v>
      </c>
      <c r="I127" s="20"/>
      <c r="J127" s="18" t="s">
        <v>861</v>
      </c>
      <c r="K127" s="19" t="s">
        <v>757</v>
      </c>
      <c r="L127" s="20"/>
      <c r="M127" s="18" t="s">
        <v>695</v>
      </c>
      <c r="N127" s="19" t="s">
        <v>2109</v>
      </c>
      <c r="O127" s="20"/>
    </row>
    <row r="128" ht="180.0" customHeight="1">
      <c r="A128" s="21" t="str">
        <f>IMAGE("https://assets.tcgdex.net/de/sv/sv08/156/low.jpg", 1)</f>
        <v/>
      </c>
      <c r="B128" s="22"/>
      <c r="C128" s="20"/>
      <c r="D128" s="21" t="str">
        <f>IMAGE("https://assets.tcgdex.net/de/sv/sv08/157/low.jpg", 1)</f>
        <v/>
      </c>
      <c r="E128" s="22"/>
      <c r="F128" s="20"/>
      <c r="G128" s="21" t="str">
        <f>IMAGE("https://assets.tcgdex.net/de/sv/sv08/158/low.jpg", 1)</f>
        <v/>
      </c>
      <c r="H128" s="22"/>
      <c r="I128" s="20"/>
      <c r="J128" s="21" t="str">
        <f>IMAGE("https://assets.tcgdex.net/de/sv/sv08/159/low.jpg", 1)</f>
        <v/>
      </c>
      <c r="K128" s="22"/>
      <c r="L128" s="20"/>
      <c r="M128" s="21" t="str">
        <f>IMAGE("https://assets.tcgdex.net/de/sv/sv08/160/low.jpg", 1)</f>
        <v/>
      </c>
      <c r="N128" s="22"/>
      <c r="O128" s="20"/>
    </row>
    <row r="129" ht="22.5" customHeight="1">
      <c r="A129" s="23" t="b">
        <v>0</v>
      </c>
      <c r="B129" s="24" t="b">
        <v>0</v>
      </c>
      <c r="C129" s="25" t="str">
        <f>HYPERLINK("https://www.cardmarket.com/en/Pokemon/Products/Singles?idCategory=1&amp;idProduct=sv8-156", "CM")</f>
        <v>CM</v>
      </c>
      <c r="D129" s="23" t="b">
        <v>0</v>
      </c>
      <c r="E129" s="24" t="b">
        <v>0</v>
      </c>
      <c r="F129" s="25" t="str">
        <f>HYPERLINK("https://www.cardmarket.com/en/Pokemon/Products/Singles?idCategory=1&amp;idProduct=sv8-157", "CM")</f>
        <v>CM</v>
      </c>
      <c r="G129" s="23" t="b">
        <v>0</v>
      </c>
      <c r="H129" s="24" t="b">
        <v>0</v>
      </c>
      <c r="I129" s="25" t="str">
        <f>HYPERLINK("https://www.cardmarket.com/en/Pokemon/Products/Singles?idCategory=1&amp;idProduct=sv8-158", "CM")</f>
        <v>CM</v>
      </c>
      <c r="J129" s="23" t="b">
        <v>0</v>
      </c>
      <c r="K129" s="24" t="b">
        <v>0</v>
      </c>
      <c r="L129" s="25" t="str">
        <f>HYPERLINK("https://www.cardmarket.com/en/Pokemon/Products/Singles?idCategory=1&amp;idProduct=sv8-159", "CM")</f>
        <v>CM</v>
      </c>
      <c r="M129" s="23" t="b">
        <v>0</v>
      </c>
      <c r="N129" s="24" t="b">
        <v>0</v>
      </c>
      <c r="O129" s="25" t="str">
        <f>HYPERLINK("https://www.cardmarket.com/en/Pokemon/Products/Singles?idCategory=1&amp;idProduct=sv8-160", "CM")</f>
        <v>CM</v>
      </c>
    </row>
    <row r="130" ht="7.5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</row>
    <row r="131" ht="18.75" customHeight="1">
      <c r="A131" s="18" t="s">
        <v>862</v>
      </c>
      <c r="B131" s="19" t="s">
        <v>2110</v>
      </c>
      <c r="C131" s="20"/>
      <c r="D131" s="18" t="s">
        <v>697</v>
      </c>
      <c r="E131" s="19" t="s">
        <v>2111</v>
      </c>
      <c r="F131" s="20"/>
      <c r="G131" s="18" t="s">
        <v>863</v>
      </c>
      <c r="H131" s="19" t="s">
        <v>2112</v>
      </c>
      <c r="I131" s="20"/>
      <c r="J131" s="18" t="s">
        <v>865</v>
      </c>
      <c r="K131" s="19" t="s">
        <v>2113</v>
      </c>
      <c r="L131" s="20"/>
      <c r="M131" s="18" t="s">
        <v>867</v>
      </c>
      <c r="N131" s="19" t="s">
        <v>2114</v>
      </c>
      <c r="O131" s="20"/>
    </row>
    <row r="132" ht="180.0" customHeight="1">
      <c r="A132" s="21" t="str">
        <f>IMAGE("https://assets.tcgdex.net/de/sv/sv08/161/low.jpg", 1)</f>
        <v/>
      </c>
      <c r="B132" s="22"/>
      <c r="C132" s="20"/>
      <c r="D132" s="21" t="str">
        <f>IMAGE("https://assets.tcgdex.net/de/sv/sv08/162/low.jpg", 1)</f>
        <v/>
      </c>
      <c r="E132" s="22"/>
      <c r="F132" s="20"/>
      <c r="G132" s="21" t="str">
        <f>IMAGE("https://assets.tcgdex.net/de/sv/sv08/163/low.jpg", 1)</f>
        <v/>
      </c>
      <c r="H132" s="22"/>
      <c r="I132" s="20"/>
      <c r="J132" s="21" t="str">
        <f>IMAGE("https://assets.tcgdex.net/de/sv/sv08/164/low.jpg", 1)</f>
        <v/>
      </c>
      <c r="K132" s="22"/>
      <c r="L132" s="20"/>
      <c r="M132" s="21" t="str">
        <f>IMAGE("https://assets.tcgdex.net/de/sv/sv08/165/low.jpg", 1)</f>
        <v/>
      </c>
      <c r="N132" s="22"/>
      <c r="O132" s="20"/>
    </row>
    <row r="133" ht="22.5" customHeight="1">
      <c r="A133" s="23" t="b">
        <v>0</v>
      </c>
      <c r="B133" s="24" t="b">
        <v>0</v>
      </c>
      <c r="C133" s="25" t="str">
        <f>HYPERLINK("https://www.cardmarket.com/en/Pokemon/Products/Singles?idCategory=1&amp;idProduct=sv8-161", "CM")</f>
        <v>CM</v>
      </c>
      <c r="D133" s="23" t="b">
        <v>0</v>
      </c>
      <c r="E133" s="24" t="b">
        <v>0</v>
      </c>
      <c r="F133" s="25" t="str">
        <f>HYPERLINK("https://www.cardmarket.com/en/Pokemon/Products/Singles?idCategory=1&amp;idProduct=sv8-162", "CM")</f>
        <v>CM</v>
      </c>
      <c r="G133" s="23" t="b">
        <v>0</v>
      </c>
      <c r="H133" s="24" t="b">
        <v>0</v>
      </c>
      <c r="I133" s="25" t="str">
        <f>HYPERLINK("https://www.cardmarket.com/en/Pokemon/Products/Singles?idCategory=1&amp;idProduct=sv8-163", "CM")</f>
        <v>CM</v>
      </c>
      <c r="J133" s="23" t="b">
        <v>0</v>
      </c>
      <c r="K133" s="24" t="b">
        <v>0</v>
      </c>
      <c r="L133" s="25" t="str">
        <f>HYPERLINK("https://www.cardmarket.com/en/Pokemon/Products/Singles?idCategory=1&amp;idProduct=sv8-164", "CM")</f>
        <v>CM</v>
      </c>
      <c r="M133" s="23" t="b">
        <v>0</v>
      </c>
      <c r="N133" s="24" t="b">
        <v>0</v>
      </c>
      <c r="O133" s="25" t="str">
        <f>HYPERLINK("https://www.cardmarket.com/en/Pokemon/Products/Singles?idCategory=1&amp;idProduct=sv8-165", "CM")</f>
        <v>CM</v>
      </c>
    </row>
    <row r="134" ht="7.5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</row>
    <row r="135" ht="18.75" customHeight="1">
      <c r="A135" s="18" t="s">
        <v>869</v>
      </c>
      <c r="B135" s="19" t="s">
        <v>2115</v>
      </c>
      <c r="C135" s="20"/>
      <c r="D135" s="18" t="s">
        <v>871</v>
      </c>
      <c r="E135" s="19" t="s">
        <v>2116</v>
      </c>
      <c r="F135" s="20"/>
      <c r="G135" s="18" t="s">
        <v>873</v>
      </c>
      <c r="H135" s="19" t="s">
        <v>2117</v>
      </c>
      <c r="I135" s="20"/>
      <c r="J135" s="18" t="s">
        <v>875</v>
      </c>
      <c r="K135" s="19" t="s">
        <v>2118</v>
      </c>
      <c r="L135" s="20"/>
      <c r="M135" s="18" t="s">
        <v>877</v>
      </c>
      <c r="N135" s="19" t="s">
        <v>2119</v>
      </c>
      <c r="O135" s="20"/>
    </row>
    <row r="136" ht="180.0" customHeight="1">
      <c r="A136" s="21" t="str">
        <f>IMAGE("https://assets.tcgdex.net/de/sv/sv08/166/low.jpg", 1)</f>
        <v/>
      </c>
      <c r="B136" s="22"/>
      <c r="C136" s="20"/>
      <c r="D136" s="21" t="str">
        <f>IMAGE("https://assets.tcgdex.net/de/sv/sv08/167/low.jpg", 1)</f>
        <v/>
      </c>
      <c r="E136" s="22"/>
      <c r="F136" s="20"/>
      <c r="G136" s="21" t="str">
        <f>IMAGE("https://assets.tcgdex.net/de/sv/sv08/168/low.jpg", 1)</f>
        <v/>
      </c>
      <c r="H136" s="22"/>
      <c r="I136" s="20"/>
      <c r="J136" s="21" t="str">
        <f>IMAGE("https://assets.tcgdex.net/de/sv/sv08/169/low.jpg", 1)</f>
        <v/>
      </c>
      <c r="K136" s="22"/>
      <c r="L136" s="20"/>
      <c r="M136" s="21" t="str">
        <f>IMAGE("https://assets.tcgdex.net/de/sv/sv08/170/low.jpg", 1)</f>
        <v/>
      </c>
      <c r="N136" s="22"/>
      <c r="O136" s="20"/>
    </row>
    <row r="137" ht="22.5" customHeight="1">
      <c r="A137" s="23" t="b">
        <v>0</v>
      </c>
      <c r="B137" s="24" t="b">
        <v>0</v>
      </c>
      <c r="C137" s="25" t="str">
        <f>HYPERLINK("https://www.cardmarket.com/en/Pokemon/Products/Singles?idCategory=1&amp;idProduct=sv8-166", "CM")</f>
        <v>CM</v>
      </c>
      <c r="D137" s="23" t="b">
        <v>0</v>
      </c>
      <c r="E137" s="24" t="b">
        <v>0</v>
      </c>
      <c r="F137" s="25" t="str">
        <f>HYPERLINK("https://www.cardmarket.com/en/Pokemon/Products/Singles?idCategory=1&amp;idProduct=sv8-167", "CM")</f>
        <v>CM</v>
      </c>
      <c r="G137" s="23" t="b">
        <v>0</v>
      </c>
      <c r="H137" s="24" t="b">
        <v>0</v>
      </c>
      <c r="I137" s="25" t="str">
        <f>HYPERLINK("https://www.cardmarket.com/en/Pokemon/Products/Singles?idCategory=1&amp;idProduct=sv8-168", "CM")</f>
        <v>CM</v>
      </c>
      <c r="J137" s="23" t="b">
        <v>0</v>
      </c>
      <c r="K137" s="24" t="b">
        <v>0</v>
      </c>
      <c r="L137" s="25" t="str">
        <f>HYPERLINK("https://www.cardmarket.com/en/Pokemon/Products/Singles?idCategory=1&amp;idProduct=sv8-169", "CM")</f>
        <v>CM</v>
      </c>
      <c r="M137" s="23" t="b">
        <v>0</v>
      </c>
      <c r="N137" s="24" t="b">
        <v>0</v>
      </c>
      <c r="O137" s="25" t="str">
        <f>HYPERLINK("https://www.cardmarket.com/en/Pokemon/Products/Singles?idCategory=1&amp;idProduct=sv8-170", "CM")</f>
        <v>CM</v>
      </c>
    </row>
    <row r="138" ht="7.5" customHeight="1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</row>
    <row r="139" ht="18.75" customHeight="1">
      <c r="A139" s="18" t="s">
        <v>879</v>
      </c>
      <c r="B139" s="19" t="s">
        <v>2120</v>
      </c>
      <c r="C139" s="20"/>
      <c r="D139" s="18" t="s">
        <v>881</v>
      </c>
      <c r="E139" s="19" t="s">
        <v>2121</v>
      </c>
      <c r="F139" s="20"/>
      <c r="G139" s="18" t="s">
        <v>883</v>
      </c>
      <c r="H139" s="19" t="s">
        <v>2122</v>
      </c>
      <c r="I139" s="20"/>
      <c r="J139" s="18" t="s">
        <v>699</v>
      </c>
      <c r="K139" s="19" t="s">
        <v>2123</v>
      </c>
      <c r="L139" s="20"/>
      <c r="M139" s="18" t="s">
        <v>1304</v>
      </c>
      <c r="N139" s="19" t="s">
        <v>2124</v>
      </c>
      <c r="O139" s="20"/>
    </row>
    <row r="140" ht="180.0" customHeight="1">
      <c r="A140" s="21" t="str">
        <f>IMAGE("https://assets.tcgdex.net/de/sv/sv08/171/low.jpg", 1)</f>
        <v/>
      </c>
      <c r="B140" s="22"/>
      <c r="C140" s="20"/>
      <c r="D140" s="21" t="str">
        <f>IMAGE("https://assets.tcgdex.net/de/sv/sv08/172/low.jpg", 1)</f>
        <v/>
      </c>
      <c r="E140" s="22"/>
      <c r="F140" s="20"/>
      <c r="G140" s="21" t="str">
        <f>IMAGE("https://assets.tcgdex.net/de/sv/sv08/173/low.jpg", 1)</f>
        <v/>
      </c>
      <c r="H140" s="22"/>
      <c r="I140" s="20"/>
      <c r="J140" s="21" t="str">
        <f>IMAGE("https://assets.tcgdex.net/de/sv/sv08/174/low.jpg", 1)</f>
        <v/>
      </c>
      <c r="K140" s="22"/>
      <c r="L140" s="20"/>
      <c r="M140" s="21" t="str">
        <f>IMAGE("https://assets.tcgdex.net/de/sv/sv08/175/low.jpg", 1)</f>
        <v/>
      </c>
      <c r="N140" s="22"/>
      <c r="O140" s="20"/>
    </row>
    <row r="141" ht="22.5" customHeight="1">
      <c r="A141" s="23" t="b">
        <v>0</v>
      </c>
      <c r="B141" s="24" t="b">
        <v>0</v>
      </c>
      <c r="C141" s="25" t="str">
        <f>HYPERLINK("https://www.cardmarket.com/en/Pokemon/Products/Singles?idCategory=1&amp;idProduct=sv8-171", "CM")</f>
        <v>CM</v>
      </c>
      <c r="D141" s="23" t="b">
        <v>0</v>
      </c>
      <c r="E141" s="24" t="b">
        <v>0</v>
      </c>
      <c r="F141" s="25" t="str">
        <f>HYPERLINK("https://www.cardmarket.com/en/Pokemon/Products/Singles?idCategory=1&amp;idProduct=sv8-172", "CM")</f>
        <v>CM</v>
      </c>
      <c r="G141" s="23" t="b">
        <v>0</v>
      </c>
      <c r="H141" s="24" t="b">
        <v>0</v>
      </c>
      <c r="I141" s="25" t="str">
        <f>HYPERLINK("https://www.cardmarket.com/en/Pokemon/Products/Singles?idCategory=1&amp;idProduct=sv8-173", "CM")</f>
        <v>CM</v>
      </c>
      <c r="J141" s="23" t="b">
        <v>0</v>
      </c>
      <c r="K141" s="24" t="b">
        <v>0</v>
      </c>
      <c r="L141" s="25" t="str">
        <f>HYPERLINK("https://www.cardmarket.com/en/Pokemon/Products/Singles?idCategory=1&amp;idProduct=sv8-174", "CM")</f>
        <v>CM</v>
      </c>
      <c r="M141" s="23" t="b">
        <v>0</v>
      </c>
      <c r="N141" s="24" t="b">
        <v>0</v>
      </c>
      <c r="O141" s="25" t="str">
        <f>HYPERLINK("https://www.cardmarket.com/en/Pokemon/Products/Singles?idCategory=1&amp;idProduct=sv8-175", "CM")</f>
        <v>CM</v>
      </c>
    </row>
    <row r="142" ht="7.5" customHeight="1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</row>
    <row r="143" ht="18.75" customHeight="1">
      <c r="A143" s="18" t="s">
        <v>1306</v>
      </c>
      <c r="B143" s="19" t="s">
        <v>2125</v>
      </c>
      <c r="C143" s="20"/>
      <c r="D143" s="18" t="s">
        <v>884</v>
      </c>
      <c r="E143" s="19" t="s">
        <v>2126</v>
      </c>
      <c r="F143" s="20"/>
      <c r="G143" s="18" t="s">
        <v>701</v>
      </c>
      <c r="H143" s="19" t="s">
        <v>2127</v>
      </c>
      <c r="I143" s="20"/>
      <c r="J143" s="18" t="s">
        <v>703</v>
      </c>
      <c r="K143" s="19" t="s">
        <v>2128</v>
      </c>
      <c r="L143" s="20"/>
      <c r="M143" s="18" t="s">
        <v>886</v>
      </c>
      <c r="N143" s="19" t="s">
        <v>2129</v>
      </c>
      <c r="O143" s="20"/>
    </row>
    <row r="144" ht="180.0" customHeight="1">
      <c r="A144" s="21" t="str">
        <f>IMAGE("https://assets.tcgdex.net/de/sv/sv08/176/low.jpg", 1)</f>
        <v/>
      </c>
      <c r="B144" s="22"/>
      <c r="C144" s="20"/>
      <c r="D144" s="21" t="str">
        <f>IMAGE("https://assets.tcgdex.net/de/sv/sv08/177/low.jpg", 1)</f>
        <v/>
      </c>
      <c r="E144" s="22"/>
      <c r="F144" s="20"/>
      <c r="G144" s="21" t="str">
        <f>IMAGE("https://assets.tcgdex.net/de/sv/sv08/178/low.jpg", 1)</f>
        <v/>
      </c>
      <c r="H144" s="22"/>
      <c r="I144" s="20"/>
      <c r="J144" s="21" t="str">
        <f>IMAGE("https://assets.tcgdex.net/de/sv/sv08/179/low.jpg", 1)</f>
        <v/>
      </c>
      <c r="K144" s="22"/>
      <c r="L144" s="20"/>
      <c r="M144" s="21" t="str">
        <f>IMAGE("https://assets.tcgdex.net/de/sv/sv08/180/low.jpg", 1)</f>
        <v/>
      </c>
      <c r="N144" s="22"/>
      <c r="O144" s="20"/>
    </row>
    <row r="145" ht="22.5" customHeight="1">
      <c r="A145" s="23" t="b">
        <v>0</v>
      </c>
      <c r="B145" s="24" t="b">
        <v>0</v>
      </c>
      <c r="C145" s="25" t="str">
        <f>HYPERLINK("https://www.cardmarket.com/en/Pokemon/Products/Singles?idCategory=1&amp;idProduct=sv8-176", "CM")</f>
        <v>CM</v>
      </c>
      <c r="D145" s="23" t="b">
        <v>0</v>
      </c>
      <c r="E145" s="24" t="b">
        <v>0</v>
      </c>
      <c r="F145" s="25" t="str">
        <f>HYPERLINK("https://www.cardmarket.com/en/Pokemon/Products/Singles?idCategory=1&amp;idProduct=sv8-177", "CM")</f>
        <v>CM</v>
      </c>
      <c r="G145" s="23" t="b">
        <v>0</v>
      </c>
      <c r="H145" s="24" t="b">
        <v>0</v>
      </c>
      <c r="I145" s="25" t="str">
        <f>HYPERLINK("https://www.cardmarket.com/en/Pokemon/Products/Singles?idCategory=1&amp;idProduct=sv8-178", "CM")</f>
        <v>CM</v>
      </c>
      <c r="J145" s="23" t="b">
        <v>0</v>
      </c>
      <c r="K145" s="24" t="b">
        <v>0</v>
      </c>
      <c r="L145" s="25" t="str">
        <f>HYPERLINK("https://www.cardmarket.com/en/Pokemon/Products/Singles?idCategory=1&amp;idProduct=sv8-179", "CM")</f>
        <v>CM</v>
      </c>
      <c r="M145" s="23" t="b">
        <v>0</v>
      </c>
      <c r="N145" s="24" t="b">
        <v>0</v>
      </c>
      <c r="O145" s="25" t="str">
        <f>HYPERLINK("https://www.cardmarket.com/en/Pokemon/Products/Singles?idCategory=1&amp;idProduct=sv8-180", "CM")</f>
        <v>CM</v>
      </c>
    </row>
    <row r="146" ht="7.5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</row>
    <row r="147" ht="18.75" customHeight="1">
      <c r="A147" s="18" t="s">
        <v>888</v>
      </c>
      <c r="B147" s="19" t="s">
        <v>2130</v>
      </c>
      <c r="C147" s="20"/>
      <c r="D147" s="18" t="s">
        <v>705</v>
      </c>
      <c r="E147" s="19" t="s">
        <v>2131</v>
      </c>
      <c r="F147" s="20"/>
      <c r="G147" s="18" t="s">
        <v>890</v>
      </c>
      <c r="H147" s="19" t="s">
        <v>2132</v>
      </c>
      <c r="I147" s="20"/>
      <c r="J147" s="18" t="s">
        <v>707</v>
      </c>
      <c r="K147" s="19" t="s">
        <v>2133</v>
      </c>
      <c r="L147" s="20"/>
      <c r="M147" s="18" t="s">
        <v>709</v>
      </c>
      <c r="N147" s="19" t="s">
        <v>2134</v>
      </c>
      <c r="O147" s="20"/>
    </row>
    <row r="148" ht="180.0" customHeight="1">
      <c r="A148" s="21" t="str">
        <f>IMAGE("https://assets.tcgdex.net/de/sv/sv08/181/low.jpg", 1)</f>
        <v/>
      </c>
      <c r="B148" s="22"/>
      <c r="C148" s="20"/>
      <c r="D148" s="21" t="str">
        <f>IMAGE("https://assets.tcgdex.net/de/sv/sv08/182/low.jpg", 1)</f>
        <v/>
      </c>
      <c r="E148" s="22"/>
      <c r="F148" s="20"/>
      <c r="G148" s="21" t="str">
        <f>IMAGE("https://assets.tcgdex.net/de/sv/sv08/183/low.jpg", 1)</f>
        <v/>
      </c>
      <c r="H148" s="22"/>
      <c r="I148" s="20"/>
      <c r="J148" s="21" t="str">
        <f>IMAGE("https://assets.tcgdex.net/de/sv/sv08/184/low.jpg", 1)</f>
        <v/>
      </c>
      <c r="K148" s="22"/>
      <c r="L148" s="20"/>
      <c r="M148" s="21" t="str">
        <f>IMAGE("https://assets.tcgdex.net/de/sv/sv08/185/low.jpg", 1)</f>
        <v/>
      </c>
      <c r="N148" s="22"/>
      <c r="O148" s="20"/>
    </row>
    <row r="149" ht="22.5" customHeight="1">
      <c r="A149" s="23" t="b">
        <v>0</v>
      </c>
      <c r="B149" s="24" t="b">
        <v>0</v>
      </c>
      <c r="C149" s="25" t="str">
        <f>HYPERLINK("https://www.cardmarket.com/en/Pokemon/Products/Singles?idCategory=1&amp;idProduct=sv8-181", "CM")</f>
        <v>CM</v>
      </c>
      <c r="D149" s="23" t="b">
        <v>0</v>
      </c>
      <c r="E149" s="24" t="b">
        <v>0</v>
      </c>
      <c r="F149" s="25" t="str">
        <f>HYPERLINK("https://www.cardmarket.com/en/Pokemon/Products/Singles?idCategory=1&amp;idProduct=sv8-182", "CM")</f>
        <v>CM</v>
      </c>
      <c r="G149" s="23" t="b">
        <v>0</v>
      </c>
      <c r="H149" s="24" t="b">
        <v>0</v>
      </c>
      <c r="I149" s="25" t="str">
        <f>HYPERLINK("https://www.cardmarket.com/en/Pokemon/Products/Singles?idCategory=1&amp;idProduct=sv8-183", "CM")</f>
        <v>CM</v>
      </c>
      <c r="J149" s="23" t="b">
        <v>0</v>
      </c>
      <c r="K149" s="24" t="b">
        <v>0</v>
      </c>
      <c r="L149" s="25" t="str">
        <f>HYPERLINK("https://www.cardmarket.com/en/Pokemon/Products/Singles?idCategory=1&amp;idProduct=sv8-184", "CM")</f>
        <v>CM</v>
      </c>
      <c r="M149" s="23" t="b">
        <v>0</v>
      </c>
      <c r="N149" s="24" t="b">
        <v>0</v>
      </c>
      <c r="O149" s="25" t="str">
        <f>HYPERLINK("https://www.cardmarket.com/en/Pokemon/Products/Singles?idCategory=1&amp;idProduct=sv8-185", "CM")</f>
        <v>CM</v>
      </c>
    </row>
    <row r="150" ht="7.5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</row>
    <row r="151" ht="18.75" customHeight="1">
      <c r="A151" s="18" t="s">
        <v>711</v>
      </c>
      <c r="B151" s="19" t="s">
        <v>2135</v>
      </c>
      <c r="C151" s="20"/>
      <c r="D151" s="18" t="s">
        <v>892</v>
      </c>
      <c r="E151" s="19" t="s">
        <v>2136</v>
      </c>
      <c r="F151" s="20"/>
      <c r="G151" s="18" t="s">
        <v>894</v>
      </c>
      <c r="H151" s="19" t="s">
        <v>2137</v>
      </c>
      <c r="I151" s="20"/>
      <c r="J151" s="18" t="s">
        <v>896</v>
      </c>
      <c r="K151" s="19" t="s">
        <v>2138</v>
      </c>
      <c r="L151" s="20"/>
      <c r="M151" s="18" t="s">
        <v>1312</v>
      </c>
      <c r="N151" s="19" t="s">
        <v>2139</v>
      </c>
      <c r="O151" s="20"/>
    </row>
    <row r="152" ht="180.0" customHeight="1">
      <c r="A152" s="21" t="str">
        <f>IMAGE("https://assets.tcgdex.net/de/sv/sv08/186/low.jpg", 1)</f>
        <v/>
      </c>
      <c r="B152" s="22"/>
      <c r="C152" s="20"/>
      <c r="D152" s="21" t="str">
        <f>IMAGE("https://assets.tcgdex.net/de/sv/sv08/187/low.jpg", 1)</f>
        <v/>
      </c>
      <c r="E152" s="22"/>
      <c r="F152" s="20"/>
      <c r="G152" s="21" t="str">
        <f>IMAGE("https://assets.tcgdex.net/de/sv/sv08/188/low.jpg", 1)</f>
        <v/>
      </c>
      <c r="H152" s="22"/>
      <c r="I152" s="20"/>
      <c r="J152" s="21" t="str">
        <f>IMAGE("https://assets.tcgdex.net/de/sv/sv08/189/low.jpg", 1)</f>
        <v/>
      </c>
      <c r="K152" s="22"/>
      <c r="L152" s="20"/>
      <c r="M152" s="21" t="str">
        <f>IMAGE("https://assets.tcgdex.net/de/sv/sv08/190/low.jpg", 1)</f>
        <v/>
      </c>
      <c r="N152" s="22"/>
      <c r="O152" s="20"/>
    </row>
    <row r="153" ht="22.5" customHeight="1">
      <c r="A153" s="23" t="b">
        <v>0</v>
      </c>
      <c r="B153" s="24" t="b">
        <v>0</v>
      </c>
      <c r="C153" s="25" t="str">
        <f>HYPERLINK("https://www.cardmarket.com/en/Pokemon/Products/Singles?idCategory=1&amp;idProduct=sv8-186", "CM")</f>
        <v>CM</v>
      </c>
      <c r="D153" s="23" t="b">
        <v>0</v>
      </c>
      <c r="E153" s="24" t="b">
        <v>0</v>
      </c>
      <c r="F153" s="25" t="str">
        <f>HYPERLINK("https://www.cardmarket.com/en/Pokemon/Products/Singles?idCategory=1&amp;idProduct=sv8-187", "CM")</f>
        <v>CM</v>
      </c>
      <c r="G153" s="23" t="b">
        <v>0</v>
      </c>
      <c r="H153" s="24" t="b">
        <v>0</v>
      </c>
      <c r="I153" s="25" t="str">
        <f>HYPERLINK("https://www.cardmarket.com/en/Pokemon/Products/Singles?idCategory=1&amp;idProduct=sv8-188", "CM")</f>
        <v>CM</v>
      </c>
      <c r="J153" s="23" t="b">
        <v>0</v>
      </c>
      <c r="K153" s="24" t="b">
        <v>0</v>
      </c>
      <c r="L153" s="25" t="str">
        <f>HYPERLINK("https://www.cardmarket.com/en/Pokemon/Products/Singles?idCategory=1&amp;idProduct=sv8-189", "CM")</f>
        <v>CM</v>
      </c>
      <c r="M153" s="23" t="b">
        <v>0</v>
      </c>
      <c r="N153" s="24" t="b">
        <v>0</v>
      </c>
      <c r="O153" s="25" t="str">
        <f>HYPERLINK("https://www.cardmarket.com/en/Pokemon/Products/Singles?idCategory=1&amp;idProduct=sv8-190", "CM")</f>
        <v>CM</v>
      </c>
    </row>
    <row r="154" ht="7.5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</row>
    <row r="155" ht="18.75" customHeight="1">
      <c r="A155" s="18" t="s">
        <v>1240</v>
      </c>
      <c r="B155" s="19" t="s">
        <v>2140</v>
      </c>
      <c r="C155" s="20"/>
      <c r="D155" s="18" t="s">
        <v>1313</v>
      </c>
      <c r="E155" s="19" t="s">
        <v>926</v>
      </c>
      <c r="F155" s="20"/>
      <c r="G155" s="18" t="s">
        <v>898</v>
      </c>
      <c r="H155" s="19" t="s">
        <v>1247</v>
      </c>
      <c r="I155" s="20"/>
      <c r="J155" s="18" t="s">
        <v>713</v>
      </c>
      <c r="K155" s="19" t="s">
        <v>2058</v>
      </c>
      <c r="L155" s="20"/>
      <c r="M155" s="18" t="s">
        <v>715</v>
      </c>
      <c r="N155" s="19" t="s">
        <v>2060</v>
      </c>
      <c r="O155" s="20"/>
    </row>
    <row r="156" ht="180.0" customHeight="1">
      <c r="A156" s="21" t="str">
        <f>IMAGE("https://assets.tcgdex.net/de/sv/sv08/191/low.jpg", 1)</f>
        <v/>
      </c>
      <c r="B156" s="22"/>
      <c r="C156" s="20"/>
      <c r="D156" s="21" t="str">
        <f>IMAGE("https://assets.tcgdex.net/de/sv/sv08/192/low.jpg", 1)</f>
        <v/>
      </c>
      <c r="E156" s="22"/>
      <c r="F156" s="20"/>
      <c r="G156" s="21" t="str">
        <f>IMAGE("https://assets.tcgdex.net/de/sv/sv08/193/low.jpg", 1)</f>
        <v/>
      </c>
      <c r="H156" s="22"/>
      <c r="I156" s="20"/>
      <c r="J156" s="21" t="str">
        <f>IMAGE("https://assets.tcgdex.net/de/sv/sv08/194/low.jpg", 1)</f>
        <v/>
      </c>
      <c r="K156" s="22"/>
      <c r="L156" s="20"/>
      <c r="M156" s="21" t="str">
        <f>IMAGE("https://assets.tcgdex.net/de/sv/sv08/195/low.jpg", 1)</f>
        <v/>
      </c>
      <c r="N156" s="22"/>
      <c r="O156" s="20"/>
    </row>
    <row r="157" ht="22.5" customHeight="1">
      <c r="A157" s="23" t="b">
        <v>0</v>
      </c>
      <c r="B157" s="24" t="b">
        <v>0</v>
      </c>
      <c r="C157" s="25" t="str">
        <f>HYPERLINK("https://www.cardmarket.com/en/Pokemon/Products/Singles?idCategory=1&amp;idProduct=sv8-191", "CM")</f>
        <v>CM</v>
      </c>
      <c r="D157" s="23" t="b">
        <v>0</v>
      </c>
      <c r="E157" s="24" t="b">
        <v>0</v>
      </c>
      <c r="F157" s="25" t="str">
        <f>HYPERLINK("https://www.cardmarket.com/en/Pokemon/Products/Singles?idCategory=1&amp;idProduct=sv8-192", "CM")</f>
        <v>CM</v>
      </c>
      <c r="G157" s="23" t="b">
        <v>0</v>
      </c>
      <c r="H157" s="24" t="b">
        <v>0</v>
      </c>
      <c r="I157" s="25" t="str">
        <f>HYPERLINK("https://www.cardmarket.com/en/Pokemon/Products/Singles?idCategory=1&amp;idProduct=sv8-193", "CM")</f>
        <v>CM</v>
      </c>
      <c r="J157" s="23" t="b">
        <v>0</v>
      </c>
      <c r="K157" s="24" t="b">
        <v>0</v>
      </c>
      <c r="L157" s="25" t="str">
        <f>HYPERLINK("https://www.cardmarket.com/en/Pokemon/Products/Singles?idCategory=1&amp;idProduct=sv8-194", "CM")</f>
        <v>CM</v>
      </c>
      <c r="M157" s="23" t="b">
        <v>0</v>
      </c>
      <c r="N157" s="24" t="b">
        <v>0</v>
      </c>
      <c r="O157" s="25" t="str">
        <f>HYPERLINK("https://www.cardmarket.com/en/Pokemon/Products/Singles?idCategory=1&amp;idProduct=sv8-195", "CM")</f>
        <v>CM</v>
      </c>
    </row>
    <row r="158" ht="7.5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</row>
    <row r="159" ht="18.75" customHeight="1">
      <c r="A159" s="18" t="s">
        <v>717</v>
      </c>
      <c r="B159" s="19" t="s">
        <v>972</v>
      </c>
      <c r="C159" s="20"/>
      <c r="D159" s="18" t="s">
        <v>719</v>
      </c>
      <c r="E159" s="19" t="s">
        <v>1739</v>
      </c>
      <c r="F159" s="20"/>
      <c r="G159" s="18" t="s">
        <v>720</v>
      </c>
      <c r="H159" s="19" t="s">
        <v>1609</v>
      </c>
      <c r="I159" s="20"/>
      <c r="J159" s="18" t="s">
        <v>722</v>
      </c>
      <c r="K159" s="19" t="s">
        <v>2064</v>
      </c>
      <c r="L159" s="20"/>
      <c r="M159" s="18" t="s">
        <v>724</v>
      </c>
      <c r="N159" s="19" t="s">
        <v>1265</v>
      </c>
      <c r="O159" s="20"/>
    </row>
    <row r="160" ht="180.0" customHeight="1">
      <c r="A160" s="21" t="str">
        <f>IMAGE("https://assets.tcgdex.net/de/sv/sv08/196/low.jpg", 1)</f>
        <v/>
      </c>
      <c r="B160" s="22"/>
      <c r="C160" s="20"/>
      <c r="D160" s="21" t="str">
        <f>IMAGE("https://assets.tcgdex.net/de/sv/sv08/197/low.jpg", 1)</f>
        <v/>
      </c>
      <c r="E160" s="22"/>
      <c r="F160" s="20"/>
      <c r="G160" s="21" t="str">
        <f>IMAGE("https://assets.tcgdex.net/de/sv/sv08/198/low.jpg", 1)</f>
        <v/>
      </c>
      <c r="H160" s="22"/>
      <c r="I160" s="20"/>
      <c r="J160" s="21" t="str">
        <f>IMAGE("https://assets.tcgdex.net/de/sv/sv08/199/low.jpg", 1)</f>
        <v/>
      </c>
      <c r="K160" s="22"/>
      <c r="L160" s="20"/>
      <c r="M160" s="21" t="str">
        <f>IMAGE("https://assets.tcgdex.net/de/sv/sv08/200/low.jpg", 1)</f>
        <v/>
      </c>
      <c r="N160" s="22"/>
      <c r="O160" s="20"/>
    </row>
    <row r="161" ht="22.5" customHeight="1">
      <c r="A161" s="23" t="b">
        <v>0</v>
      </c>
      <c r="B161" s="24" t="b">
        <v>0</v>
      </c>
      <c r="C161" s="25" t="str">
        <f>HYPERLINK("https://www.cardmarket.com/en/Pokemon/Products/Singles?idCategory=1&amp;idProduct=sv8-196", "CM")</f>
        <v>CM</v>
      </c>
      <c r="D161" s="23" t="b">
        <v>0</v>
      </c>
      <c r="E161" s="24" t="b">
        <v>0</v>
      </c>
      <c r="F161" s="25" t="str">
        <f>HYPERLINK("https://www.cardmarket.com/en/Pokemon/Products/Singles?idCategory=1&amp;idProduct=sv8-197", "CM")</f>
        <v>CM</v>
      </c>
      <c r="G161" s="23" t="b">
        <v>0</v>
      </c>
      <c r="H161" s="24" t="b">
        <v>0</v>
      </c>
      <c r="I161" s="25" t="str">
        <f>HYPERLINK("https://www.cardmarket.com/en/Pokemon/Products/Singles?idCategory=1&amp;idProduct=sv8-198", "CM")</f>
        <v>CM</v>
      </c>
      <c r="J161" s="23" t="b">
        <v>0</v>
      </c>
      <c r="K161" s="24" t="b">
        <v>0</v>
      </c>
      <c r="L161" s="25" t="str">
        <f>HYPERLINK("https://www.cardmarket.com/en/Pokemon/Products/Singles?idCategory=1&amp;idProduct=sv8-199", "CM")</f>
        <v>CM</v>
      </c>
      <c r="M161" s="23" t="b">
        <v>0</v>
      </c>
      <c r="N161" s="24" t="b">
        <v>0</v>
      </c>
      <c r="O161" s="25" t="str">
        <f>HYPERLINK("https://www.cardmarket.com/en/Pokemon/Products/Singles?idCategory=1&amp;idProduct=sv8-200", "CM")</f>
        <v>CM</v>
      </c>
    </row>
    <row r="162" ht="7.5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</row>
    <row r="163" ht="18.75" customHeight="1">
      <c r="A163" s="18" t="s">
        <v>726</v>
      </c>
      <c r="B163" s="19" t="s">
        <v>785</v>
      </c>
      <c r="C163" s="20"/>
      <c r="D163" s="18" t="s">
        <v>728</v>
      </c>
      <c r="E163" s="19" t="s">
        <v>1425</v>
      </c>
      <c r="F163" s="20"/>
      <c r="G163" s="18" t="s">
        <v>730</v>
      </c>
      <c r="H163" s="19" t="s">
        <v>1637</v>
      </c>
      <c r="I163" s="20"/>
      <c r="J163" s="18" t="s">
        <v>1241</v>
      </c>
      <c r="K163" s="19" t="s">
        <v>2074</v>
      </c>
      <c r="L163" s="20"/>
      <c r="M163" s="18" t="s">
        <v>1319</v>
      </c>
      <c r="N163" s="19" t="s">
        <v>1740</v>
      </c>
      <c r="O163" s="20"/>
    </row>
    <row r="164" ht="180.0" customHeight="1">
      <c r="A164" s="21" t="str">
        <f>IMAGE("https://assets.tcgdex.net/de/sv/sv08/201/low.jpg", 1)</f>
        <v/>
      </c>
      <c r="B164" s="22"/>
      <c r="C164" s="20"/>
      <c r="D164" s="21" t="str">
        <f>IMAGE("https://assets.tcgdex.net/de/sv/sv08/202/low.jpg", 1)</f>
        <v/>
      </c>
      <c r="E164" s="22"/>
      <c r="F164" s="20"/>
      <c r="G164" s="21" t="str">
        <f>IMAGE("https://assets.tcgdex.net/de/sv/sv08/203/low.jpg", 1)</f>
        <v/>
      </c>
      <c r="H164" s="22"/>
      <c r="I164" s="20"/>
      <c r="J164" s="21" t="str">
        <f>IMAGE("https://assets.tcgdex.net/de/sv/sv08/204/low.jpg", 1)</f>
        <v/>
      </c>
      <c r="K164" s="22"/>
      <c r="L164" s="20"/>
      <c r="M164" s="21" t="str">
        <f>IMAGE("https://assets.tcgdex.net/de/sv/sv08/205/low.jpg", 1)</f>
        <v/>
      </c>
      <c r="N164" s="22"/>
      <c r="O164" s="20"/>
    </row>
    <row r="165" ht="22.5" customHeight="1">
      <c r="A165" s="23" t="b">
        <v>0</v>
      </c>
      <c r="B165" s="24" t="b">
        <v>0</v>
      </c>
      <c r="C165" s="25" t="str">
        <f>HYPERLINK("https://www.cardmarket.com/en/Pokemon/Products/Singles?idCategory=1&amp;idProduct=sv8-201", "CM")</f>
        <v>CM</v>
      </c>
      <c r="D165" s="23" t="b">
        <v>0</v>
      </c>
      <c r="E165" s="24" t="b">
        <v>0</v>
      </c>
      <c r="F165" s="25" t="str">
        <f>HYPERLINK("https://www.cardmarket.com/en/Pokemon/Products/Singles?idCategory=1&amp;idProduct=sv8-202", "CM")</f>
        <v>CM</v>
      </c>
      <c r="G165" s="23" t="b">
        <v>0</v>
      </c>
      <c r="H165" s="24" t="b">
        <v>0</v>
      </c>
      <c r="I165" s="25" t="str">
        <f>HYPERLINK("https://www.cardmarket.com/en/Pokemon/Products/Singles?idCategory=1&amp;idProduct=sv8-203", "CM")</f>
        <v>CM</v>
      </c>
      <c r="J165" s="23" t="b">
        <v>0</v>
      </c>
      <c r="K165" s="24" t="b">
        <v>0</v>
      </c>
      <c r="L165" s="25" t="str">
        <f>HYPERLINK("https://www.cardmarket.com/en/Pokemon/Products/Singles?idCategory=1&amp;idProduct=sv8-204", "CM")</f>
        <v>CM</v>
      </c>
      <c r="M165" s="23" t="b">
        <v>0</v>
      </c>
      <c r="N165" s="24" t="b">
        <v>0</v>
      </c>
      <c r="O165" s="25" t="str">
        <f>HYPERLINK("https://www.cardmarket.com/en/Pokemon/Products/Singles?idCategory=1&amp;idProduct=sv8-205", "CM")</f>
        <v>CM</v>
      </c>
    </row>
    <row r="166" ht="7.5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</row>
    <row r="167" ht="18.75" customHeight="1">
      <c r="A167" s="18" t="s">
        <v>732</v>
      </c>
      <c r="B167" s="19" t="s">
        <v>2084</v>
      </c>
      <c r="C167" s="20"/>
      <c r="D167" s="18" t="s">
        <v>734</v>
      </c>
      <c r="E167" s="19" t="s">
        <v>1742</v>
      </c>
      <c r="F167" s="20"/>
      <c r="G167" s="18" t="s">
        <v>1183</v>
      </c>
      <c r="H167" s="19" t="s">
        <v>2093</v>
      </c>
      <c r="I167" s="20"/>
      <c r="J167" s="18" t="s">
        <v>1320</v>
      </c>
      <c r="K167" s="19" t="s">
        <v>1437</v>
      </c>
      <c r="L167" s="20"/>
      <c r="M167" s="18" t="s">
        <v>1184</v>
      </c>
      <c r="N167" s="19" t="s">
        <v>2099</v>
      </c>
      <c r="O167" s="20"/>
    </row>
    <row r="168" ht="180.0" customHeight="1">
      <c r="A168" s="21" t="str">
        <f>IMAGE("https://assets.tcgdex.net/de/sv/sv08/206/low.jpg", 1)</f>
        <v/>
      </c>
      <c r="B168" s="22"/>
      <c r="C168" s="20"/>
      <c r="D168" s="21" t="str">
        <f>IMAGE("https://assets.tcgdex.net/de/sv/sv08/207/low.jpg", 1)</f>
        <v/>
      </c>
      <c r="E168" s="22"/>
      <c r="F168" s="20"/>
      <c r="G168" s="21" t="str">
        <f>IMAGE("https://assets.tcgdex.net/de/sv/sv08/208/low.jpg", 1)</f>
        <v/>
      </c>
      <c r="H168" s="22"/>
      <c r="I168" s="20"/>
      <c r="J168" s="21" t="str">
        <f>IMAGE("https://assets.tcgdex.net/de/sv/sv08/209/low.jpg", 1)</f>
        <v/>
      </c>
      <c r="K168" s="22"/>
      <c r="L168" s="20"/>
      <c r="M168" s="21" t="str">
        <f>IMAGE("https://assets.tcgdex.net/de/sv/sv08/210/low.jpg", 1)</f>
        <v/>
      </c>
      <c r="N168" s="22"/>
      <c r="O168" s="20"/>
    </row>
    <row r="169" ht="22.5" customHeight="1">
      <c r="A169" s="23" t="b">
        <v>0</v>
      </c>
      <c r="B169" s="24" t="b">
        <v>0</v>
      </c>
      <c r="C169" s="25" t="str">
        <f>HYPERLINK("https://www.cardmarket.com/en/Pokemon/Products/Singles?idCategory=1&amp;idProduct=sv8-206", "CM")</f>
        <v>CM</v>
      </c>
      <c r="D169" s="23" t="b">
        <v>0</v>
      </c>
      <c r="E169" s="24" t="b">
        <v>0</v>
      </c>
      <c r="F169" s="25" t="str">
        <f>HYPERLINK("https://www.cardmarket.com/en/Pokemon/Products/Singles?idCategory=1&amp;idProduct=sv8-207", "CM")</f>
        <v>CM</v>
      </c>
      <c r="G169" s="23" t="b">
        <v>0</v>
      </c>
      <c r="H169" s="24" t="b">
        <v>0</v>
      </c>
      <c r="I169" s="25" t="str">
        <f>HYPERLINK("https://www.cardmarket.com/en/Pokemon/Products/Singles?idCategory=1&amp;idProduct=sv8-208", "CM")</f>
        <v>CM</v>
      </c>
      <c r="J169" s="23" t="b">
        <v>0</v>
      </c>
      <c r="K169" s="24" t="b">
        <v>0</v>
      </c>
      <c r="L169" s="25" t="str">
        <f>HYPERLINK("https://www.cardmarket.com/en/Pokemon/Products/Singles?idCategory=1&amp;idProduct=sv8-209", "CM")</f>
        <v>CM</v>
      </c>
      <c r="M169" s="23" t="b">
        <v>0</v>
      </c>
      <c r="N169" s="24" t="b">
        <v>0</v>
      </c>
      <c r="O169" s="25" t="str">
        <f>HYPERLINK("https://www.cardmarket.com/en/Pokemon/Products/Singles?idCategory=1&amp;idProduct=sv8-210", "CM")</f>
        <v>CM</v>
      </c>
    </row>
    <row r="170" ht="7.5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</row>
    <row r="171" ht="18.75" customHeight="1">
      <c r="A171" s="18" t="s">
        <v>1321</v>
      </c>
      <c r="B171" s="19" t="s">
        <v>2100</v>
      </c>
      <c r="C171" s="20"/>
      <c r="D171" s="18" t="s">
        <v>1322</v>
      </c>
      <c r="E171" s="19" t="s">
        <v>2103</v>
      </c>
      <c r="F171" s="20"/>
      <c r="G171" s="18" t="s">
        <v>1323</v>
      </c>
      <c r="H171" s="19" t="s">
        <v>2106</v>
      </c>
      <c r="I171" s="20"/>
      <c r="J171" s="18" t="s">
        <v>1186</v>
      </c>
      <c r="K171" s="19" t="s">
        <v>2108</v>
      </c>
      <c r="L171" s="20"/>
      <c r="M171" s="18" t="s">
        <v>1324</v>
      </c>
      <c r="N171" s="19" t="s">
        <v>2056</v>
      </c>
      <c r="O171" s="20"/>
    </row>
    <row r="172" ht="180.0" customHeight="1">
      <c r="A172" s="21" t="str">
        <f>IMAGE("https://assets.tcgdex.net/de/sv/sv08/211/low.jpg", 1)</f>
        <v/>
      </c>
      <c r="B172" s="22"/>
      <c r="C172" s="20"/>
      <c r="D172" s="21" t="str">
        <f>IMAGE("https://assets.tcgdex.net/de/sv/sv08/212/low.jpg", 1)</f>
        <v/>
      </c>
      <c r="E172" s="22"/>
      <c r="F172" s="20"/>
      <c r="G172" s="21" t="str">
        <f>IMAGE("https://assets.tcgdex.net/de/sv/sv08/213/low.jpg", 1)</f>
        <v/>
      </c>
      <c r="H172" s="22"/>
      <c r="I172" s="20"/>
      <c r="J172" s="21" t="str">
        <f>IMAGE("https://assets.tcgdex.net/de/sv/sv08/214/low.jpg", 1)</f>
        <v/>
      </c>
      <c r="K172" s="22"/>
      <c r="L172" s="20"/>
      <c r="M172" s="21" t="str">
        <f>IMAGE("https://assets.tcgdex.net/de/sv/sv08/215/low.jpg", 1)</f>
        <v/>
      </c>
      <c r="N172" s="22"/>
      <c r="O172" s="20"/>
    </row>
    <row r="173" ht="22.5" customHeight="1">
      <c r="A173" s="23" t="b">
        <v>0</v>
      </c>
      <c r="B173" s="24" t="b">
        <v>0</v>
      </c>
      <c r="C173" s="25" t="str">
        <f>HYPERLINK("https://www.cardmarket.com/en/Pokemon/Products/Singles?idCategory=1&amp;idProduct=sv8-211", "CM")</f>
        <v>CM</v>
      </c>
      <c r="D173" s="23" t="b">
        <v>0</v>
      </c>
      <c r="E173" s="24" t="b">
        <v>0</v>
      </c>
      <c r="F173" s="25" t="str">
        <f>HYPERLINK("https://www.cardmarket.com/en/Pokemon/Products/Singles?idCategory=1&amp;idProduct=sv8-212", "CM")</f>
        <v>CM</v>
      </c>
      <c r="G173" s="23" t="b">
        <v>0</v>
      </c>
      <c r="H173" s="24" t="b">
        <v>0</v>
      </c>
      <c r="I173" s="25" t="str">
        <f>HYPERLINK("https://www.cardmarket.com/en/Pokemon/Products/Singles?idCategory=1&amp;idProduct=sv8-213", "CM")</f>
        <v>CM</v>
      </c>
      <c r="J173" s="23" t="b">
        <v>0</v>
      </c>
      <c r="K173" s="24" t="b">
        <v>0</v>
      </c>
      <c r="L173" s="25" t="str">
        <f>HYPERLINK("https://www.cardmarket.com/en/Pokemon/Products/Singles?idCategory=1&amp;idProduct=sv8-214", "CM")</f>
        <v>CM</v>
      </c>
      <c r="M173" s="23" t="b">
        <v>0</v>
      </c>
      <c r="N173" s="24" t="b">
        <v>0</v>
      </c>
      <c r="O173" s="25" t="str">
        <f>HYPERLINK("https://www.cardmarket.com/en/Pokemon/Products/Singles?idCategory=1&amp;idProduct=sv8-215", "CM")</f>
        <v>CM</v>
      </c>
    </row>
    <row r="174" ht="7.5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</row>
    <row r="175" ht="18.75" customHeight="1">
      <c r="A175" s="18" t="s">
        <v>1325</v>
      </c>
      <c r="B175" s="19" t="s">
        <v>1786</v>
      </c>
      <c r="C175" s="20"/>
      <c r="D175" s="18" t="s">
        <v>1326</v>
      </c>
      <c r="E175" s="19" t="s">
        <v>2063</v>
      </c>
      <c r="F175" s="20"/>
      <c r="G175" s="18" t="s">
        <v>1327</v>
      </c>
      <c r="H175" s="19" t="s">
        <v>2068</v>
      </c>
      <c r="I175" s="20"/>
      <c r="J175" s="18" t="s">
        <v>1328</v>
      </c>
      <c r="K175" s="19" t="s">
        <v>639</v>
      </c>
      <c r="L175" s="20"/>
      <c r="M175" s="18" t="s">
        <v>1329</v>
      </c>
      <c r="N175" s="19" t="s">
        <v>2072</v>
      </c>
      <c r="O175" s="20"/>
    </row>
    <row r="176" ht="180.0" customHeight="1">
      <c r="A176" s="21" t="str">
        <f>IMAGE("https://assets.tcgdex.net/de/sv/sv08/216/low.jpg", 1)</f>
        <v/>
      </c>
      <c r="B176" s="22"/>
      <c r="C176" s="20"/>
      <c r="D176" s="21" t="str">
        <f>IMAGE("https://assets.tcgdex.net/de/sv/sv08/217/low.jpg", 1)</f>
        <v/>
      </c>
      <c r="E176" s="22"/>
      <c r="F176" s="20"/>
      <c r="G176" s="21" t="str">
        <f>IMAGE("https://assets.tcgdex.net/de/sv/sv08/218/low.jpg", 1)</f>
        <v/>
      </c>
      <c r="H176" s="22"/>
      <c r="I176" s="20"/>
      <c r="J176" s="21" t="str">
        <f>IMAGE("https://assets.tcgdex.net/de/sv/sv08/219/low.jpg", 1)</f>
        <v/>
      </c>
      <c r="K176" s="22"/>
      <c r="L176" s="20"/>
      <c r="M176" s="21" t="str">
        <f>IMAGE("https://assets.tcgdex.net/de/sv/sv08/220/low.jpg", 1)</f>
        <v/>
      </c>
      <c r="N176" s="22"/>
      <c r="O176" s="20"/>
    </row>
    <row r="177" ht="22.5" customHeight="1">
      <c r="A177" s="23" t="b">
        <v>0</v>
      </c>
      <c r="B177" s="24" t="b">
        <v>0</v>
      </c>
      <c r="C177" s="25" t="str">
        <f>HYPERLINK("https://www.cardmarket.com/en/Pokemon/Products/Singles?idCategory=1&amp;idProduct=sv8-216", "CM")</f>
        <v>CM</v>
      </c>
      <c r="D177" s="23" t="b">
        <v>0</v>
      </c>
      <c r="E177" s="24" t="b">
        <v>0</v>
      </c>
      <c r="F177" s="25" t="str">
        <f>HYPERLINK("https://www.cardmarket.com/en/Pokemon/Products/Singles?idCategory=1&amp;idProduct=sv8-217", "CM")</f>
        <v>CM</v>
      </c>
      <c r="G177" s="23" t="b">
        <v>0</v>
      </c>
      <c r="H177" s="24" t="b">
        <v>0</v>
      </c>
      <c r="I177" s="25" t="str">
        <f>HYPERLINK("https://www.cardmarket.com/en/Pokemon/Products/Singles?idCategory=1&amp;idProduct=sv8-218", "CM")</f>
        <v>CM</v>
      </c>
      <c r="J177" s="23" t="b">
        <v>0</v>
      </c>
      <c r="K177" s="24" t="b">
        <v>0</v>
      </c>
      <c r="L177" s="25" t="str">
        <f>HYPERLINK("https://www.cardmarket.com/en/Pokemon/Products/Singles?idCategory=1&amp;idProduct=sv8-219", "CM")</f>
        <v>CM</v>
      </c>
      <c r="M177" s="23" t="b">
        <v>0</v>
      </c>
      <c r="N177" s="24" t="b">
        <v>0</v>
      </c>
      <c r="O177" s="25" t="str">
        <f>HYPERLINK("https://www.cardmarket.com/en/Pokemon/Products/Singles?idCategory=1&amp;idProduct=sv8-220", "CM")</f>
        <v>CM</v>
      </c>
    </row>
    <row r="178" ht="7.5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</row>
    <row r="179" ht="18.75" customHeight="1">
      <c r="A179" s="18" t="s">
        <v>1330</v>
      </c>
      <c r="B179" s="19" t="s">
        <v>2082</v>
      </c>
      <c r="C179" s="20"/>
      <c r="D179" s="18" t="s">
        <v>1187</v>
      </c>
      <c r="E179" s="19" t="s">
        <v>2085</v>
      </c>
      <c r="F179" s="20"/>
      <c r="G179" s="18" t="s">
        <v>1331</v>
      </c>
      <c r="H179" s="19" t="s">
        <v>2091</v>
      </c>
      <c r="I179" s="20"/>
      <c r="J179" s="18" t="s">
        <v>1332</v>
      </c>
      <c r="K179" s="19" t="s">
        <v>2095</v>
      </c>
      <c r="L179" s="20"/>
      <c r="M179" s="18" t="s">
        <v>1333</v>
      </c>
      <c r="N179" s="19" t="s">
        <v>2097</v>
      </c>
      <c r="O179" s="20"/>
    </row>
    <row r="180" ht="180.0" customHeight="1">
      <c r="A180" s="21" t="str">
        <f>IMAGE("https://assets.tcgdex.net/de/sv/sv08/221/low.jpg", 1)</f>
        <v/>
      </c>
      <c r="B180" s="22"/>
      <c r="C180" s="20"/>
      <c r="D180" s="21" t="str">
        <f>IMAGE("https://assets.tcgdex.net/de/sv/sv08/222/low.jpg", 1)</f>
        <v/>
      </c>
      <c r="E180" s="22"/>
      <c r="F180" s="20"/>
      <c r="G180" s="21" t="str">
        <f>IMAGE("https://assets.tcgdex.net/de/sv/sv08/223/low.jpg", 1)</f>
        <v/>
      </c>
      <c r="H180" s="22"/>
      <c r="I180" s="20"/>
      <c r="J180" s="21" t="str">
        <f>IMAGE("https://assets.tcgdex.net/de/sv/sv08/224/low.jpg", 1)</f>
        <v/>
      </c>
      <c r="K180" s="22"/>
      <c r="L180" s="20"/>
      <c r="M180" s="21" t="str">
        <f>IMAGE("https://assets.tcgdex.net/de/sv/sv08/225/low.jpg", 1)</f>
        <v/>
      </c>
      <c r="N180" s="22"/>
      <c r="O180" s="20"/>
    </row>
    <row r="181" ht="22.5" customHeight="1">
      <c r="A181" s="23" t="b">
        <v>0</v>
      </c>
      <c r="B181" s="24" t="b">
        <v>0</v>
      </c>
      <c r="C181" s="25" t="str">
        <f>HYPERLINK("https://www.cardmarket.com/en/Pokemon/Products/Singles?idCategory=1&amp;idProduct=sv8-221", "CM")</f>
        <v>CM</v>
      </c>
      <c r="D181" s="23" t="b">
        <v>0</v>
      </c>
      <c r="E181" s="24" t="b">
        <v>0</v>
      </c>
      <c r="F181" s="25" t="str">
        <f>HYPERLINK("https://www.cardmarket.com/en/Pokemon/Products/Singles?idCategory=1&amp;idProduct=sv8-222", "CM")</f>
        <v>CM</v>
      </c>
      <c r="G181" s="23" t="b">
        <v>0</v>
      </c>
      <c r="H181" s="24" t="b">
        <v>0</v>
      </c>
      <c r="I181" s="25" t="str">
        <f>HYPERLINK("https://www.cardmarket.com/en/Pokemon/Products/Singles?idCategory=1&amp;idProduct=sv8-223", "CM")</f>
        <v>CM</v>
      </c>
      <c r="J181" s="23" t="b">
        <v>0</v>
      </c>
      <c r="K181" s="24" t="b">
        <v>0</v>
      </c>
      <c r="L181" s="25" t="str">
        <f>HYPERLINK("https://www.cardmarket.com/en/Pokemon/Products/Singles?idCategory=1&amp;idProduct=sv8-224", "CM")</f>
        <v>CM</v>
      </c>
      <c r="M181" s="23" t="b">
        <v>0</v>
      </c>
      <c r="N181" s="24" t="b">
        <v>0</v>
      </c>
      <c r="O181" s="25" t="str">
        <f>HYPERLINK("https://www.cardmarket.com/en/Pokemon/Products/Singles?idCategory=1&amp;idProduct=sv8-225", "CM")</f>
        <v>CM</v>
      </c>
    </row>
    <row r="182" ht="7.5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</row>
    <row r="183" ht="18.75" customHeight="1">
      <c r="A183" s="18" t="s">
        <v>1189</v>
      </c>
      <c r="B183" s="19" t="s">
        <v>2102</v>
      </c>
      <c r="C183" s="20"/>
      <c r="D183" s="18" t="s">
        <v>1334</v>
      </c>
      <c r="E183" s="19" t="s">
        <v>2105</v>
      </c>
      <c r="F183" s="20"/>
      <c r="G183" s="18" t="s">
        <v>1335</v>
      </c>
      <c r="H183" s="19" t="s">
        <v>757</v>
      </c>
      <c r="I183" s="20"/>
      <c r="J183" s="18" t="s">
        <v>1191</v>
      </c>
      <c r="K183" s="19" t="s">
        <v>2116</v>
      </c>
      <c r="L183" s="20"/>
      <c r="M183" s="18" t="s">
        <v>1336</v>
      </c>
      <c r="N183" s="19" t="s">
        <v>2119</v>
      </c>
      <c r="O183" s="20"/>
    </row>
    <row r="184" ht="180.0" customHeight="1">
      <c r="A184" s="21" t="str">
        <f>IMAGE("https://assets.tcgdex.net/de/sv/sv08/226/low.jpg", 1)</f>
        <v/>
      </c>
      <c r="B184" s="22"/>
      <c r="C184" s="20"/>
      <c r="D184" s="21" t="str">
        <f>IMAGE("https://assets.tcgdex.net/de/sv/sv08/227/low.jpg", 1)</f>
        <v/>
      </c>
      <c r="E184" s="22"/>
      <c r="F184" s="20"/>
      <c r="G184" s="21" t="str">
        <f>IMAGE("https://assets.tcgdex.net/de/sv/sv08/228/low.jpg", 1)</f>
        <v/>
      </c>
      <c r="H184" s="22"/>
      <c r="I184" s="20"/>
      <c r="J184" s="21" t="str">
        <f>IMAGE("https://assets.tcgdex.net/de/sv/sv08/229/low.jpg", 1)</f>
        <v/>
      </c>
      <c r="K184" s="22"/>
      <c r="L184" s="20"/>
      <c r="M184" s="21" t="str">
        <f>IMAGE("https://assets.tcgdex.net/de/sv/sv08/230/low.jpg", 1)</f>
        <v/>
      </c>
      <c r="N184" s="22"/>
      <c r="O184" s="20"/>
    </row>
    <row r="185" ht="22.5" customHeight="1">
      <c r="A185" s="23" t="b">
        <v>0</v>
      </c>
      <c r="B185" s="24" t="b">
        <v>0</v>
      </c>
      <c r="C185" s="25" t="str">
        <f>HYPERLINK("https://www.cardmarket.com/en/Pokemon/Products/Singles?idCategory=1&amp;idProduct=sv8-226", "CM")</f>
        <v>CM</v>
      </c>
      <c r="D185" s="23" t="b">
        <v>0</v>
      </c>
      <c r="E185" s="24" t="b">
        <v>0</v>
      </c>
      <c r="F185" s="25" t="str">
        <f>HYPERLINK("https://www.cardmarket.com/en/Pokemon/Products/Singles?idCategory=1&amp;idProduct=sv8-227", "CM")</f>
        <v>CM</v>
      </c>
      <c r="G185" s="23" t="b">
        <v>0</v>
      </c>
      <c r="H185" s="24" t="b">
        <v>0</v>
      </c>
      <c r="I185" s="25" t="str">
        <f>HYPERLINK("https://www.cardmarket.com/en/Pokemon/Products/Singles?idCategory=1&amp;idProduct=sv8-228", "CM")</f>
        <v>CM</v>
      </c>
      <c r="J185" s="23" t="b">
        <v>0</v>
      </c>
      <c r="K185" s="24" t="b">
        <v>0</v>
      </c>
      <c r="L185" s="25" t="str">
        <f>HYPERLINK("https://www.cardmarket.com/en/Pokemon/Products/Singles?idCategory=1&amp;idProduct=sv8-229", "CM")</f>
        <v>CM</v>
      </c>
      <c r="M185" s="23" t="b">
        <v>0</v>
      </c>
      <c r="N185" s="24" t="b">
        <v>0</v>
      </c>
      <c r="O185" s="25" t="str">
        <f>HYPERLINK("https://www.cardmarket.com/en/Pokemon/Products/Singles?idCategory=1&amp;idProduct=sv8-230", "CM")</f>
        <v>CM</v>
      </c>
    </row>
    <row r="186" ht="7.5" customHeigh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</row>
    <row r="187" ht="18.75" customHeight="1">
      <c r="A187" s="18" t="s">
        <v>1337</v>
      </c>
      <c r="B187" s="19" t="s">
        <v>2122</v>
      </c>
      <c r="C187" s="20"/>
      <c r="D187" s="18" t="s">
        <v>1338</v>
      </c>
      <c r="E187" s="19" t="s">
        <v>2123</v>
      </c>
      <c r="F187" s="20"/>
      <c r="G187" s="18" t="s">
        <v>1339</v>
      </c>
      <c r="H187" s="19" t="s">
        <v>2127</v>
      </c>
      <c r="I187" s="20"/>
      <c r="J187" s="18" t="s">
        <v>1340</v>
      </c>
      <c r="K187" s="19" t="s">
        <v>2128</v>
      </c>
      <c r="L187" s="20"/>
      <c r="M187" s="18" t="s">
        <v>1193</v>
      </c>
      <c r="N187" s="19" t="s">
        <v>2136</v>
      </c>
      <c r="O187" s="20"/>
    </row>
    <row r="188" ht="180.0" customHeight="1">
      <c r="A188" s="21" t="str">
        <f>IMAGE("https://assets.tcgdex.net/de/sv/sv08/231/low.jpg", 1)</f>
        <v/>
      </c>
      <c r="B188" s="22"/>
      <c r="C188" s="20"/>
      <c r="D188" s="21" t="str">
        <f>IMAGE("https://assets.tcgdex.net/de/sv/sv08/232/low.jpg", 1)</f>
        <v/>
      </c>
      <c r="E188" s="22"/>
      <c r="F188" s="20"/>
      <c r="G188" s="21" t="str">
        <f>IMAGE("https://assets.tcgdex.net/de/sv/sv08/233/low.jpg", 1)</f>
        <v/>
      </c>
      <c r="H188" s="22"/>
      <c r="I188" s="20"/>
      <c r="J188" s="21" t="str">
        <f>IMAGE("https://assets.tcgdex.net/de/sv/sv08/234/low.jpg", 1)</f>
        <v/>
      </c>
      <c r="K188" s="22"/>
      <c r="L188" s="20"/>
      <c r="M188" s="21" t="str">
        <f>IMAGE("https://assets.tcgdex.net/de/sv/sv08/235/low.jpg", 1)</f>
        <v/>
      </c>
      <c r="N188" s="22"/>
      <c r="O188" s="20"/>
    </row>
    <row r="189" ht="22.5" customHeight="1">
      <c r="A189" s="23" t="b">
        <v>0</v>
      </c>
      <c r="B189" s="24" t="b">
        <v>0</v>
      </c>
      <c r="C189" s="25" t="str">
        <f>HYPERLINK("https://www.cardmarket.com/en/Pokemon/Products/Singles?idCategory=1&amp;idProduct=sv8-231", "CM")</f>
        <v>CM</v>
      </c>
      <c r="D189" s="23" t="b">
        <v>0</v>
      </c>
      <c r="E189" s="24" t="b">
        <v>0</v>
      </c>
      <c r="F189" s="25" t="str">
        <f>HYPERLINK("https://www.cardmarket.com/en/Pokemon/Products/Singles?idCategory=1&amp;idProduct=sv8-232", "CM")</f>
        <v>CM</v>
      </c>
      <c r="G189" s="23" t="b">
        <v>0</v>
      </c>
      <c r="H189" s="24" t="b">
        <v>0</v>
      </c>
      <c r="I189" s="25" t="str">
        <f>HYPERLINK("https://www.cardmarket.com/en/Pokemon/Products/Singles?idCategory=1&amp;idProduct=sv8-233", "CM")</f>
        <v>CM</v>
      </c>
      <c r="J189" s="23" t="b">
        <v>0</v>
      </c>
      <c r="K189" s="24" t="b">
        <v>0</v>
      </c>
      <c r="L189" s="25" t="str">
        <f>HYPERLINK("https://www.cardmarket.com/en/Pokemon/Products/Singles?idCategory=1&amp;idProduct=sv8-234", "CM")</f>
        <v>CM</v>
      </c>
      <c r="M189" s="23" t="b">
        <v>0</v>
      </c>
      <c r="N189" s="24" t="b">
        <v>0</v>
      </c>
      <c r="O189" s="25" t="str">
        <f>HYPERLINK("https://www.cardmarket.com/en/Pokemon/Products/Singles?idCategory=1&amp;idProduct=sv8-235", "CM")</f>
        <v>CM</v>
      </c>
    </row>
    <row r="190" ht="7.5" customHeight="1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</row>
    <row r="191" ht="18.75" customHeight="1">
      <c r="A191" s="18" t="s">
        <v>1341</v>
      </c>
      <c r="B191" s="19" t="s">
        <v>2056</v>
      </c>
      <c r="C191" s="20"/>
      <c r="D191" s="18" t="s">
        <v>1342</v>
      </c>
      <c r="E191" s="19" t="s">
        <v>2063</v>
      </c>
      <c r="F191" s="20"/>
      <c r="G191" s="18" t="s">
        <v>1343</v>
      </c>
      <c r="H191" s="19" t="s">
        <v>639</v>
      </c>
      <c r="I191" s="20"/>
      <c r="J191" s="18" t="s">
        <v>1195</v>
      </c>
      <c r="K191" s="19" t="s">
        <v>2072</v>
      </c>
      <c r="L191" s="20"/>
      <c r="M191" s="18" t="s">
        <v>1344</v>
      </c>
      <c r="N191" s="19" t="s">
        <v>2091</v>
      </c>
      <c r="O191" s="20"/>
    </row>
    <row r="192" ht="180.0" customHeight="1">
      <c r="A192" s="21" t="str">
        <f>IMAGE("https://assets.tcgdex.net/de/sv/sv08/236/low.jpg", 1)</f>
        <v/>
      </c>
      <c r="B192" s="22"/>
      <c r="C192" s="20"/>
      <c r="D192" s="21" t="str">
        <f>IMAGE("https://assets.tcgdex.net/de/sv/sv08/237/low.jpg", 1)</f>
        <v/>
      </c>
      <c r="E192" s="22"/>
      <c r="F192" s="20"/>
      <c r="G192" s="21" t="str">
        <f>IMAGE("https://assets.tcgdex.net/de/sv/sv08/238/low.jpg", 1)</f>
        <v/>
      </c>
      <c r="H192" s="22"/>
      <c r="I192" s="20"/>
      <c r="J192" s="21" t="str">
        <f>IMAGE("https://assets.tcgdex.net/de/sv/sv08/239/low.jpg", 1)</f>
        <v/>
      </c>
      <c r="K192" s="22"/>
      <c r="L192" s="20"/>
      <c r="M192" s="21" t="str">
        <f>IMAGE("https://assets.tcgdex.net/de/sv/sv08/240/low.jpg", 1)</f>
        <v/>
      </c>
      <c r="N192" s="22"/>
      <c r="O192" s="20"/>
    </row>
    <row r="193" ht="22.5" customHeight="1">
      <c r="A193" s="23" t="b">
        <v>0</v>
      </c>
      <c r="B193" s="24" t="b">
        <v>0</v>
      </c>
      <c r="C193" s="25" t="str">
        <f>HYPERLINK("https://www.cardmarket.com/en/Pokemon/Products/Singles?idCategory=1&amp;idProduct=sv8-236", "CM")</f>
        <v>CM</v>
      </c>
      <c r="D193" s="23" t="b">
        <v>0</v>
      </c>
      <c r="E193" s="24" t="b">
        <v>0</v>
      </c>
      <c r="F193" s="25" t="str">
        <f>HYPERLINK("https://www.cardmarket.com/en/Pokemon/Products/Singles?idCategory=1&amp;idProduct=sv8-237", "CM")</f>
        <v>CM</v>
      </c>
      <c r="G193" s="23" t="b">
        <v>0</v>
      </c>
      <c r="H193" s="24" t="b">
        <v>0</v>
      </c>
      <c r="I193" s="25" t="str">
        <f>HYPERLINK("https://www.cardmarket.com/en/Pokemon/Products/Singles?idCategory=1&amp;idProduct=sv8-238", "CM")</f>
        <v>CM</v>
      </c>
      <c r="J193" s="23" t="b">
        <v>0</v>
      </c>
      <c r="K193" s="24" t="b">
        <v>0</v>
      </c>
      <c r="L193" s="25" t="str">
        <f>HYPERLINK("https://www.cardmarket.com/en/Pokemon/Products/Singles?idCategory=1&amp;idProduct=sv8-239", "CM")</f>
        <v>CM</v>
      </c>
      <c r="M193" s="23" t="b">
        <v>0</v>
      </c>
      <c r="N193" s="24" t="b">
        <v>0</v>
      </c>
      <c r="O193" s="25" t="str">
        <f>HYPERLINK("https://www.cardmarket.com/en/Pokemon/Products/Singles?idCategory=1&amp;idProduct=sv8-240", "CM")</f>
        <v>CM</v>
      </c>
    </row>
    <row r="194" ht="7.5" customHeight="1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</row>
    <row r="195" ht="18.75" customHeight="1">
      <c r="A195" s="18" t="s">
        <v>1345</v>
      </c>
      <c r="B195" s="19" t="s">
        <v>2095</v>
      </c>
      <c r="C195" s="20"/>
      <c r="D195" s="18" t="s">
        <v>1346</v>
      </c>
      <c r="E195" s="19" t="s">
        <v>2097</v>
      </c>
      <c r="F195" s="20"/>
      <c r="G195" s="18" t="s">
        <v>1347</v>
      </c>
      <c r="H195" s="19" t="s">
        <v>2116</v>
      </c>
      <c r="I195" s="20"/>
      <c r="J195" s="18" t="s">
        <v>1197</v>
      </c>
      <c r="K195" s="19" t="s">
        <v>2123</v>
      </c>
      <c r="L195" s="20"/>
      <c r="M195" s="18" t="s">
        <v>1348</v>
      </c>
      <c r="N195" s="19" t="s">
        <v>2127</v>
      </c>
      <c r="O195" s="20"/>
    </row>
    <row r="196" ht="180.0" customHeight="1">
      <c r="A196" s="21" t="str">
        <f>IMAGE("https://assets.tcgdex.net/de/sv/sv08/241/low.jpg", 1)</f>
        <v/>
      </c>
      <c r="B196" s="22"/>
      <c r="C196" s="20"/>
      <c r="D196" s="21" t="str">
        <f>IMAGE("https://assets.tcgdex.net/de/sv/sv08/242/low.jpg", 1)</f>
        <v/>
      </c>
      <c r="E196" s="22"/>
      <c r="F196" s="20"/>
      <c r="G196" s="21" t="str">
        <f>IMAGE("https://assets.tcgdex.net/de/sv/sv08/243/low.jpg", 1)</f>
        <v/>
      </c>
      <c r="H196" s="22"/>
      <c r="I196" s="20"/>
      <c r="J196" s="21" t="str">
        <f>IMAGE("https://assets.tcgdex.net/de/sv/sv08/244/low.jpg", 1)</f>
        <v/>
      </c>
      <c r="K196" s="22"/>
      <c r="L196" s="20"/>
      <c r="M196" s="21" t="str">
        <f>IMAGE("https://assets.tcgdex.net/de/sv/sv08/245/low.jpg", 1)</f>
        <v/>
      </c>
      <c r="N196" s="22"/>
      <c r="O196" s="20"/>
    </row>
    <row r="197" ht="22.5" customHeight="1">
      <c r="A197" s="23" t="b">
        <v>0</v>
      </c>
      <c r="B197" s="24" t="b">
        <v>0</v>
      </c>
      <c r="C197" s="25" t="str">
        <f>HYPERLINK("https://www.cardmarket.com/en/Pokemon/Products/Singles?idCategory=1&amp;idProduct=sv8-241", "CM")</f>
        <v>CM</v>
      </c>
      <c r="D197" s="23" t="b">
        <v>0</v>
      </c>
      <c r="E197" s="24" t="b">
        <v>0</v>
      </c>
      <c r="F197" s="25" t="str">
        <f>HYPERLINK("https://www.cardmarket.com/en/Pokemon/Products/Singles?idCategory=1&amp;idProduct=sv8-242", "CM")</f>
        <v>CM</v>
      </c>
      <c r="G197" s="23" t="b">
        <v>0</v>
      </c>
      <c r="H197" s="24" t="b">
        <v>0</v>
      </c>
      <c r="I197" s="25" t="str">
        <f>HYPERLINK("https://www.cardmarket.com/en/Pokemon/Products/Singles?idCategory=1&amp;idProduct=sv8-243", "CM")</f>
        <v>CM</v>
      </c>
      <c r="J197" s="23" t="b">
        <v>0</v>
      </c>
      <c r="K197" s="24" t="b">
        <v>0</v>
      </c>
      <c r="L197" s="25" t="str">
        <f>HYPERLINK("https://www.cardmarket.com/en/Pokemon/Products/Singles?idCategory=1&amp;idProduct=sv8-244", "CM")</f>
        <v>CM</v>
      </c>
      <c r="M197" s="23" t="b">
        <v>0</v>
      </c>
      <c r="N197" s="24" t="b">
        <v>0</v>
      </c>
      <c r="O197" s="25" t="str">
        <f>HYPERLINK("https://www.cardmarket.com/en/Pokemon/Products/Singles?idCategory=1&amp;idProduct=sv8-245", "CM")</f>
        <v>CM</v>
      </c>
    </row>
    <row r="198" ht="7.5" customHeight="1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</row>
    <row r="199" ht="18.75" customHeight="1">
      <c r="A199" s="18" t="s">
        <v>1198</v>
      </c>
      <c r="B199" s="19" t="s">
        <v>2128</v>
      </c>
      <c r="C199" s="20"/>
      <c r="D199" s="18" t="s">
        <v>1349</v>
      </c>
      <c r="E199" s="19" t="s">
        <v>639</v>
      </c>
      <c r="F199" s="20"/>
      <c r="G199" s="18" t="s">
        <v>1199</v>
      </c>
      <c r="H199" s="19" t="s">
        <v>2097</v>
      </c>
      <c r="I199" s="20"/>
      <c r="J199" s="18" t="s">
        <v>1350</v>
      </c>
      <c r="K199" s="19" t="s">
        <v>2118</v>
      </c>
      <c r="L199" s="20"/>
      <c r="M199" s="18" t="s">
        <v>1351</v>
      </c>
      <c r="N199" s="19" t="s">
        <v>2126</v>
      </c>
      <c r="O199" s="20"/>
    </row>
    <row r="200" ht="180.0" customHeight="1">
      <c r="A200" s="21" t="str">
        <f>IMAGE("https://assets.tcgdex.net/de/sv/sv08/246/low.jpg", 1)</f>
        <v/>
      </c>
      <c r="B200" s="22"/>
      <c r="C200" s="20"/>
      <c r="D200" s="21" t="str">
        <f>IMAGE("https://assets.tcgdex.net/de/sv/sv08/247/low.jpg", 1)</f>
        <v/>
      </c>
      <c r="E200" s="22"/>
      <c r="F200" s="20"/>
      <c r="G200" s="21" t="str">
        <f>IMAGE("https://assets.tcgdex.net/de/sv/sv08/248/low.jpg", 1)</f>
        <v/>
      </c>
      <c r="H200" s="22"/>
      <c r="I200" s="20"/>
      <c r="J200" s="21" t="str">
        <f>IMAGE("https://assets.tcgdex.net/de/sv/sv08/249/low.jpg", 1)</f>
        <v/>
      </c>
      <c r="K200" s="22"/>
      <c r="L200" s="20"/>
      <c r="M200" s="21" t="str">
        <f>IMAGE("https://assets.tcgdex.net/de/sv/sv08/250/low.jpg", 1)</f>
        <v/>
      </c>
      <c r="N200" s="22"/>
      <c r="O200" s="20"/>
    </row>
    <row r="201" ht="22.5" customHeight="1">
      <c r="A201" s="23" t="b">
        <v>0</v>
      </c>
      <c r="B201" s="24" t="b">
        <v>0</v>
      </c>
      <c r="C201" s="25" t="str">
        <f>HYPERLINK("https://www.cardmarket.com/en/Pokemon/Products/Singles?idCategory=1&amp;idProduct=sv8-246", "CM")</f>
        <v>CM</v>
      </c>
      <c r="D201" s="23" t="b">
        <v>0</v>
      </c>
      <c r="E201" s="24" t="b">
        <v>0</v>
      </c>
      <c r="F201" s="25" t="str">
        <f>HYPERLINK("https://www.cardmarket.com/en/Pokemon/Products/Singles?idCategory=1&amp;idProduct=sv8-247", "CM")</f>
        <v>CM</v>
      </c>
      <c r="G201" s="23" t="b">
        <v>0</v>
      </c>
      <c r="H201" s="24" t="b">
        <v>0</v>
      </c>
      <c r="I201" s="25" t="str">
        <f>HYPERLINK("https://www.cardmarket.com/en/Pokemon/Products/Singles?idCategory=1&amp;idProduct=sv8-248", "CM")</f>
        <v>CM</v>
      </c>
      <c r="J201" s="23" t="b">
        <v>0</v>
      </c>
      <c r="K201" s="24" t="b">
        <v>0</v>
      </c>
      <c r="L201" s="25" t="str">
        <f>HYPERLINK("https://www.cardmarket.com/en/Pokemon/Products/Singles?idCategory=1&amp;idProduct=sv8-249", "CM")</f>
        <v>CM</v>
      </c>
      <c r="M201" s="23" t="b">
        <v>0</v>
      </c>
      <c r="N201" s="24" t="b">
        <v>0</v>
      </c>
      <c r="O201" s="25" t="str">
        <f>HYPERLINK("https://www.cardmarket.com/en/Pokemon/Products/Singles?idCategory=1&amp;idProduct=sv8-250", "CM")</f>
        <v>CM</v>
      </c>
    </row>
    <row r="202" ht="7.5" customHeight="1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</row>
    <row r="203" ht="18.75" customHeight="1">
      <c r="A203" s="18" t="s">
        <v>1352</v>
      </c>
      <c r="B203" s="19" t="s">
        <v>1984</v>
      </c>
      <c r="C203" s="20"/>
      <c r="D203" s="18" t="s">
        <v>1200</v>
      </c>
      <c r="E203" s="19" t="s">
        <v>2141</v>
      </c>
      <c r="F203" s="20"/>
      <c r="G203" s="26"/>
      <c r="H203" s="26"/>
      <c r="I203" s="26"/>
      <c r="J203" s="26"/>
      <c r="K203" s="26"/>
      <c r="L203" s="26"/>
      <c r="M203" s="26"/>
      <c r="N203" s="26"/>
      <c r="O203" s="26"/>
    </row>
    <row r="204" ht="180.0" customHeight="1">
      <c r="A204" s="21" t="str">
        <f>IMAGE("https://assets.tcgdex.net/de/sv/sv08/251/low.jpg", 1)</f>
        <v/>
      </c>
      <c r="B204" s="22"/>
      <c r="C204" s="20"/>
      <c r="D204" s="21" t="str">
        <f>IMAGE("https://assets.tcgdex.net/de/sv/sv08/252/low.jpg", 1)</f>
        <v/>
      </c>
      <c r="E204" s="22"/>
      <c r="F204" s="20"/>
      <c r="G204" s="26"/>
      <c r="H204" s="26"/>
      <c r="I204" s="26"/>
      <c r="J204" s="26"/>
      <c r="K204" s="26"/>
      <c r="L204" s="26"/>
      <c r="M204" s="26"/>
      <c r="N204" s="26"/>
      <c r="O204" s="26"/>
    </row>
    <row r="205" ht="22.5" customHeight="1">
      <c r="A205" s="23" t="b">
        <v>0</v>
      </c>
      <c r="B205" s="24" t="b">
        <v>0</v>
      </c>
      <c r="C205" s="25" t="str">
        <f>HYPERLINK("https://www.cardmarket.com/en/Pokemon/Products/Singles?idCategory=1&amp;idProduct=sv8-251", "CM")</f>
        <v>CM</v>
      </c>
      <c r="D205" s="23" t="b">
        <v>0</v>
      </c>
      <c r="E205" s="24" t="b">
        <v>0</v>
      </c>
      <c r="F205" s="25" t="str">
        <f>HYPERLINK("https://www.cardmarket.com/en/Pokemon/Products/Singles?idCategory=1&amp;idProduct=sv8-252", "CM")</f>
        <v>CM</v>
      </c>
      <c r="G205" s="26"/>
      <c r="H205" s="26"/>
      <c r="I205" s="26"/>
      <c r="J205" s="26"/>
      <c r="K205" s="26"/>
      <c r="L205" s="26"/>
      <c r="M205" s="26"/>
      <c r="N205" s="26"/>
      <c r="O205" s="26"/>
    </row>
    <row r="206" ht="7.5" customHeight="1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</row>
  </sheetData>
  <mergeCells count="506">
    <mergeCell ref="H3:I3"/>
    <mergeCell ref="K3:L3"/>
    <mergeCell ref="J4:L4"/>
    <mergeCell ref="N3:O3"/>
    <mergeCell ref="M4:O4"/>
    <mergeCell ref="A1:N1"/>
    <mergeCell ref="A2:O2"/>
    <mergeCell ref="B3:C3"/>
    <mergeCell ref="A4:C4"/>
    <mergeCell ref="E3:F3"/>
    <mergeCell ref="D4:F4"/>
    <mergeCell ref="G4:I4"/>
    <mergeCell ref="K7:L7"/>
    <mergeCell ref="N7:O7"/>
    <mergeCell ref="M8:O8"/>
    <mergeCell ref="B7:C7"/>
    <mergeCell ref="A8:C8"/>
    <mergeCell ref="E7:F7"/>
    <mergeCell ref="D8:F8"/>
    <mergeCell ref="H7:I7"/>
    <mergeCell ref="G8:I8"/>
    <mergeCell ref="J8:L8"/>
    <mergeCell ref="K11:L11"/>
    <mergeCell ref="N11:O11"/>
    <mergeCell ref="M12:O12"/>
    <mergeCell ref="B11:C11"/>
    <mergeCell ref="A12:C12"/>
    <mergeCell ref="E11:F11"/>
    <mergeCell ref="D12:F12"/>
    <mergeCell ref="H11:I11"/>
    <mergeCell ref="G12:I12"/>
    <mergeCell ref="J12:L12"/>
    <mergeCell ref="K27:L27"/>
    <mergeCell ref="N27:O27"/>
    <mergeCell ref="M28:O28"/>
    <mergeCell ref="B27:C27"/>
    <mergeCell ref="A28:C28"/>
    <mergeCell ref="E27:F27"/>
    <mergeCell ref="D28:F28"/>
    <mergeCell ref="H27:I27"/>
    <mergeCell ref="G28:I28"/>
    <mergeCell ref="J28:L28"/>
    <mergeCell ref="K31:L31"/>
    <mergeCell ref="N31:O31"/>
    <mergeCell ref="M32:O32"/>
    <mergeCell ref="B31:C31"/>
    <mergeCell ref="A32:C32"/>
    <mergeCell ref="E31:F31"/>
    <mergeCell ref="D32:F32"/>
    <mergeCell ref="H31:I31"/>
    <mergeCell ref="G32:I32"/>
    <mergeCell ref="J32:L32"/>
    <mergeCell ref="K35:L35"/>
    <mergeCell ref="N35:O35"/>
    <mergeCell ref="M36:O36"/>
    <mergeCell ref="B35:C35"/>
    <mergeCell ref="A36:C36"/>
    <mergeCell ref="E35:F35"/>
    <mergeCell ref="D36:F36"/>
    <mergeCell ref="H35:I35"/>
    <mergeCell ref="G36:I36"/>
    <mergeCell ref="J36:L36"/>
    <mergeCell ref="K39:L39"/>
    <mergeCell ref="N39:O39"/>
    <mergeCell ref="M40:O40"/>
    <mergeCell ref="B39:C39"/>
    <mergeCell ref="A40:C40"/>
    <mergeCell ref="E39:F39"/>
    <mergeCell ref="D40:F40"/>
    <mergeCell ref="H39:I39"/>
    <mergeCell ref="G40:I40"/>
    <mergeCell ref="J40:L40"/>
    <mergeCell ref="K43:L43"/>
    <mergeCell ref="N43:O43"/>
    <mergeCell ref="M44:O44"/>
    <mergeCell ref="B43:C43"/>
    <mergeCell ref="A44:C44"/>
    <mergeCell ref="E43:F43"/>
    <mergeCell ref="D44:F44"/>
    <mergeCell ref="H43:I43"/>
    <mergeCell ref="G44:I44"/>
    <mergeCell ref="J44:L44"/>
    <mergeCell ref="K47:L47"/>
    <mergeCell ref="N47:O47"/>
    <mergeCell ref="M48:O48"/>
    <mergeCell ref="B47:C47"/>
    <mergeCell ref="A48:C48"/>
    <mergeCell ref="E47:F47"/>
    <mergeCell ref="D48:F48"/>
    <mergeCell ref="H47:I47"/>
    <mergeCell ref="G48:I48"/>
    <mergeCell ref="J48:L48"/>
    <mergeCell ref="K51:L51"/>
    <mergeCell ref="N51:O51"/>
    <mergeCell ref="M52:O52"/>
    <mergeCell ref="B51:C51"/>
    <mergeCell ref="A52:C52"/>
    <mergeCell ref="E51:F51"/>
    <mergeCell ref="D52:F52"/>
    <mergeCell ref="H51:I51"/>
    <mergeCell ref="G52:I52"/>
    <mergeCell ref="J52:L52"/>
    <mergeCell ref="K55:L55"/>
    <mergeCell ref="N55:O55"/>
    <mergeCell ref="M56:O56"/>
    <mergeCell ref="B55:C55"/>
    <mergeCell ref="A56:C56"/>
    <mergeCell ref="E55:F55"/>
    <mergeCell ref="D56:F56"/>
    <mergeCell ref="H55:I55"/>
    <mergeCell ref="G56:I56"/>
    <mergeCell ref="J56:L56"/>
    <mergeCell ref="K59:L59"/>
    <mergeCell ref="N59:O59"/>
    <mergeCell ref="M60:O60"/>
    <mergeCell ref="B59:C59"/>
    <mergeCell ref="A60:C60"/>
    <mergeCell ref="E59:F59"/>
    <mergeCell ref="D60:F60"/>
    <mergeCell ref="H59:I59"/>
    <mergeCell ref="G60:I60"/>
    <mergeCell ref="J60:L60"/>
    <mergeCell ref="K63:L63"/>
    <mergeCell ref="N63:O63"/>
    <mergeCell ref="M64:O64"/>
    <mergeCell ref="B63:C63"/>
    <mergeCell ref="A64:C64"/>
    <mergeCell ref="E63:F63"/>
    <mergeCell ref="D64:F64"/>
    <mergeCell ref="H63:I63"/>
    <mergeCell ref="G64:I64"/>
    <mergeCell ref="J64:L64"/>
    <mergeCell ref="K67:L67"/>
    <mergeCell ref="N67:O67"/>
    <mergeCell ref="M68:O68"/>
    <mergeCell ref="B67:C67"/>
    <mergeCell ref="A68:C68"/>
    <mergeCell ref="E67:F67"/>
    <mergeCell ref="D68:F68"/>
    <mergeCell ref="H67:I67"/>
    <mergeCell ref="G68:I68"/>
    <mergeCell ref="J68:L68"/>
    <mergeCell ref="K71:L71"/>
    <mergeCell ref="N71:O71"/>
    <mergeCell ref="M72:O72"/>
    <mergeCell ref="B71:C71"/>
    <mergeCell ref="A72:C72"/>
    <mergeCell ref="E71:F71"/>
    <mergeCell ref="D72:F72"/>
    <mergeCell ref="H71:I71"/>
    <mergeCell ref="G72:I72"/>
    <mergeCell ref="J72:L72"/>
    <mergeCell ref="K75:L75"/>
    <mergeCell ref="N75:O75"/>
    <mergeCell ref="M76:O76"/>
    <mergeCell ref="B75:C75"/>
    <mergeCell ref="A76:C76"/>
    <mergeCell ref="E75:F75"/>
    <mergeCell ref="D76:F76"/>
    <mergeCell ref="H75:I75"/>
    <mergeCell ref="G76:I76"/>
    <mergeCell ref="J76:L76"/>
    <mergeCell ref="K79:L79"/>
    <mergeCell ref="N79:O79"/>
    <mergeCell ref="M80:O80"/>
    <mergeCell ref="B79:C79"/>
    <mergeCell ref="A80:C80"/>
    <mergeCell ref="E79:F79"/>
    <mergeCell ref="D80:F80"/>
    <mergeCell ref="H79:I79"/>
    <mergeCell ref="G80:I80"/>
    <mergeCell ref="J80:L80"/>
    <mergeCell ref="K83:L83"/>
    <mergeCell ref="N83:O83"/>
    <mergeCell ref="M84:O84"/>
    <mergeCell ref="B83:C83"/>
    <mergeCell ref="A84:C84"/>
    <mergeCell ref="E83:F83"/>
    <mergeCell ref="D84:F84"/>
    <mergeCell ref="H83:I83"/>
    <mergeCell ref="G84:I84"/>
    <mergeCell ref="J84:L84"/>
    <mergeCell ref="K87:L87"/>
    <mergeCell ref="N87:O87"/>
    <mergeCell ref="M88:O88"/>
    <mergeCell ref="B87:C87"/>
    <mergeCell ref="A88:C88"/>
    <mergeCell ref="E87:F87"/>
    <mergeCell ref="D88:F88"/>
    <mergeCell ref="H87:I87"/>
    <mergeCell ref="G88:I88"/>
    <mergeCell ref="J88:L88"/>
    <mergeCell ref="K91:L91"/>
    <mergeCell ref="N91:O91"/>
    <mergeCell ref="M92:O92"/>
    <mergeCell ref="B91:C91"/>
    <mergeCell ref="A92:C92"/>
    <mergeCell ref="E91:F91"/>
    <mergeCell ref="D92:F92"/>
    <mergeCell ref="H91:I91"/>
    <mergeCell ref="G92:I92"/>
    <mergeCell ref="J92:L92"/>
    <mergeCell ref="K95:L95"/>
    <mergeCell ref="N95:O95"/>
    <mergeCell ref="M96:O96"/>
    <mergeCell ref="B95:C95"/>
    <mergeCell ref="A96:C96"/>
    <mergeCell ref="E95:F95"/>
    <mergeCell ref="D96:F96"/>
    <mergeCell ref="H95:I95"/>
    <mergeCell ref="G96:I96"/>
    <mergeCell ref="J96:L96"/>
    <mergeCell ref="K99:L99"/>
    <mergeCell ref="N99:O99"/>
    <mergeCell ref="M100:O100"/>
    <mergeCell ref="B99:C99"/>
    <mergeCell ref="A100:C100"/>
    <mergeCell ref="E99:F99"/>
    <mergeCell ref="D100:F100"/>
    <mergeCell ref="H99:I99"/>
    <mergeCell ref="G100:I100"/>
    <mergeCell ref="J100:L100"/>
    <mergeCell ref="K103:L103"/>
    <mergeCell ref="N103:O103"/>
    <mergeCell ref="M104:O104"/>
    <mergeCell ref="B103:C103"/>
    <mergeCell ref="A104:C104"/>
    <mergeCell ref="E103:F103"/>
    <mergeCell ref="D104:F104"/>
    <mergeCell ref="H103:I103"/>
    <mergeCell ref="G104:I104"/>
    <mergeCell ref="J104:L104"/>
    <mergeCell ref="K107:L107"/>
    <mergeCell ref="N107:O107"/>
    <mergeCell ref="M108:O108"/>
    <mergeCell ref="B107:C107"/>
    <mergeCell ref="A108:C108"/>
    <mergeCell ref="E107:F107"/>
    <mergeCell ref="D108:F108"/>
    <mergeCell ref="H107:I107"/>
    <mergeCell ref="G108:I108"/>
    <mergeCell ref="J108:L108"/>
    <mergeCell ref="K111:L111"/>
    <mergeCell ref="N111:O111"/>
    <mergeCell ref="M112:O112"/>
    <mergeCell ref="B111:C111"/>
    <mergeCell ref="A112:C112"/>
    <mergeCell ref="E111:F111"/>
    <mergeCell ref="D112:F112"/>
    <mergeCell ref="H111:I111"/>
    <mergeCell ref="G112:I112"/>
    <mergeCell ref="J112:L112"/>
    <mergeCell ref="K115:L115"/>
    <mergeCell ref="N115:O115"/>
    <mergeCell ref="M116:O116"/>
    <mergeCell ref="B115:C115"/>
    <mergeCell ref="A116:C116"/>
    <mergeCell ref="E115:F115"/>
    <mergeCell ref="D116:F116"/>
    <mergeCell ref="H115:I115"/>
    <mergeCell ref="G116:I116"/>
    <mergeCell ref="J116:L116"/>
    <mergeCell ref="K119:L119"/>
    <mergeCell ref="N119:O119"/>
    <mergeCell ref="M120:O120"/>
    <mergeCell ref="B119:C119"/>
    <mergeCell ref="A120:C120"/>
    <mergeCell ref="E119:F119"/>
    <mergeCell ref="D120:F120"/>
    <mergeCell ref="H119:I119"/>
    <mergeCell ref="G120:I120"/>
    <mergeCell ref="J120:L120"/>
    <mergeCell ref="K123:L123"/>
    <mergeCell ref="N123:O123"/>
    <mergeCell ref="M124:O124"/>
    <mergeCell ref="B123:C123"/>
    <mergeCell ref="A124:C124"/>
    <mergeCell ref="E123:F123"/>
    <mergeCell ref="D124:F124"/>
    <mergeCell ref="H123:I123"/>
    <mergeCell ref="G124:I124"/>
    <mergeCell ref="J124:L124"/>
    <mergeCell ref="K127:L127"/>
    <mergeCell ref="N127:O127"/>
    <mergeCell ref="M128:O128"/>
    <mergeCell ref="B127:C127"/>
    <mergeCell ref="A128:C128"/>
    <mergeCell ref="E127:F127"/>
    <mergeCell ref="D128:F128"/>
    <mergeCell ref="H127:I127"/>
    <mergeCell ref="G128:I128"/>
    <mergeCell ref="J128:L128"/>
    <mergeCell ref="K131:L131"/>
    <mergeCell ref="N131:O131"/>
    <mergeCell ref="M132:O132"/>
    <mergeCell ref="B131:C131"/>
    <mergeCell ref="A132:C132"/>
    <mergeCell ref="E131:F131"/>
    <mergeCell ref="D132:F132"/>
    <mergeCell ref="H131:I131"/>
    <mergeCell ref="G132:I132"/>
    <mergeCell ref="J132:L132"/>
    <mergeCell ref="K135:L135"/>
    <mergeCell ref="N135:O135"/>
    <mergeCell ref="M136:O136"/>
    <mergeCell ref="B135:C135"/>
    <mergeCell ref="A136:C136"/>
    <mergeCell ref="E135:F135"/>
    <mergeCell ref="D136:F136"/>
    <mergeCell ref="H135:I135"/>
    <mergeCell ref="G136:I136"/>
    <mergeCell ref="J136:L136"/>
    <mergeCell ref="K139:L139"/>
    <mergeCell ref="N139:O139"/>
    <mergeCell ref="M140:O140"/>
    <mergeCell ref="B139:C139"/>
    <mergeCell ref="A140:C140"/>
    <mergeCell ref="E139:F139"/>
    <mergeCell ref="D140:F140"/>
    <mergeCell ref="H139:I139"/>
    <mergeCell ref="G140:I140"/>
    <mergeCell ref="J140:L140"/>
    <mergeCell ref="K143:L143"/>
    <mergeCell ref="N143:O143"/>
    <mergeCell ref="M144:O144"/>
    <mergeCell ref="B143:C143"/>
    <mergeCell ref="A144:C144"/>
    <mergeCell ref="E143:F143"/>
    <mergeCell ref="D144:F144"/>
    <mergeCell ref="H143:I143"/>
    <mergeCell ref="G144:I144"/>
    <mergeCell ref="J144:L144"/>
    <mergeCell ref="K147:L147"/>
    <mergeCell ref="N147:O147"/>
    <mergeCell ref="M148:O148"/>
    <mergeCell ref="B147:C147"/>
    <mergeCell ref="A148:C148"/>
    <mergeCell ref="E147:F147"/>
    <mergeCell ref="D148:F148"/>
    <mergeCell ref="H147:I147"/>
    <mergeCell ref="G148:I148"/>
    <mergeCell ref="J148:L148"/>
    <mergeCell ref="K151:L151"/>
    <mergeCell ref="N151:O151"/>
    <mergeCell ref="M152:O152"/>
    <mergeCell ref="B151:C151"/>
    <mergeCell ref="A152:C152"/>
    <mergeCell ref="E151:F151"/>
    <mergeCell ref="D152:F152"/>
    <mergeCell ref="H151:I151"/>
    <mergeCell ref="G152:I152"/>
    <mergeCell ref="J152:L152"/>
    <mergeCell ref="K155:L155"/>
    <mergeCell ref="N155:O155"/>
    <mergeCell ref="M156:O156"/>
    <mergeCell ref="B155:C155"/>
    <mergeCell ref="A156:C156"/>
    <mergeCell ref="E155:F155"/>
    <mergeCell ref="D156:F156"/>
    <mergeCell ref="H155:I155"/>
    <mergeCell ref="G156:I156"/>
    <mergeCell ref="J156:L156"/>
    <mergeCell ref="K159:L159"/>
    <mergeCell ref="N159:O159"/>
    <mergeCell ref="M160:O160"/>
    <mergeCell ref="B159:C159"/>
    <mergeCell ref="A160:C160"/>
    <mergeCell ref="E159:F159"/>
    <mergeCell ref="D160:F160"/>
    <mergeCell ref="H159:I159"/>
    <mergeCell ref="G160:I160"/>
    <mergeCell ref="J160:L160"/>
    <mergeCell ref="K191:L191"/>
    <mergeCell ref="N191:O191"/>
    <mergeCell ref="M192:O192"/>
    <mergeCell ref="B191:C191"/>
    <mergeCell ref="A192:C192"/>
    <mergeCell ref="E191:F191"/>
    <mergeCell ref="D192:F192"/>
    <mergeCell ref="H191:I191"/>
    <mergeCell ref="G192:I192"/>
    <mergeCell ref="J192:L192"/>
    <mergeCell ref="K195:L195"/>
    <mergeCell ref="N195:O195"/>
    <mergeCell ref="M196:O196"/>
    <mergeCell ref="B195:C195"/>
    <mergeCell ref="A196:C196"/>
    <mergeCell ref="E195:F195"/>
    <mergeCell ref="D196:F196"/>
    <mergeCell ref="H195:I195"/>
    <mergeCell ref="G196:I196"/>
    <mergeCell ref="J196:L196"/>
    <mergeCell ref="K199:L199"/>
    <mergeCell ref="N199:O199"/>
    <mergeCell ref="M200:O200"/>
    <mergeCell ref="B199:C199"/>
    <mergeCell ref="A200:C200"/>
    <mergeCell ref="E199:F199"/>
    <mergeCell ref="D200:F200"/>
    <mergeCell ref="H199:I199"/>
    <mergeCell ref="G200:I200"/>
    <mergeCell ref="J200:L200"/>
    <mergeCell ref="K15:L15"/>
    <mergeCell ref="N15:O15"/>
    <mergeCell ref="M16:O16"/>
    <mergeCell ref="B15:C15"/>
    <mergeCell ref="A16:C16"/>
    <mergeCell ref="E15:F15"/>
    <mergeCell ref="D16:F16"/>
    <mergeCell ref="H15:I15"/>
    <mergeCell ref="G16:I16"/>
    <mergeCell ref="J16:L16"/>
    <mergeCell ref="K19:L19"/>
    <mergeCell ref="N19:O19"/>
    <mergeCell ref="M20:O20"/>
    <mergeCell ref="B19:C19"/>
    <mergeCell ref="A20:C20"/>
    <mergeCell ref="E19:F19"/>
    <mergeCell ref="D20:F20"/>
    <mergeCell ref="H19:I19"/>
    <mergeCell ref="G20:I20"/>
    <mergeCell ref="J20:L20"/>
    <mergeCell ref="K23:L23"/>
    <mergeCell ref="N23:O23"/>
    <mergeCell ref="M24:O24"/>
    <mergeCell ref="B23:C23"/>
    <mergeCell ref="A24:C24"/>
    <mergeCell ref="E23:F23"/>
    <mergeCell ref="D24:F24"/>
    <mergeCell ref="H23:I23"/>
    <mergeCell ref="G24:I24"/>
    <mergeCell ref="J24:L24"/>
    <mergeCell ref="B203:C203"/>
    <mergeCell ref="A204:C204"/>
    <mergeCell ref="E203:F203"/>
    <mergeCell ref="D204:F204"/>
    <mergeCell ref="K163:L163"/>
    <mergeCell ref="N163:O163"/>
    <mergeCell ref="M164:O164"/>
    <mergeCell ref="B163:C163"/>
    <mergeCell ref="A164:C164"/>
    <mergeCell ref="E163:F163"/>
    <mergeCell ref="D164:F164"/>
    <mergeCell ref="H163:I163"/>
    <mergeCell ref="G164:I164"/>
    <mergeCell ref="J164:L164"/>
    <mergeCell ref="K167:L167"/>
    <mergeCell ref="N167:O167"/>
    <mergeCell ref="M168:O168"/>
    <mergeCell ref="B167:C167"/>
    <mergeCell ref="A168:C168"/>
    <mergeCell ref="E167:F167"/>
    <mergeCell ref="D168:F168"/>
    <mergeCell ref="H167:I167"/>
    <mergeCell ref="G168:I168"/>
    <mergeCell ref="J168:L168"/>
    <mergeCell ref="K171:L171"/>
    <mergeCell ref="N171:O171"/>
    <mergeCell ref="M172:O172"/>
    <mergeCell ref="B171:C171"/>
    <mergeCell ref="A172:C172"/>
    <mergeCell ref="E171:F171"/>
    <mergeCell ref="D172:F172"/>
    <mergeCell ref="H171:I171"/>
    <mergeCell ref="G172:I172"/>
    <mergeCell ref="J172:L172"/>
    <mergeCell ref="K175:L175"/>
    <mergeCell ref="N175:O175"/>
    <mergeCell ref="M176:O176"/>
    <mergeCell ref="B175:C175"/>
    <mergeCell ref="A176:C176"/>
    <mergeCell ref="E175:F175"/>
    <mergeCell ref="D176:F176"/>
    <mergeCell ref="H175:I175"/>
    <mergeCell ref="G176:I176"/>
    <mergeCell ref="J176:L176"/>
    <mergeCell ref="K179:L179"/>
    <mergeCell ref="N179:O179"/>
    <mergeCell ref="M180:O180"/>
    <mergeCell ref="B179:C179"/>
    <mergeCell ref="A180:C180"/>
    <mergeCell ref="E179:F179"/>
    <mergeCell ref="D180:F180"/>
    <mergeCell ref="H179:I179"/>
    <mergeCell ref="G180:I180"/>
    <mergeCell ref="J180:L180"/>
    <mergeCell ref="K183:L183"/>
    <mergeCell ref="N183:O183"/>
    <mergeCell ref="M184:O184"/>
    <mergeCell ref="B183:C183"/>
    <mergeCell ref="A184:C184"/>
    <mergeCell ref="E183:F183"/>
    <mergeCell ref="D184:F184"/>
    <mergeCell ref="H183:I183"/>
    <mergeCell ref="G184:I184"/>
    <mergeCell ref="J184:L184"/>
    <mergeCell ref="K187:L187"/>
    <mergeCell ref="N187:O187"/>
    <mergeCell ref="M188:O188"/>
    <mergeCell ref="B187:C187"/>
    <mergeCell ref="A188:C188"/>
    <mergeCell ref="E187:F187"/>
    <mergeCell ref="D188:F188"/>
    <mergeCell ref="H187:I187"/>
    <mergeCell ref="G188:I188"/>
    <mergeCell ref="J188:L188"/>
  </mergeCells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.13"/>
    <col customWidth="1" min="3" max="3" width="12.63"/>
    <col customWidth="1" min="4" max="5" width="5.13"/>
    <col customWidth="1" min="6" max="6" width="12.63"/>
    <col customWidth="1" min="7" max="8" width="5.13"/>
    <col customWidth="1" min="9" max="9" width="12.63"/>
    <col customWidth="1" min="10" max="11" width="5.13"/>
    <col customWidth="1" min="12" max="12" width="12.63"/>
    <col customWidth="1" min="13" max="14" width="5.13"/>
    <col customWidth="1" min="15" max="15" width="12.63"/>
  </cols>
  <sheetData>
    <row r="1" ht="18.75" customHeight="1">
      <c r="A1" s="16" t="s">
        <v>2142</v>
      </c>
      <c r="O1" s="17" t="b">
        <v>0</v>
      </c>
    </row>
    <row r="2" ht="18.75" customHeight="1">
      <c r="A2" s="3" t="s">
        <v>2143</v>
      </c>
    </row>
    <row r="3" ht="18.75" customHeight="1">
      <c r="A3" s="18" t="s">
        <v>736</v>
      </c>
      <c r="B3" s="19" t="s">
        <v>926</v>
      </c>
      <c r="C3" s="20"/>
      <c r="D3" s="18" t="s">
        <v>738</v>
      </c>
      <c r="E3" s="19" t="s">
        <v>927</v>
      </c>
      <c r="F3" s="20"/>
      <c r="G3" s="18" t="s">
        <v>739</v>
      </c>
      <c r="H3" s="19" t="s">
        <v>1564</v>
      </c>
      <c r="I3" s="20"/>
      <c r="J3" s="18" t="s">
        <v>740</v>
      </c>
      <c r="K3" s="19" t="s">
        <v>2144</v>
      </c>
      <c r="L3" s="20"/>
      <c r="M3" s="18" t="s">
        <v>742</v>
      </c>
      <c r="N3" s="19" t="s">
        <v>878</v>
      </c>
      <c r="O3" s="20"/>
    </row>
    <row r="4" ht="180.0" customHeight="1">
      <c r="A4" s="21" t="str">
        <f>IMAGE("https://assets.tcgdex.net/de/sv/sv08.5/001/low.jpg", 1)</f>
        <v/>
      </c>
      <c r="B4" s="22"/>
      <c r="C4" s="20"/>
      <c r="D4" s="21" t="str">
        <f>IMAGE("https://assets.tcgdex.net/de/sv/sv08.5/002/low.jpg", 1)</f>
        <v/>
      </c>
      <c r="E4" s="22"/>
      <c r="F4" s="20"/>
      <c r="G4" s="21" t="str">
        <f>IMAGE("https://assets.tcgdex.net/de/sv/sv08.5/003/low.jpg", 1)</f>
        <v/>
      </c>
      <c r="H4" s="22"/>
      <c r="I4" s="20"/>
      <c r="J4" s="21" t="str">
        <f>IMAGE("https://assets.tcgdex.net/de/sv/sv08.5/004/low.jpg", 1)</f>
        <v/>
      </c>
      <c r="K4" s="22"/>
      <c r="L4" s="20"/>
      <c r="M4" s="21" t="str">
        <f>IMAGE("https://assets.tcgdex.net/de/sv/sv08.5/005/low.jpg", 1)</f>
        <v/>
      </c>
      <c r="N4" s="22"/>
      <c r="O4" s="20"/>
    </row>
    <row r="5" ht="22.5" customHeight="1">
      <c r="A5" s="23" t="b">
        <v>0</v>
      </c>
      <c r="B5" s="24" t="b">
        <v>0</v>
      </c>
      <c r="C5" s="25" t="str">
        <f>HYPERLINK("https://www.cardmarket.com/en/Pokemon/Products/Singles?idCategory=1&amp;idProduct=sv8pt5-1", "CM")</f>
        <v>CM</v>
      </c>
      <c r="D5" s="23" t="b">
        <v>0</v>
      </c>
      <c r="E5" s="24" t="b">
        <v>0</v>
      </c>
      <c r="F5" s="25" t="str">
        <f>HYPERLINK("https://www.cardmarket.com/en/Pokemon/Products/Singles?idCategory=1&amp;idProduct=sv8pt5-2", "CM")</f>
        <v>CM</v>
      </c>
      <c r="G5" s="23" t="b">
        <v>0</v>
      </c>
      <c r="H5" s="24" t="b">
        <v>0</v>
      </c>
      <c r="I5" s="25" t="str">
        <f>HYPERLINK("https://www.cardmarket.com/en/Pokemon/Products/Singles?idCategory=1&amp;idProduct=sv8pt5-3", "CM")</f>
        <v>CM</v>
      </c>
      <c r="J5" s="23" t="b">
        <v>0</v>
      </c>
      <c r="K5" s="24" t="b">
        <v>0</v>
      </c>
      <c r="L5" s="25" t="str">
        <f>HYPERLINK("https://www.cardmarket.com/en/Pokemon/Products/Singles?idCategory=1&amp;idProduct=sv8pt5-4", "CM")</f>
        <v>CM</v>
      </c>
      <c r="M5" s="23" t="b">
        <v>0</v>
      </c>
      <c r="N5" s="24" t="b">
        <v>0</v>
      </c>
      <c r="O5" s="25" t="str">
        <f>HYPERLINK("https://www.cardmarket.com/en/Pokemon/Products/Singles?idCategory=1&amp;idProduct=sv8pt5-5", "CM")</f>
        <v>CM</v>
      </c>
    </row>
    <row r="6" ht="7.5" customHeight="1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</row>
    <row r="7" ht="18.75" customHeight="1">
      <c r="A7" s="18" t="s">
        <v>529</v>
      </c>
      <c r="B7" s="19" t="s">
        <v>2145</v>
      </c>
      <c r="C7" s="20"/>
      <c r="D7" s="18" t="s">
        <v>744</v>
      </c>
      <c r="E7" s="19" t="s">
        <v>1737</v>
      </c>
      <c r="F7" s="20"/>
      <c r="G7" s="18" t="s">
        <v>531</v>
      </c>
      <c r="H7" s="19" t="s">
        <v>1738</v>
      </c>
      <c r="I7" s="20"/>
      <c r="J7" s="18" t="s">
        <v>746</v>
      </c>
      <c r="K7" s="19" t="s">
        <v>1879</v>
      </c>
      <c r="L7" s="20"/>
      <c r="M7" s="18" t="s">
        <v>748</v>
      </c>
      <c r="N7" s="19" t="s">
        <v>1880</v>
      </c>
      <c r="O7" s="20"/>
    </row>
    <row r="8" ht="180.0" customHeight="1">
      <c r="A8" s="21" t="str">
        <f>IMAGE("https://assets.tcgdex.net/de/sv/sv08.5/006/low.jpg", 1)</f>
        <v/>
      </c>
      <c r="B8" s="22"/>
      <c r="C8" s="20"/>
      <c r="D8" s="21" t="str">
        <f>IMAGE("https://assets.tcgdex.net/de/sv/sv08.5/007/low.jpg", 1)</f>
        <v/>
      </c>
      <c r="E8" s="22"/>
      <c r="F8" s="20"/>
      <c r="G8" s="21" t="str">
        <f>IMAGE("https://assets.tcgdex.net/de/sv/sv08.5/008/low.jpg", 1)</f>
        <v/>
      </c>
      <c r="H8" s="22"/>
      <c r="I8" s="20"/>
      <c r="J8" s="21" t="str">
        <f>IMAGE("https://assets.tcgdex.net/de/sv/sv08.5/009/low.jpg", 1)</f>
        <v/>
      </c>
      <c r="K8" s="22"/>
      <c r="L8" s="20"/>
      <c r="M8" s="21" t="str">
        <f>IMAGE("https://assets.tcgdex.net/de/sv/sv08.5/010/low.jpg", 1)</f>
        <v/>
      </c>
      <c r="N8" s="22"/>
      <c r="O8" s="20"/>
    </row>
    <row r="9" ht="22.5" customHeight="1">
      <c r="A9" s="23" t="b">
        <v>0</v>
      </c>
      <c r="B9" s="24" t="b">
        <v>0</v>
      </c>
      <c r="C9" s="25" t="str">
        <f>HYPERLINK("https://www.cardmarket.com/en/Pokemon/Products/Singles?idCategory=1&amp;idProduct=sv8pt5-6", "CM")</f>
        <v>CM</v>
      </c>
      <c r="D9" s="23" t="b">
        <v>0</v>
      </c>
      <c r="E9" s="24" t="b">
        <v>0</v>
      </c>
      <c r="F9" s="25" t="str">
        <f>HYPERLINK("https://www.cardmarket.com/en/Pokemon/Products/Singles?idCategory=1&amp;idProduct=sv8pt5-7", "CM")</f>
        <v>CM</v>
      </c>
      <c r="G9" s="23" t="b">
        <v>0</v>
      </c>
      <c r="H9" s="24" t="b">
        <v>0</v>
      </c>
      <c r="I9" s="25" t="str">
        <f>HYPERLINK("https://www.cardmarket.com/en/Pokemon/Products/Singles?idCategory=1&amp;idProduct=sv8pt5-8", "CM")</f>
        <v>CM</v>
      </c>
      <c r="J9" s="23" t="b">
        <v>0</v>
      </c>
      <c r="K9" s="24" t="b">
        <v>0</v>
      </c>
      <c r="L9" s="25" t="str">
        <f>HYPERLINK("https://www.cardmarket.com/en/Pokemon/Products/Singles?idCategory=1&amp;idProduct=sv8pt5-9", "CM")</f>
        <v>CM</v>
      </c>
      <c r="M9" s="23" t="b">
        <v>0</v>
      </c>
      <c r="N9" s="24" t="b">
        <v>0</v>
      </c>
      <c r="O9" s="25" t="str">
        <f>HYPERLINK("https://www.cardmarket.com/en/Pokemon/Products/Singles?idCategory=1&amp;idProduct=sv8pt5-10", "CM")</f>
        <v>CM</v>
      </c>
    </row>
    <row r="10" ht="7.5" customHeight="1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</row>
    <row r="11" ht="18.75" customHeight="1">
      <c r="A11" s="18" t="s">
        <v>750</v>
      </c>
      <c r="B11" s="19" t="s">
        <v>1999</v>
      </c>
      <c r="C11" s="20"/>
      <c r="D11" s="18" t="s">
        <v>752</v>
      </c>
      <c r="E11" s="19" t="s">
        <v>870</v>
      </c>
      <c r="F11" s="20"/>
      <c r="G11" s="18" t="s">
        <v>754</v>
      </c>
      <c r="H11" s="19" t="s">
        <v>872</v>
      </c>
      <c r="I11" s="20"/>
      <c r="J11" s="18" t="s">
        <v>755</v>
      </c>
      <c r="K11" s="19" t="s">
        <v>2146</v>
      </c>
      <c r="L11" s="20"/>
      <c r="M11" s="18" t="s">
        <v>533</v>
      </c>
      <c r="N11" s="19" t="s">
        <v>2147</v>
      </c>
      <c r="O11" s="20"/>
    </row>
    <row r="12" ht="180.0" customHeight="1">
      <c r="A12" s="21" t="str">
        <f>IMAGE("https://assets.tcgdex.net/de/sv/sv08.5/011/low.jpg", 1)</f>
        <v/>
      </c>
      <c r="B12" s="22"/>
      <c r="C12" s="20"/>
      <c r="D12" s="21" t="str">
        <f>IMAGE("https://assets.tcgdex.net/de/sv/sv08.5/012/low.jpg", 1)</f>
        <v/>
      </c>
      <c r="E12" s="22"/>
      <c r="F12" s="20"/>
      <c r="G12" s="21" t="str">
        <f>IMAGE("https://assets.tcgdex.net/de/sv/sv08.5/013/low.jpg", 1)</f>
        <v/>
      </c>
      <c r="H12" s="22"/>
      <c r="I12" s="20"/>
      <c r="J12" s="21" t="str">
        <f>IMAGE("https://assets.tcgdex.net/de/sv/sv08.5/014/low.jpg", 1)</f>
        <v/>
      </c>
      <c r="K12" s="22"/>
      <c r="L12" s="20"/>
      <c r="M12" s="21" t="str">
        <f>IMAGE("https://assets.tcgdex.net/de/sv/sv08.5/015/low.jpg", 1)</f>
        <v/>
      </c>
      <c r="N12" s="22"/>
      <c r="O12" s="20"/>
    </row>
    <row r="13" ht="22.5" customHeight="1">
      <c r="A13" s="23" t="b">
        <v>0</v>
      </c>
      <c r="B13" s="24" t="b">
        <v>0</v>
      </c>
      <c r="C13" s="25" t="str">
        <f>HYPERLINK("https://www.cardmarket.com/en/Pokemon/Products/Singles?idCategory=1&amp;idProduct=sv8pt5-11", "CM")</f>
        <v>CM</v>
      </c>
      <c r="D13" s="23" t="b">
        <v>0</v>
      </c>
      <c r="E13" s="24" t="b">
        <v>0</v>
      </c>
      <c r="F13" s="25" t="str">
        <f>HYPERLINK("https://www.cardmarket.com/en/Pokemon/Products/Singles?idCategory=1&amp;idProduct=sv8pt5-12", "CM")</f>
        <v>CM</v>
      </c>
      <c r="G13" s="23" t="b">
        <v>0</v>
      </c>
      <c r="H13" s="24" t="b">
        <v>0</v>
      </c>
      <c r="I13" s="25" t="str">
        <f>HYPERLINK("https://www.cardmarket.com/en/Pokemon/Products/Singles?idCategory=1&amp;idProduct=sv8pt5-13", "CM")</f>
        <v>CM</v>
      </c>
      <c r="J13" s="23" t="b">
        <v>0</v>
      </c>
      <c r="K13" s="24" t="b">
        <v>0</v>
      </c>
      <c r="L13" s="25" t="str">
        <f>HYPERLINK("https://www.cardmarket.com/en/Pokemon/Products/Singles?idCategory=1&amp;idProduct=sv8pt5-14", "CM")</f>
        <v>CM</v>
      </c>
      <c r="M13" s="23" t="b">
        <v>0</v>
      </c>
      <c r="N13" s="24" t="b">
        <v>0</v>
      </c>
      <c r="O13" s="25" t="str">
        <f>HYPERLINK("https://www.cardmarket.com/en/Pokemon/Products/Singles?idCategory=1&amp;idProduct=sv8pt5-15", "CM")</f>
        <v>CM</v>
      </c>
    </row>
    <row r="14" ht="7.5" customHeight="1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</row>
    <row r="15" ht="18.75" customHeight="1">
      <c r="A15" s="18" t="s">
        <v>535</v>
      </c>
      <c r="B15" s="19" t="s">
        <v>2148</v>
      </c>
      <c r="C15" s="20"/>
      <c r="D15" s="18" t="s">
        <v>537</v>
      </c>
      <c r="E15" s="19" t="s">
        <v>1888</v>
      </c>
      <c r="F15" s="20"/>
      <c r="G15" s="18" t="s">
        <v>756</v>
      </c>
      <c r="H15" s="19" t="s">
        <v>1242</v>
      </c>
      <c r="I15" s="20"/>
      <c r="J15" s="18" t="s">
        <v>539</v>
      </c>
      <c r="K15" s="19" t="s">
        <v>2010</v>
      </c>
      <c r="L15" s="20"/>
      <c r="M15" s="18" t="s">
        <v>541</v>
      </c>
      <c r="N15" s="19" t="s">
        <v>1556</v>
      </c>
      <c r="O15" s="20"/>
    </row>
    <row r="16" ht="180.0" customHeight="1">
      <c r="A16" s="21" t="str">
        <f>IMAGE("https://assets.tcgdex.net/de/sv/sv08.5/016/low.jpg", 1)</f>
        <v/>
      </c>
      <c r="B16" s="22"/>
      <c r="C16" s="20"/>
      <c r="D16" s="21" t="str">
        <f>IMAGE("https://assets.tcgdex.net/de/sv/sv08.5/017/low.jpg", 1)</f>
        <v/>
      </c>
      <c r="E16" s="22"/>
      <c r="F16" s="20"/>
      <c r="G16" s="21" t="str">
        <f>IMAGE("https://assets.tcgdex.net/de/sv/sv08.5/018/low.jpg", 1)</f>
        <v/>
      </c>
      <c r="H16" s="22"/>
      <c r="I16" s="20"/>
      <c r="J16" s="21" t="str">
        <f>IMAGE("https://assets.tcgdex.net/de/sv/sv08.5/019/low.jpg", 1)</f>
        <v/>
      </c>
      <c r="K16" s="22"/>
      <c r="L16" s="20"/>
      <c r="M16" s="21" t="str">
        <f>IMAGE("https://assets.tcgdex.net/de/sv/sv08.5/020/low.jpg", 1)</f>
        <v/>
      </c>
      <c r="N16" s="22"/>
      <c r="O16" s="20"/>
    </row>
    <row r="17" ht="22.5" customHeight="1">
      <c r="A17" s="23" t="b">
        <v>0</v>
      </c>
      <c r="B17" s="24" t="b">
        <v>0</v>
      </c>
      <c r="C17" s="25" t="str">
        <f>HYPERLINK("https://www.cardmarket.com/en/Pokemon/Products/Singles?idCategory=1&amp;idProduct=sv8pt5-16", "CM")</f>
        <v>CM</v>
      </c>
      <c r="D17" s="23" t="b">
        <v>0</v>
      </c>
      <c r="E17" s="24" t="b">
        <v>0</v>
      </c>
      <c r="F17" s="25" t="str">
        <f>HYPERLINK("https://www.cardmarket.com/en/Pokemon/Products/Singles?idCategory=1&amp;idProduct=sv8pt5-17", "CM")</f>
        <v>CM</v>
      </c>
      <c r="G17" s="23" t="b">
        <v>0</v>
      </c>
      <c r="H17" s="24" t="b">
        <v>0</v>
      </c>
      <c r="I17" s="25" t="str">
        <f>HYPERLINK("https://www.cardmarket.com/en/Pokemon/Products/Singles?idCategory=1&amp;idProduct=sv8pt5-18", "CM")</f>
        <v>CM</v>
      </c>
      <c r="J17" s="23" t="b">
        <v>0</v>
      </c>
      <c r="K17" s="24" t="b">
        <v>0</v>
      </c>
      <c r="L17" s="25" t="str">
        <f>HYPERLINK("https://www.cardmarket.com/en/Pokemon/Products/Singles?idCategory=1&amp;idProduct=sv8pt5-19", "CM")</f>
        <v>CM</v>
      </c>
      <c r="M17" s="23" t="b">
        <v>0</v>
      </c>
      <c r="N17" s="24" t="b">
        <v>0</v>
      </c>
      <c r="O17" s="25" t="str">
        <f>HYPERLINK("https://www.cardmarket.com/en/Pokemon/Products/Singles?idCategory=1&amp;idProduct=sv8pt5-20", "CM")</f>
        <v>CM</v>
      </c>
    </row>
    <row r="18" ht="7.5" customHeight="1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</row>
    <row r="19" ht="18.75" customHeight="1">
      <c r="A19" s="18" t="s">
        <v>543</v>
      </c>
      <c r="B19" s="19" t="s">
        <v>1557</v>
      </c>
      <c r="C19" s="20"/>
      <c r="D19" s="18" t="s">
        <v>545</v>
      </c>
      <c r="E19" s="19" t="s">
        <v>874</v>
      </c>
      <c r="F19" s="20"/>
      <c r="G19" s="18" t="s">
        <v>547</v>
      </c>
      <c r="H19" s="19" t="s">
        <v>2149</v>
      </c>
      <c r="I19" s="20"/>
      <c r="J19" s="18" t="s">
        <v>549</v>
      </c>
      <c r="K19" s="19" t="s">
        <v>2150</v>
      </c>
      <c r="L19" s="20"/>
      <c r="M19" s="18" t="s">
        <v>758</v>
      </c>
      <c r="N19" s="19" t="s">
        <v>880</v>
      </c>
      <c r="O19" s="20"/>
    </row>
    <row r="20" ht="180.0" customHeight="1">
      <c r="A20" s="21" t="str">
        <f>IMAGE("https://assets.tcgdex.net/de/sv/sv08.5/021/low.jpg", 1)</f>
        <v/>
      </c>
      <c r="B20" s="22"/>
      <c r="C20" s="20"/>
      <c r="D20" s="21" t="str">
        <f>IMAGE("https://assets.tcgdex.net/de/sv/sv08.5/022/low.jpg", 1)</f>
        <v/>
      </c>
      <c r="E20" s="22"/>
      <c r="F20" s="20"/>
      <c r="G20" s="21" t="str">
        <f>IMAGE("https://assets.tcgdex.net/de/sv/sv08.5/023/low.jpg", 1)</f>
        <v/>
      </c>
      <c r="H20" s="22"/>
      <c r="I20" s="20"/>
      <c r="J20" s="21" t="str">
        <f>IMAGE("https://assets.tcgdex.net/de/sv/sv08.5/024/low.jpg", 1)</f>
        <v/>
      </c>
      <c r="K20" s="22"/>
      <c r="L20" s="20"/>
      <c r="M20" s="21" t="str">
        <f>IMAGE("https://assets.tcgdex.net/de/sv/sv08.5/025/low.jpg", 1)</f>
        <v/>
      </c>
      <c r="N20" s="22"/>
      <c r="O20" s="20"/>
    </row>
    <row r="21" ht="22.5" customHeight="1">
      <c r="A21" s="23" t="b">
        <v>0</v>
      </c>
      <c r="B21" s="24" t="b">
        <v>0</v>
      </c>
      <c r="C21" s="25" t="str">
        <f>HYPERLINK("https://www.cardmarket.com/en/Pokemon/Products/Singles?idCategory=1&amp;idProduct=sv8pt5-21", "CM")</f>
        <v>CM</v>
      </c>
      <c r="D21" s="23" t="b">
        <v>0</v>
      </c>
      <c r="E21" s="24" t="b">
        <v>0</v>
      </c>
      <c r="F21" s="25" t="str">
        <f>HYPERLINK("https://www.cardmarket.com/en/Pokemon/Products/Singles?idCategory=1&amp;idProduct=sv8pt5-22", "CM")</f>
        <v>CM</v>
      </c>
      <c r="G21" s="23" t="b">
        <v>0</v>
      </c>
      <c r="H21" s="24" t="b">
        <v>0</v>
      </c>
      <c r="I21" s="25" t="str">
        <f>HYPERLINK("https://www.cardmarket.com/en/Pokemon/Products/Singles?idCategory=1&amp;idProduct=sv8pt5-23", "CM")</f>
        <v>CM</v>
      </c>
      <c r="J21" s="23" t="b">
        <v>0</v>
      </c>
      <c r="K21" s="24" t="b">
        <v>0</v>
      </c>
      <c r="L21" s="25" t="str">
        <f>HYPERLINK("https://www.cardmarket.com/en/Pokemon/Products/Singles?idCategory=1&amp;idProduct=sv8pt5-24", "CM")</f>
        <v>CM</v>
      </c>
      <c r="M21" s="23" t="b">
        <v>0</v>
      </c>
      <c r="N21" s="24" t="b">
        <v>0</v>
      </c>
      <c r="O21" s="25" t="str">
        <f>HYPERLINK("https://www.cardmarket.com/en/Pokemon/Products/Singles?idCategory=1&amp;idProduct=sv8pt5-25", "CM")</f>
        <v>CM</v>
      </c>
    </row>
    <row r="22" ht="7.5" customHeight="1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</row>
    <row r="23" ht="18.75" customHeight="1">
      <c r="A23" s="18" t="s">
        <v>760</v>
      </c>
      <c r="B23" s="19" t="s">
        <v>2151</v>
      </c>
      <c r="C23" s="20"/>
      <c r="D23" s="18" t="s">
        <v>762</v>
      </c>
      <c r="E23" s="19" t="s">
        <v>1895</v>
      </c>
      <c r="F23" s="20"/>
      <c r="G23" s="18" t="s">
        <v>551</v>
      </c>
      <c r="H23" s="19" t="s">
        <v>639</v>
      </c>
      <c r="I23" s="20"/>
      <c r="J23" s="18" t="s">
        <v>553</v>
      </c>
      <c r="K23" s="19" t="s">
        <v>876</v>
      </c>
      <c r="L23" s="20"/>
      <c r="M23" s="18" t="s">
        <v>555</v>
      </c>
      <c r="N23" s="19" t="s">
        <v>2152</v>
      </c>
      <c r="O23" s="20"/>
    </row>
    <row r="24" ht="180.0" customHeight="1">
      <c r="A24" s="21" t="str">
        <f>IMAGE("https://assets.tcgdex.net/de/sv/sv08.5/026/low.jpg", 1)</f>
        <v/>
      </c>
      <c r="B24" s="22"/>
      <c r="C24" s="20"/>
      <c r="D24" s="21" t="str">
        <f>IMAGE("https://assets.tcgdex.net/de/sv/sv08.5/027/low.jpg", 1)</f>
        <v/>
      </c>
      <c r="E24" s="22"/>
      <c r="F24" s="20"/>
      <c r="G24" s="21" t="str">
        <f>IMAGE("https://assets.tcgdex.net/de/sv/sv08.5/028/low.jpg", 1)</f>
        <v/>
      </c>
      <c r="H24" s="22"/>
      <c r="I24" s="20"/>
      <c r="J24" s="21" t="str">
        <f>IMAGE("https://assets.tcgdex.net/de/sv/sv08.5/029/low.jpg", 1)</f>
        <v/>
      </c>
      <c r="K24" s="22"/>
      <c r="L24" s="20"/>
      <c r="M24" s="21" t="str">
        <f>IMAGE("https://assets.tcgdex.net/de/sv/sv08.5/030/low.jpg", 1)</f>
        <v/>
      </c>
      <c r="N24" s="22"/>
      <c r="O24" s="20"/>
    </row>
    <row r="25" ht="22.5" customHeight="1">
      <c r="A25" s="23" t="b">
        <v>0</v>
      </c>
      <c r="B25" s="24" t="b">
        <v>0</v>
      </c>
      <c r="C25" s="25" t="str">
        <f>HYPERLINK("https://www.cardmarket.com/en/Pokemon/Products/Singles?idCategory=1&amp;idProduct=sv8pt5-26", "CM")</f>
        <v>CM</v>
      </c>
      <c r="D25" s="23" t="b">
        <v>0</v>
      </c>
      <c r="E25" s="24" t="b">
        <v>0</v>
      </c>
      <c r="F25" s="25" t="str">
        <f>HYPERLINK("https://www.cardmarket.com/en/Pokemon/Products/Singles?idCategory=1&amp;idProduct=sv8pt5-27", "CM")</f>
        <v>CM</v>
      </c>
      <c r="G25" s="23" t="b">
        <v>0</v>
      </c>
      <c r="H25" s="24" t="b">
        <v>0</v>
      </c>
      <c r="I25" s="25" t="str">
        <f>HYPERLINK("https://www.cardmarket.com/en/Pokemon/Products/Singles?idCategory=1&amp;idProduct=sv8pt5-28", "CM")</f>
        <v>CM</v>
      </c>
      <c r="J25" s="23" t="b">
        <v>0</v>
      </c>
      <c r="K25" s="24" t="b">
        <v>0</v>
      </c>
      <c r="L25" s="25" t="str">
        <f>HYPERLINK("https://www.cardmarket.com/en/Pokemon/Products/Singles?idCategory=1&amp;idProduct=sv8pt5-29", "CM")</f>
        <v>CM</v>
      </c>
      <c r="M25" s="23" t="b">
        <v>0</v>
      </c>
      <c r="N25" s="24" t="b">
        <v>0</v>
      </c>
      <c r="O25" s="25" t="str">
        <f>HYPERLINK("https://www.cardmarket.com/en/Pokemon/Products/Singles?idCategory=1&amp;idProduct=sv8pt5-30", "CM")</f>
        <v>CM</v>
      </c>
    </row>
    <row r="26" ht="7.5" customHeight="1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</row>
    <row r="27" ht="18.75" customHeight="1">
      <c r="A27" s="18" t="s">
        <v>557</v>
      </c>
      <c r="B27" s="19" t="s">
        <v>1635</v>
      </c>
      <c r="C27" s="20"/>
      <c r="D27" s="18" t="s">
        <v>559</v>
      </c>
      <c r="E27" s="19" t="s">
        <v>1897</v>
      </c>
      <c r="F27" s="20"/>
      <c r="G27" s="18" t="s">
        <v>561</v>
      </c>
      <c r="H27" s="19" t="s">
        <v>1409</v>
      </c>
      <c r="I27" s="20"/>
      <c r="J27" s="18" t="s">
        <v>563</v>
      </c>
      <c r="K27" s="19" t="s">
        <v>2153</v>
      </c>
      <c r="L27" s="20"/>
      <c r="M27" s="18" t="s">
        <v>565</v>
      </c>
      <c r="N27" s="19" t="s">
        <v>1956</v>
      </c>
      <c r="O27" s="20"/>
    </row>
    <row r="28" ht="180.0" customHeight="1">
      <c r="A28" s="21" t="str">
        <f>IMAGE("https://assets.tcgdex.net/de/sv/sv08.5/031/low.jpg", 1)</f>
        <v/>
      </c>
      <c r="B28" s="22"/>
      <c r="C28" s="20"/>
      <c r="D28" s="21" t="str">
        <f>IMAGE("https://assets.tcgdex.net/de/sv/sv08.5/032/low.jpg", 1)</f>
        <v/>
      </c>
      <c r="E28" s="22"/>
      <c r="F28" s="20"/>
      <c r="G28" s="21" t="str">
        <f>IMAGE("https://assets.tcgdex.net/de/sv/sv08.5/033/low.jpg", 1)</f>
        <v/>
      </c>
      <c r="H28" s="22"/>
      <c r="I28" s="20"/>
      <c r="J28" s="21" t="str">
        <f>IMAGE("https://assets.tcgdex.net/de/sv/sv08.5/034/low.jpg", 1)</f>
        <v/>
      </c>
      <c r="K28" s="22"/>
      <c r="L28" s="20"/>
      <c r="M28" s="21" t="str">
        <f>IMAGE("https://assets.tcgdex.net/de/sv/sv08.5/035/low.jpg", 1)</f>
        <v/>
      </c>
      <c r="N28" s="22"/>
      <c r="O28" s="20"/>
    </row>
    <row r="29" ht="22.5" customHeight="1">
      <c r="A29" s="23" t="b">
        <v>0</v>
      </c>
      <c r="B29" s="24" t="b">
        <v>0</v>
      </c>
      <c r="C29" s="25" t="str">
        <f>HYPERLINK("https://www.cardmarket.com/en/Pokemon/Products/Singles?idCategory=1&amp;idProduct=sv8pt5-31", "CM")</f>
        <v>CM</v>
      </c>
      <c r="D29" s="23" t="b">
        <v>0</v>
      </c>
      <c r="E29" s="24" t="b">
        <v>0</v>
      </c>
      <c r="F29" s="25" t="str">
        <f>HYPERLINK("https://www.cardmarket.com/en/Pokemon/Products/Singles?idCategory=1&amp;idProduct=sv8pt5-32", "CM")</f>
        <v>CM</v>
      </c>
      <c r="G29" s="23" t="b">
        <v>0</v>
      </c>
      <c r="H29" s="24" t="b">
        <v>0</v>
      </c>
      <c r="I29" s="25" t="str">
        <f>HYPERLINK("https://www.cardmarket.com/en/Pokemon/Products/Singles?idCategory=1&amp;idProduct=sv8pt5-33", "CM")</f>
        <v>CM</v>
      </c>
      <c r="J29" s="23" t="b">
        <v>0</v>
      </c>
      <c r="K29" s="24" t="b">
        <v>0</v>
      </c>
      <c r="L29" s="25" t="str">
        <f>HYPERLINK("https://www.cardmarket.com/en/Pokemon/Products/Singles?idCategory=1&amp;idProduct=sv8pt5-34", "CM")</f>
        <v>CM</v>
      </c>
      <c r="M29" s="23" t="b">
        <v>0</v>
      </c>
      <c r="N29" s="24" t="b">
        <v>0</v>
      </c>
      <c r="O29" s="25" t="str">
        <f>HYPERLINK("https://www.cardmarket.com/en/Pokemon/Products/Singles?idCategory=1&amp;idProduct=sv8pt5-35", "CM")</f>
        <v>CM</v>
      </c>
    </row>
    <row r="30" ht="7.5" customHeight="1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</row>
    <row r="31" ht="18.75" customHeight="1">
      <c r="A31" s="18" t="s">
        <v>567</v>
      </c>
      <c r="B31" s="19" t="s">
        <v>930</v>
      </c>
      <c r="C31" s="20"/>
      <c r="D31" s="18" t="s">
        <v>569</v>
      </c>
      <c r="E31" s="19" t="s">
        <v>1957</v>
      </c>
      <c r="F31" s="20"/>
      <c r="G31" s="18" t="s">
        <v>571</v>
      </c>
      <c r="H31" s="19" t="s">
        <v>2154</v>
      </c>
      <c r="I31" s="20"/>
      <c r="J31" s="18" t="s">
        <v>573</v>
      </c>
      <c r="K31" s="19" t="s">
        <v>2155</v>
      </c>
      <c r="L31" s="20"/>
      <c r="M31" s="18" t="s">
        <v>575</v>
      </c>
      <c r="N31" s="19" t="s">
        <v>882</v>
      </c>
      <c r="O31" s="20"/>
    </row>
    <row r="32" ht="180.0" customHeight="1">
      <c r="A32" s="21" t="str">
        <f>IMAGE("https://assets.tcgdex.net/de/sv/sv08.5/036/low.jpg", 1)</f>
        <v/>
      </c>
      <c r="B32" s="22"/>
      <c r="C32" s="20"/>
      <c r="D32" s="21" t="str">
        <f>IMAGE("https://assets.tcgdex.net/de/sv/sv08.5/037/low.jpg", 1)</f>
        <v/>
      </c>
      <c r="E32" s="22"/>
      <c r="F32" s="20"/>
      <c r="G32" s="21" t="str">
        <f>IMAGE("https://assets.tcgdex.net/de/sv/sv08.5/038/low.jpg", 1)</f>
        <v/>
      </c>
      <c r="H32" s="22"/>
      <c r="I32" s="20"/>
      <c r="J32" s="21" t="str">
        <f>IMAGE("https://assets.tcgdex.net/de/sv/sv08.5/039/low.jpg", 1)</f>
        <v/>
      </c>
      <c r="K32" s="22"/>
      <c r="L32" s="20"/>
      <c r="M32" s="21" t="str">
        <f>IMAGE("https://assets.tcgdex.net/de/sv/sv08.5/040/low.jpg", 1)</f>
        <v/>
      </c>
      <c r="N32" s="22"/>
      <c r="O32" s="20"/>
    </row>
    <row r="33" ht="22.5" customHeight="1">
      <c r="A33" s="23" t="b">
        <v>0</v>
      </c>
      <c r="B33" s="24" t="b">
        <v>0</v>
      </c>
      <c r="C33" s="25" t="str">
        <f>HYPERLINK("https://www.cardmarket.com/en/Pokemon/Products/Singles?idCategory=1&amp;idProduct=sv8pt5-36", "CM")</f>
        <v>CM</v>
      </c>
      <c r="D33" s="23" t="b">
        <v>0</v>
      </c>
      <c r="E33" s="24" t="b">
        <v>0</v>
      </c>
      <c r="F33" s="25" t="str">
        <f>HYPERLINK("https://www.cardmarket.com/en/Pokemon/Products/Singles?idCategory=1&amp;idProduct=sv8pt5-37", "CM")</f>
        <v>CM</v>
      </c>
      <c r="G33" s="23" t="b">
        <v>0</v>
      </c>
      <c r="H33" s="24" t="b">
        <v>0</v>
      </c>
      <c r="I33" s="25" t="str">
        <f>HYPERLINK("https://www.cardmarket.com/en/Pokemon/Products/Singles?idCategory=1&amp;idProduct=sv8pt5-38", "CM")</f>
        <v>CM</v>
      </c>
      <c r="J33" s="23" t="b">
        <v>0</v>
      </c>
      <c r="K33" s="24" t="b">
        <v>0</v>
      </c>
      <c r="L33" s="25" t="str">
        <f>HYPERLINK("https://www.cardmarket.com/en/Pokemon/Products/Singles?idCategory=1&amp;idProduct=sv8pt5-39", "CM")</f>
        <v>CM</v>
      </c>
      <c r="M33" s="23" t="b">
        <v>0</v>
      </c>
      <c r="N33" s="24" t="b">
        <v>0</v>
      </c>
      <c r="O33" s="25" t="str">
        <f>HYPERLINK("https://www.cardmarket.com/en/Pokemon/Products/Singles?idCategory=1&amp;idProduct=sv8pt5-40", "CM")</f>
        <v>CM</v>
      </c>
    </row>
    <row r="34" ht="7.5" customHeight="1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</row>
    <row r="35" ht="18.75" customHeight="1">
      <c r="A35" s="18" t="s">
        <v>577</v>
      </c>
      <c r="B35" s="19" t="s">
        <v>2080</v>
      </c>
      <c r="C35" s="20"/>
      <c r="D35" s="18" t="s">
        <v>579</v>
      </c>
      <c r="E35" s="19" t="s">
        <v>789</v>
      </c>
      <c r="F35" s="20"/>
      <c r="G35" s="18" t="s">
        <v>763</v>
      </c>
      <c r="H35" s="19" t="s">
        <v>816</v>
      </c>
      <c r="I35" s="20"/>
      <c r="J35" s="18" t="s">
        <v>765</v>
      </c>
      <c r="K35" s="19" t="s">
        <v>1905</v>
      </c>
      <c r="L35" s="20"/>
      <c r="M35" s="18" t="s">
        <v>581</v>
      </c>
      <c r="N35" s="19" t="s">
        <v>1906</v>
      </c>
      <c r="O35" s="20"/>
    </row>
    <row r="36" ht="180.0" customHeight="1">
      <c r="A36" s="21" t="str">
        <f>IMAGE("https://assets.tcgdex.net/de/sv/sv08.5/041/low.jpg", 1)</f>
        <v/>
      </c>
      <c r="B36" s="22"/>
      <c r="C36" s="20"/>
      <c r="D36" s="21" t="str">
        <f>IMAGE("https://assets.tcgdex.net/de/sv/sv08.5/042/low.jpg", 1)</f>
        <v/>
      </c>
      <c r="E36" s="22"/>
      <c r="F36" s="20"/>
      <c r="G36" s="21" t="str">
        <f>IMAGE("https://assets.tcgdex.net/de/sv/sv08.5/043/low.jpg", 1)</f>
        <v/>
      </c>
      <c r="H36" s="22"/>
      <c r="I36" s="20"/>
      <c r="J36" s="21" t="str">
        <f>IMAGE("https://assets.tcgdex.net/de/sv/sv08.5/044/low.jpg", 1)</f>
        <v/>
      </c>
      <c r="K36" s="22"/>
      <c r="L36" s="20"/>
      <c r="M36" s="21" t="str">
        <f>IMAGE("https://assets.tcgdex.net/de/sv/sv08.5/045/low.jpg", 1)</f>
        <v/>
      </c>
      <c r="N36" s="22"/>
      <c r="O36" s="20"/>
    </row>
    <row r="37" ht="22.5" customHeight="1">
      <c r="A37" s="23" t="b">
        <v>0</v>
      </c>
      <c r="B37" s="24" t="b">
        <v>0</v>
      </c>
      <c r="C37" s="25" t="str">
        <f>HYPERLINK("https://www.cardmarket.com/en/Pokemon/Products/Singles?idCategory=1&amp;idProduct=sv8pt5-41", "CM")</f>
        <v>CM</v>
      </c>
      <c r="D37" s="23" t="b">
        <v>0</v>
      </c>
      <c r="E37" s="24" t="b">
        <v>0</v>
      </c>
      <c r="F37" s="25" t="str">
        <f>HYPERLINK("https://www.cardmarket.com/en/Pokemon/Products/Singles?idCategory=1&amp;idProduct=sv8pt5-42", "CM")</f>
        <v>CM</v>
      </c>
      <c r="G37" s="23" t="b">
        <v>0</v>
      </c>
      <c r="H37" s="24" t="b">
        <v>0</v>
      </c>
      <c r="I37" s="25" t="str">
        <f>HYPERLINK("https://www.cardmarket.com/en/Pokemon/Products/Singles?idCategory=1&amp;idProduct=sv8pt5-43", "CM")</f>
        <v>CM</v>
      </c>
      <c r="J37" s="23" t="b">
        <v>0</v>
      </c>
      <c r="K37" s="24" t="b">
        <v>0</v>
      </c>
      <c r="L37" s="25" t="str">
        <f>HYPERLINK("https://www.cardmarket.com/en/Pokemon/Products/Singles?idCategory=1&amp;idProduct=sv8pt5-44", "CM")</f>
        <v>CM</v>
      </c>
      <c r="M37" s="23" t="b">
        <v>0</v>
      </c>
      <c r="N37" s="24" t="b">
        <v>0</v>
      </c>
      <c r="O37" s="25" t="str">
        <f>HYPERLINK("https://www.cardmarket.com/en/Pokemon/Products/Singles?idCategory=1&amp;idProduct=sv8pt5-45", "CM")</f>
        <v>CM</v>
      </c>
    </row>
    <row r="38" ht="7.5" customHeight="1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</row>
    <row r="39" ht="18.75" customHeight="1">
      <c r="A39" s="18" t="s">
        <v>767</v>
      </c>
      <c r="B39" s="19" t="s">
        <v>2015</v>
      </c>
      <c r="C39" s="20"/>
      <c r="D39" s="18" t="s">
        <v>769</v>
      </c>
      <c r="E39" s="19" t="s">
        <v>1419</v>
      </c>
      <c r="F39" s="20"/>
      <c r="G39" s="18" t="s">
        <v>770</v>
      </c>
      <c r="H39" s="19" t="s">
        <v>660</v>
      </c>
      <c r="I39" s="20"/>
      <c r="J39" s="18" t="s">
        <v>772</v>
      </c>
      <c r="K39" s="19" t="s">
        <v>1646</v>
      </c>
      <c r="L39" s="20"/>
      <c r="M39" s="18" t="s">
        <v>774</v>
      </c>
      <c r="N39" s="19" t="s">
        <v>998</v>
      </c>
      <c r="O39" s="20"/>
    </row>
    <row r="40" ht="180.0" customHeight="1">
      <c r="A40" s="21" t="str">
        <f>IMAGE("https://assets.tcgdex.net/de/sv/sv08.5/046/low.jpg", 1)</f>
        <v/>
      </c>
      <c r="B40" s="22"/>
      <c r="C40" s="20"/>
      <c r="D40" s="21" t="str">
        <f>IMAGE("https://assets.tcgdex.net/de/sv/sv08.5/047/low.jpg", 1)</f>
        <v/>
      </c>
      <c r="E40" s="22"/>
      <c r="F40" s="20"/>
      <c r="G40" s="21" t="str">
        <f>IMAGE("https://assets.tcgdex.net/de/sv/sv08.5/048/low.jpg", 1)</f>
        <v/>
      </c>
      <c r="H40" s="22"/>
      <c r="I40" s="20"/>
      <c r="J40" s="21" t="str">
        <f>IMAGE("https://assets.tcgdex.net/de/sv/sv08.5/049/low.jpg", 1)</f>
        <v/>
      </c>
      <c r="K40" s="22"/>
      <c r="L40" s="20"/>
      <c r="M40" s="21" t="str">
        <f>IMAGE("https://assets.tcgdex.net/de/sv/sv08.5/050/low.jpg", 1)</f>
        <v/>
      </c>
      <c r="N40" s="22"/>
      <c r="O40" s="20"/>
    </row>
    <row r="41" ht="22.5" customHeight="1">
      <c r="A41" s="23" t="b">
        <v>0</v>
      </c>
      <c r="B41" s="24" t="b">
        <v>0</v>
      </c>
      <c r="C41" s="25" t="str">
        <f>HYPERLINK("https://www.cardmarket.com/en/Pokemon/Products/Singles?idCategory=1&amp;idProduct=sv8pt5-46", "CM")</f>
        <v>CM</v>
      </c>
      <c r="D41" s="23" t="b">
        <v>0</v>
      </c>
      <c r="E41" s="24" t="b">
        <v>0</v>
      </c>
      <c r="F41" s="25" t="str">
        <f>HYPERLINK("https://www.cardmarket.com/en/Pokemon/Products/Singles?idCategory=1&amp;idProduct=sv8pt5-47", "CM")</f>
        <v>CM</v>
      </c>
      <c r="G41" s="23" t="b">
        <v>0</v>
      </c>
      <c r="H41" s="24" t="b">
        <v>0</v>
      </c>
      <c r="I41" s="25" t="str">
        <f>HYPERLINK("https://www.cardmarket.com/en/Pokemon/Products/Singles?idCategory=1&amp;idProduct=sv8pt5-48", "CM")</f>
        <v>CM</v>
      </c>
      <c r="J41" s="23" t="b">
        <v>0</v>
      </c>
      <c r="K41" s="24" t="b">
        <v>0</v>
      </c>
      <c r="L41" s="25" t="str">
        <f>HYPERLINK("https://www.cardmarket.com/en/Pokemon/Products/Singles?idCategory=1&amp;idProduct=sv8pt5-49", "CM")</f>
        <v>CM</v>
      </c>
      <c r="M41" s="23" t="b">
        <v>0</v>
      </c>
      <c r="N41" s="24" t="b">
        <v>0</v>
      </c>
      <c r="O41" s="25" t="str">
        <f>HYPERLINK("https://www.cardmarket.com/en/Pokemon/Products/Singles?idCategory=1&amp;idProduct=sv8pt5-50", "CM")</f>
        <v>CM</v>
      </c>
    </row>
    <row r="42" ht="7.5" customHeight="1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</row>
    <row r="43" ht="18.75" customHeight="1">
      <c r="A43" s="18" t="s">
        <v>776</v>
      </c>
      <c r="B43" s="19" t="s">
        <v>538</v>
      </c>
      <c r="C43" s="20"/>
      <c r="D43" s="18" t="s">
        <v>778</v>
      </c>
      <c r="E43" s="19" t="s">
        <v>2156</v>
      </c>
      <c r="F43" s="20"/>
      <c r="G43" s="18" t="s">
        <v>780</v>
      </c>
      <c r="H43" s="19" t="s">
        <v>2157</v>
      </c>
      <c r="I43" s="20"/>
      <c r="J43" s="18" t="s">
        <v>583</v>
      </c>
      <c r="K43" s="19" t="s">
        <v>1960</v>
      </c>
      <c r="L43" s="20"/>
      <c r="M43" s="18" t="s">
        <v>585</v>
      </c>
      <c r="N43" s="19" t="s">
        <v>1825</v>
      </c>
      <c r="O43" s="20"/>
    </row>
    <row r="44" ht="180.0" customHeight="1">
      <c r="A44" s="21" t="str">
        <f>IMAGE("https://assets.tcgdex.net/de/sv/sv08.5/051/low.jpg", 1)</f>
        <v/>
      </c>
      <c r="B44" s="22"/>
      <c r="C44" s="20"/>
      <c r="D44" s="21" t="str">
        <f>IMAGE("https://assets.tcgdex.net/de/sv/sv08.5/052/low.jpg", 1)</f>
        <v/>
      </c>
      <c r="E44" s="22"/>
      <c r="F44" s="20"/>
      <c r="G44" s="21" t="str">
        <f>IMAGE("https://assets.tcgdex.net/de/sv/sv08.5/053/low.jpg", 1)</f>
        <v/>
      </c>
      <c r="H44" s="22"/>
      <c r="I44" s="20"/>
      <c r="J44" s="21" t="str">
        <f>IMAGE("https://assets.tcgdex.net/de/sv/sv08.5/054/low.jpg", 1)</f>
        <v/>
      </c>
      <c r="K44" s="22"/>
      <c r="L44" s="20"/>
      <c r="M44" s="21" t="str">
        <f>IMAGE("https://assets.tcgdex.net/de/sv/sv08.5/055/low.jpg", 1)</f>
        <v/>
      </c>
      <c r="N44" s="22"/>
      <c r="O44" s="20"/>
    </row>
    <row r="45" ht="22.5" customHeight="1">
      <c r="A45" s="23" t="b">
        <v>0</v>
      </c>
      <c r="B45" s="24" t="b">
        <v>0</v>
      </c>
      <c r="C45" s="25" t="str">
        <f>HYPERLINK("https://www.cardmarket.com/en/Pokemon/Products/Singles?idCategory=1&amp;idProduct=sv8pt5-51", "CM")</f>
        <v>CM</v>
      </c>
      <c r="D45" s="23" t="b">
        <v>0</v>
      </c>
      <c r="E45" s="24" t="b">
        <v>0</v>
      </c>
      <c r="F45" s="25" t="str">
        <f>HYPERLINK("https://www.cardmarket.com/en/Pokemon/Products/Singles?idCategory=1&amp;idProduct=sv8pt5-52", "CM")</f>
        <v>CM</v>
      </c>
      <c r="G45" s="23" t="b">
        <v>0</v>
      </c>
      <c r="H45" s="24" t="b">
        <v>0</v>
      </c>
      <c r="I45" s="25" t="str">
        <f>HYPERLINK("https://www.cardmarket.com/en/Pokemon/Products/Singles?idCategory=1&amp;idProduct=sv8pt5-53", "CM")</f>
        <v>CM</v>
      </c>
      <c r="J45" s="23" t="b">
        <v>0</v>
      </c>
      <c r="K45" s="24" t="b">
        <v>0</v>
      </c>
      <c r="L45" s="25" t="str">
        <f>HYPERLINK("https://www.cardmarket.com/en/Pokemon/Products/Singles?idCategory=1&amp;idProduct=sv8pt5-54", "CM")</f>
        <v>CM</v>
      </c>
      <c r="M45" s="23" t="b">
        <v>0</v>
      </c>
      <c r="N45" s="24" t="b">
        <v>0</v>
      </c>
      <c r="O45" s="25" t="str">
        <f>HYPERLINK("https://www.cardmarket.com/en/Pokemon/Products/Singles?idCategory=1&amp;idProduct=sv8pt5-55", "CM")</f>
        <v>CM</v>
      </c>
    </row>
    <row r="46" ht="7.5" customHeight="1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</row>
    <row r="47" ht="18.75" customHeight="1">
      <c r="A47" s="18" t="s">
        <v>782</v>
      </c>
      <c r="B47" s="19" t="s">
        <v>1658</v>
      </c>
      <c r="C47" s="20"/>
      <c r="D47" s="18" t="s">
        <v>587</v>
      </c>
      <c r="E47" s="19" t="s">
        <v>1913</v>
      </c>
      <c r="F47" s="20"/>
      <c r="G47" s="18" t="s">
        <v>589</v>
      </c>
      <c r="H47" s="19" t="s">
        <v>1914</v>
      </c>
      <c r="I47" s="20"/>
      <c r="J47" s="18" t="s">
        <v>591</v>
      </c>
      <c r="K47" s="19" t="s">
        <v>1432</v>
      </c>
      <c r="L47" s="20"/>
      <c r="M47" s="18" t="s">
        <v>593</v>
      </c>
      <c r="N47" s="19" t="s">
        <v>2158</v>
      </c>
      <c r="O47" s="20"/>
    </row>
    <row r="48" ht="180.0" customHeight="1">
      <c r="A48" s="21" t="str">
        <f>IMAGE("https://assets.tcgdex.net/de/sv/sv08.5/056/low.jpg", 1)</f>
        <v/>
      </c>
      <c r="B48" s="22"/>
      <c r="C48" s="20"/>
      <c r="D48" s="21" t="str">
        <f>IMAGE("https://assets.tcgdex.net/de/sv/sv08.5/057/low.jpg", 1)</f>
        <v/>
      </c>
      <c r="E48" s="22"/>
      <c r="F48" s="20"/>
      <c r="G48" s="21" t="str">
        <f>IMAGE("https://assets.tcgdex.net/de/sv/sv08.5/058/low.jpg", 1)</f>
        <v/>
      </c>
      <c r="H48" s="22"/>
      <c r="I48" s="20"/>
      <c r="J48" s="21" t="str">
        <f>IMAGE("https://assets.tcgdex.net/de/sv/sv08.5/059/low.jpg", 1)</f>
        <v/>
      </c>
      <c r="K48" s="22"/>
      <c r="L48" s="20"/>
      <c r="M48" s="21" t="str">
        <f>IMAGE("https://assets.tcgdex.net/de/sv/sv08.5/060/low.jpg", 1)</f>
        <v/>
      </c>
      <c r="N48" s="22"/>
      <c r="O48" s="20"/>
    </row>
    <row r="49" ht="22.5" customHeight="1">
      <c r="A49" s="23" t="b">
        <v>0</v>
      </c>
      <c r="B49" s="24" t="b">
        <v>0</v>
      </c>
      <c r="C49" s="25" t="str">
        <f>HYPERLINK("https://www.cardmarket.com/en/Pokemon/Products/Singles?idCategory=1&amp;idProduct=sv8pt5-56", "CM")</f>
        <v>CM</v>
      </c>
      <c r="D49" s="23" t="b">
        <v>0</v>
      </c>
      <c r="E49" s="24" t="b">
        <v>0</v>
      </c>
      <c r="F49" s="25" t="str">
        <f>HYPERLINK("https://www.cardmarket.com/en/Pokemon/Products/Singles?idCategory=1&amp;idProduct=sv8pt5-57", "CM")</f>
        <v>CM</v>
      </c>
      <c r="G49" s="23" t="b">
        <v>0</v>
      </c>
      <c r="H49" s="24" t="b">
        <v>0</v>
      </c>
      <c r="I49" s="25" t="str">
        <f>HYPERLINK("https://www.cardmarket.com/en/Pokemon/Products/Singles?idCategory=1&amp;idProduct=sv8pt5-58", "CM")</f>
        <v>CM</v>
      </c>
      <c r="J49" s="23" t="b">
        <v>0</v>
      </c>
      <c r="K49" s="24" t="b">
        <v>0</v>
      </c>
      <c r="L49" s="25" t="str">
        <f>HYPERLINK("https://www.cardmarket.com/en/Pokemon/Products/Singles?idCategory=1&amp;idProduct=sv8pt5-59", "CM")</f>
        <v>CM</v>
      </c>
      <c r="M49" s="23" t="b">
        <v>0</v>
      </c>
      <c r="N49" s="24" t="b">
        <v>0</v>
      </c>
      <c r="O49" s="25" t="str">
        <f>HYPERLINK("https://www.cardmarket.com/en/Pokemon/Products/Singles?idCategory=1&amp;idProduct=sv8pt5-60", "CM")</f>
        <v>CM</v>
      </c>
    </row>
    <row r="50" ht="7.5" customHeight="1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</row>
    <row r="51" ht="18.75" customHeight="1">
      <c r="A51" s="18" t="s">
        <v>595</v>
      </c>
      <c r="B51" s="19" t="s">
        <v>1763</v>
      </c>
      <c r="C51" s="20"/>
      <c r="D51" s="18" t="s">
        <v>597</v>
      </c>
      <c r="E51" s="19" t="s">
        <v>1254</v>
      </c>
      <c r="F51" s="20"/>
      <c r="G51" s="18" t="s">
        <v>784</v>
      </c>
      <c r="H51" s="19" t="s">
        <v>1255</v>
      </c>
      <c r="I51" s="20"/>
      <c r="J51" s="18" t="s">
        <v>786</v>
      </c>
      <c r="K51" s="19" t="s">
        <v>1399</v>
      </c>
      <c r="L51" s="20"/>
      <c r="M51" s="18" t="s">
        <v>788</v>
      </c>
      <c r="N51" s="19" t="s">
        <v>1832</v>
      </c>
      <c r="O51" s="20"/>
    </row>
    <row r="52" ht="180.0" customHeight="1">
      <c r="A52" s="21" t="str">
        <f>IMAGE("https://assets.tcgdex.net/de/sv/sv08.5/061/low.jpg", 1)</f>
        <v/>
      </c>
      <c r="B52" s="22"/>
      <c r="C52" s="20"/>
      <c r="D52" s="21" t="str">
        <f>IMAGE("https://assets.tcgdex.net/de/sv/sv08.5/062/low.jpg", 1)</f>
        <v/>
      </c>
      <c r="E52" s="22"/>
      <c r="F52" s="20"/>
      <c r="G52" s="21" t="str">
        <f>IMAGE("https://assets.tcgdex.net/de/sv/sv08.5/063/low.jpg", 1)</f>
        <v/>
      </c>
      <c r="H52" s="22"/>
      <c r="I52" s="20"/>
      <c r="J52" s="21" t="str">
        <f>IMAGE("https://assets.tcgdex.net/de/sv/sv08.5/064/low.jpg", 1)</f>
        <v/>
      </c>
      <c r="K52" s="22"/>
      <c r="L52" s="20"/>
      <c r="M52" s="21" t="str">
        <f>IMAGE("https://assets.tcgdex.net/de/sv/sv08.5/065/low.jpg", 1)</f>
        <v/>
      </c>
      <c r="N52" s="22"/>
      <c r="O52" s="20"/>
    </row>
    <row r="53" ht="22.5" customHeight="1">
      <c r="A53" s="23" t="b">
        <v>0</v>
      </c>
      <c r="B53" s="24" t="b">
        <v>0</v>
      </c>
      <c r="C53" s="25" t="str">
        <f>HYPERLINK("https://www.cardmarket.com/en/Pokemon/Products/Singles?idCategory=1&amp;idProduct=sv8pt5-61", "CM")</f>
        <v>CM</v>
      </c>
      <c r="D53" s="23" t="b">
        <v>0</v>
      </c>
      <c r="E53" s="24" t="b">
        <v>0</v>
      </c>
      <c r="F53" s="25" t="str">
        <f>HYPERLINK("https://www.cardmarket.com/en/Pokemon/Products/Singles?idCategory=1&amp;idProduct=sv8pt5-62", "CM")</f>
        <v>CM</v>
      </c>
      <c r="G53" s="23" t="b">
        <v>0</v>
      </c>
      <c r="H53" s="24" t="b">
        <v>0</v>
      </c>
      <c r="I53" s="25" t="str">
        <f>HYPERLINK("https://www.cardmarket.com/en/Pokemon/Products/Singles?idCategory=1&amp;idProduct=sv8pt5-63", "CM")</f>
        <v>CM</v>
      </c>
      <c r="J53" s="23" t="b">
        <v>0</v>
      </c>
      <c r="K53" s="24" t="b">
        <v>0</v>
      </c>
      <c r="L53" s="25" t="str">
        <f>HYPERLINK("https://www.cardmarket.com/en/Pokemon/Products/Singles?idCategory=1&amp;idProduct=sv8pt5-64", "CM")</f>
        <v>CM</v>
      </c>
      <c r="M53" s="23" t="b">
        <v>0</v>
      </c>
      <c r="N53" s="24" t="b">
        <v>0</v>
      </c>
      <c r="O53" s="25" t="str">
        <f>HYPERLINK("https://www.cardmarket.com/en/Pokemon/Products/Singles?idCategory=1&amp;idProduct=sv8pt5-65", "CM")</f>
        <v>CM</v>
      </c>
    </row>
    <row r="54" ht="7.5" customHeight="1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</row>
    <row r="55" ht="18.75" customHeight="1">
      <c r="A55" s="18" t="s">
        <v>790</v>
      </c>
      <c r="B55" s="19" t="s">
        <v>1438</v>
      </c>
      <c r="C55" s="20"/>
      <c r="D55" s="18" t="s">
        <v>791</v>
      </c>
      <c r="E55" s="19" t="s">
        <v>1439</v>
      </c>
      <c r="F55" s="20"/>
      <c r="G55" s="18" t="s">
        <v>793</v>
      </c>
      <c r="H55" s="19" t="s">
        <v>1918</v>
      </c>
      <c r="I55" s="20"/>
      <c r="J55" s="18" t="s">
        <v>795</v>
      </c>
      <c r="K55" s="19" t="s">
        <v>2028</v>
      </c>
      <c r="L55" s="20"/>
      <c r="M55" s="18" t="s">
        <v>797</v>
      </c>
      <c r="N55" s="19" t="s">
        <v>2029</v>
      </c>
      <c r="O55" s="20"/>
    </row>
    <row r="56" ht="180.0" customHeight="1">
      <c r="A56" s="21" t="str">
        <f>IMAGE("https://assets.tcgdex.net/de/sv/sv08.5/066/low.jpg", 1)</f>
        <v/>
      </c>
      <c r="B56" s="22"/>
      <c r="C56" s="20"/>
      <c r="D56" s="21" t="str">
        <f>IMAGE("https://assets.tcgdex.net/de/sv/sv08.5/067/low.jpg", 1)</f>
        <v/>
      </c>
      <c r="E56" s="22"/>
      <c r="F56" s="20"/>
      <c r="G56" s="21" t="str">
        <f>IMAGE("https://assets.tcgdex.net/de/sv/sv08.5/068/low.jpg", 1)</f>
        <v/>
      </c>
      <c r="H56" s="22"/>
      <c r="I56" s="20"/>
      <c r="J56" s="21" t="str">
        <f>IMAGE("https://assets.tcgdex.net/de/sv/sv08.5/069/low.jpg", 1)</f>
        <v/>
      </c>
      <c r="K56" s="22"/>
      <c r="L56" s="20"/>
      <c r="M56" s="21" t="str">
        <f>IMAGE("https://assets.tcgdex.net/de/sv/sv08.5/070/low.jpg", 1)</f>
        <v/>
      </c>
      <c r="N56" s="22"/>
      <c r="O56" s="20"/>
    </row>
    <row r="57" ht="22.5" customHeight="1">
      <c r="A57" s="23" t="b">
        <v>0</v>
      </c>
      <c r="B57" s="24" t="b">
        <v>0</v>
      </c>
      <c r="C57" s="25" t="str">
        <f>HYPERLINK("https://www.cardmarket.com/en/Pokemon/Products/Singles?idCategory=1&amp;idProduct=sv8pt5-66", "CM")</f>
        <v>CM</v>
      </c>
      <c r="D57" s="23" t="b">
        <v>0</v>
      </c>
      <c r="E57" s="24" t="b">
        <v>0</v>
      </c>
      <c r="F57" s="25" t="str">
        <f>HYPERLINK("https://www.cardmarket.com/en/Pokemon/Products/Singles?idCategory=1&amp;idProduct=sv8pt5-67", "CM")</f>
        <v>CM</v>
      </c>
      <c r="G57" s="23" t="b">
        <v>0</v>
      </c>
      <c r="H57" s="24" t="b">
        <v>0</v>
      </c>
      <c r="I57" s="25" t="str">
        <f>HYPERLINK("https://www.cardmarket.com/en/Pokemon/Products/Singles?idCategory=1&amp;idProduct=sv8pt5-68", "CM")</f>
        <v>CM</v>
      </c>
      <c r="J57" s="23" t="b">
        <v>0</v>
      </c>
      <c r="K57" s="24" t="b">
        <v>0</v>
      </c>
      <c r="L57" s="25" t="str">
        <f>HYPERLINK("https://www.cardmarket.com/en/Pokemon/Products/Singles?idCategory=1&amp;idProduct=sv8pt5-69", "CM")</f>
        <v>CM</v>
      </c>
      <c r="M57" s="23" t="b">
        <v>0</v>
      </c>
      <c r="N57" s="24" t="b">
        <v>0</v>
      </c>
      <c r="O57" s="25" t="str">
        <f>HYPERLINK("https://www.cardmarket.com/en/Pokemon/Products/Singles?idCategory=1&amp;idProduct=sv8pt5-70", "CM")</f>
        <v>CM</v>
      </c>
    </row>
    <row r="58" ht="7.5" customHeight="1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</row>
    <row r="59" ht="18.75" customHeight="1">
      <c r="A59" s="18" t="s">
        <v>799</v>
      </c>
      <c r="B59" s="19" t="s">
        <v>1919</v>
      </c>
      <c r="C59" s="20"/>
      <c r="D59" s="18" t="s">
        <v>801</v>
      </c>
      <c r="E59" s="19" t="s">
        <v>1920</v>
      </c>
      <c r="F59" s="20"/>
      <c r="G59" s="18" t="s">
        <v>803</v>
      </c>
      <c r="H59" s="19" t="s">
        <v>1921</v>
      </c>
      <c r="I59" s="20"/>
      <c r="J59" s="18" t="s">
        <v>805</v>
      </c>
      <c r="K59" s="19" t="s">
        <v>764</v>
      </c>
      <c r="L59" s="20"/>
      <c r="M59" s="18" t="s">
        <v>806</v>
      </c>
      <c r="N59" s="19" t="s">
        <v>700</v>
      </c>
      <c r="O59" s="20"/>
    </row>
    <row r="60" ht="180.0" customHeight="1">
      <c r="A60" s="21" t="str">
        <f>IMAGE("https://assets.tcgdex.net/de/sv/sv08.5/071/low.jpg", 1)</f>
        <v/>
      </c>
      <c r="B60" s="22"/>
      <c r="C60" s="20"/>
      <c r="D60" s="21" t="str">
        <f>IMAGE("https://assets.tcgdex.net/de/sv/sv08.5/072/low.jpg", 1)</f>
        <v/>
      </c>
      <c r="E60" s="22"/>
      <c r="F60" s="20"/>
      <c r="G60" s="21" t="str">
        <f>IMAGE("https://assets.tcgdex.net/de/sv/sv08.5/073/low.jpg", 1)</f>
        <v/>
      </c>
      <c r="H60" s="22"/>
      <c r="I60" s="20"/>
      <c r="J60" s="21" t="str">
        <f>IMAGE("https://assets.tcgdex.net/de/sv/sv08.5/074/low.jpg", 1)</f>
        <v/>
      </c>
      <c r="K60" s="22"/>
      <c r="L60" s="20"/>
      <c r="M60" s="21" t="str">
        <f>IMAGE("https://assets.tcgdex.net/de/sv/sv08.5/075/low.jpg", 1)</f>
        <v/>
      </c>
      <c r="N60" s="22"/>
      <c r="O60" s="20"/>
    </row>
    <row r="61" ht="22.5" customHeight="1">
      <c r="A61" s="23" t="b">
        <v>0</v>
      </c>
      <c r="B61" s="24" t="b">
        <v>0</v>
      </c>
      <c r="C61" s="25" t="str">
        <f>HYPERLINK("https://www.cardmarket.com/en/Pokemon/Products/Singles?idCategory=1&amp;idProduct=sv8pt5-71", "CM")</f>
        <v>CM</v>
      </c>
      <c r="D61" s="23" t="b">
        <v>0</v>
      </c>
      <c r="E61" s="24" t="b">
        <v>0</v>
      </c>
      <c r="F61" s="25" t="str">
        <f>HYPERLINK("https://www.cardmarket.com/en/Pokemon/Products/Singles?idCategory=1&amp;idProduct=sv8pt5-72", "CM")</f>
        <v>CM</v>
      </c>
      <c r="G61" s="23" t="b">
        <v>0</v>
      </c>
      <c r="H61" s="24" t="b">
        <v>0</v>
      </c>
      <c r="I61" s="25" t="str">
        <f>HYPERLINK("https://www.cardmarket.com/en/Pokemon/Products/Singles?idCategory=1&amp;idProduct=sv8pt5-73", "CM")</f>
        <v>CM</v>
      </c>
      <c r="J61" s="23" t="b">
        <v>0</v>
      </c>
      <c r="K61" s="24" t="b">
        <v>0</v>
      </c>
      <c r="L61" s="25" t="str">
        <f>HYPERLINK("https://www.cardmarket.com/en/Pokemon/Products/Singles?idCategory=1&amp;idProduct=sv8pt5-74", "CM")</f>
        <v>CM</v>
      </c>
      <c r="M61" s="23" t="b">
        <v>0</v>
      </c>
      <c r="N61" s="24" t="b">
        <v>0</v>
      </c>
      <c r="O61" s="25" t="str">
        <f>HYPERLINK("https://www.cardmarket.com/en/Pokemon/Products/Singles?idCategory=1&amp;idProduct=sv8pt5-75", "CM")</f>
        <v>CM</v>
      </c>
    </row>
    <row r="62" ht="7.5" customHeight="1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</row>
    <row r="63" ht="18.75" customHeight="1">
      <c r="A63" s="18" t="s">
        <v>808</v>
      </c>
      <c r="B63" s="19" t="s">
        <v>2159</v>
      </c>
      <c r="C63" s="20"/>
      <c r="D63" s="18" t="s">
        <v>809</v>
      </c>
      <c r="E63" s="19" t="s">
        <v>1839</v>
      </c>
      <c r="F63" s="20"/>
      <c r="G63" s="18" t="s">
        <v>811</v>
      </c>
      <c r="H63" s="19" t="s">
        <v>849</v>
      </c>
      <c r="I63" s="20"/>
      <c r="J63" s="18" t="s">
        <v>599</v>
      </c>
      <c r="K63" s="19" t="s">
        <v>1840</v>
      </c>
      <c r="L63" s="20"/>
      <c r="M63" s="18" t="s">
        <v>601</v>
      </c>
      <c r="N63" s="19" t="s">
        <v>1841</v>
      </c>
      <c r="O63" s="20"/>
    </row>
    <row r="64" ht="180.0" customHeight="1">
      <c r="A64" s="21" t="str">
        <f>IMAGE("https://assets.tcgdex.net/de/sv/sv08.5/076/low.jpg", 1)</f>
        <v/>
      </c>
      <c r="B64" s="22"/>
      <c r="C64" s="20"/>
      <c r="D64" s="21" t="str">
        <f>IMAGE("https://assets.tcgdex.net/de/sv/sv08.5/077/low.jpg", 1)</f>
        <v/>
      </c>
      <c r="E64" s="22"/>
      <c r="F64" s="20"/>
      <c r="G64" s="21" t="str">
        <f>IMAGE("https://assets.tcgdex.net/de/sv/sv08.5/078/low.jpg", 1)</f>
        <v/>
      </c>
      <c r="H64" s="22"/>
      <c r="I64" s="20"/>
      <c r="J64" s="21" t="str">
        <f>IMAGE("https://assets.tcgdex.net/de/sv/sv08.5/079/low.jpg", 1)</f>
        <v/>
      </c>
      <c r="K64" s="22"/>
      <c r="L64" s="20"/>
      <c r="M64" s="21" t="str">
        <f>IMAGE("https://assets.tcgdex.net/de/sv/sv08.5/080/low.jpg", 1)</f>
        <v/>
      </c>
      <c r="N64" s="22"/>
      <c r="O64" s="20"/>
    </row>
    <row r="65" ht="22.5" customHeight="1">
      <c r="A65" s="23" t="b">
        <v>0</v>
      </c>
      <c r="B65" s="24" t="b">
        <v>0</v>
      </c>
      <c r="C65" s="25" t="str">
        <f>HYPERLINK("https://www.cardmarket.com/en/Pokemon/Products/Singles?idCategory=1&amp;idProduct=sv8pt5-76", "CM")</f>
        <v>CM</v>
      </c>
      <c r="D65" s="23" t="b">
        <v>0</v>
      </c>
      <c r="E65" s="24" t="b">
        <v>0</v>
      </c>
      <c r="F65" s="25" t="str">
        <f>HYPERLINK("https://www.cardmarket.com/en/Pokemon/Products/Singles?idCategory=1&amp;idProduct=sv8pt5-77", "CM")</f>
        <v>CM</v>
      </c>
      <c r="G65" s="23" t="b">
        <v>0</v>
      </c>
      <c r="H65" s="24" t="b">
        <v>0</v>
      </c>
      <c r="I65" s="25" t="str">
        <f>HYPERLINK("https://www.cardmarket.com/en/Pokemon/Products/Singles?idCategory=1&amp;idProduct=sv8pt5-78", "CM")</f>
        <v>CM</v>
      </c>
      <c r="J65" s="23" t="b">
        <v>0</v>
      </c>
      <c r="K65" s="24" t="b">
        <v>0</v>
      </c>
      <c r="L65" s="25" t="str">
        <f>HYPERLINK("https://www.cardmarket.com/en/Pokemon/Products/Singles?idCategory=1&amp;idProduct=sv8pt5-79", "CM")</f>
        <v>CM</v>
      </c>
      <c r="M65" s="23" t="b">
        <v>0</v>
      </c>
      <c r="N65" s="24" t="b">
        <v>0</v>
      </c>
      <c r="O65" s="25" t="str">
        <f>HYPERLINK("https://www.cardmarket.com/en/Pokemon/Products/Singles?idCategory=1&amp;idProduct=sv8pt5-80", "CM")</f>
        <v>CM</v>
      </c>
    </row>
    <row r="66" ht="7.5" customHeight="1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</row>
    <row r="67" ht="18.75" customHeight="1">
      <c r="A67" s="18" t="s">
        <v>603</v>
      </c>
      <c r="B67" s="19" t="s">
        <v>1107</v>
      </c>
      <c r="C67" s="20"/>
      <c r="D67" s="18" t="s">
        <v>604</v>
      </c>
      <c r="E67" s="19" t="s">
        <v>2160</v>
      </c>
      <c r="F67" s="20"/>
      <c r="G67" s="18" t="s">
        <v>606</v>
      </c>
      <c r="H67" s="19" t="s">
        <v>2161</v>
      </c>
      <c r="I67" s="20"/>
      <c r="J67" s="18" t="s">
        <v>608</v>
      </c>
      <c r="K67" s="19" t="s">
        <v>2162</v>
      </c>
      <c r="L67" s="20"/>
      <c r="M67" s="18" t="s">
        <v>609</v>
      </c>
      <c r="N67" s="19" t="s">
        <v>2034</v>
      </c>
      <c r="O67" s="20"/>
    </row>
    <row r="68" ht="180.0" customHeight="1">
      <c r="A68" s="21" t="str">
        <f>IMAGE("https://assets.tcgdex.net/de/sv/sv08.5/081/low.jpg", 1)</f>
        <v/>
      </c>
      <c r="B68" s="22"/>
      <c r="C68" s="20"/>
      <c r="D68" s="21" t="str">
        <f>IMAGE("https://assets.tcgdex.net/de/sv/sv08.5/082/low.jpg", 1)</f>
        <v/>
      </c>
      <c r="E68" s="22"/>
      <c r="F68" s="20"/>
      <c r="G68" s="21" t="str">
        <f>IMAGE("https://assets.tcgdex.net/de/sv/sv08.5/083/low.jpg", 1)</f>
        <v/>
      </c>
      <c r="H68" s="22"/>
      <c r="I68" s="20"/>
      <c r="J68" s="21" t="str">
        <f>IMAGE("https://assets.tcgdex.net/de/sv/sv08.5/084/low.jpg", 1)</f>
        <v/>
      </c>
      <c r="K68" s="22"/>
      <c r="L68" s="20"/>
      <c r="M68" s="21" t="str">
        <f>IMAGE("https://assets.tcgdex.net/de/sv/sv08.5/085/low.jpg", 1)</f>
        <v/>
      </c>
      <c r="N68" s="22"/>
      <c r="O68" s="20"/>
    </row>
    <row r="69" ht="22.5" customHeight="1">
      <c r="A69" s="23" t="b">
        <v>0</v>
      </c>
      <c r="B69" s="24" t="b">
        <v>0</v>
      </c>
      <c r="C69" s="25" t="str">
        <f>HYPERLINK("https://www.cardmarket.com/en/Pokemon/Products/Singles?idCategory=1&amp;idProduct=sv8pt5-81", "CM")</f>
        <v>CM</v>
      </c>
      <c r="D69" s="23" t="b">
        <v>0</v>
      </c>
      <c r="E69" s="24" t="b">
        <v>0</v>
      </c>
      <c r="F69" s="25" t="str">
        <f>HYPERLINK("https://www.cardmarket.com/en/Pokemon/Products/Singles?idCategory=1&amp;idProduct=sv8pt5-82", "CM")</f>
        <v>CM</v>
      </c>
      <c r="G69" s="23" t="b">
        <v>0</v>
      </c>
      <c r="H69" s="24" t="b">
        <v>0</v>
      </c>
      <c r="I69" s="25" t="str">
        <f>HYPERLINK("https://www.cardmarket.com/en/Pokemon/Products/Singles?idCategory=1&amp;idProduct=sv8pt5-83", "CM")</f>
        <v>CM</v>
      </c>
      <c r="J69" s="23" t="b">
        <v>0</v>
      </c>
      <c r="K69" s="24" t="b">
        <v>0</v>
      </c>
      <c r="L69" s="25" t="str">
        <f>HYPERLINK("https://www.cardmarket.com/en/Pokemon/Products/Singles?idCategory=1&amp;idProduct=sv8pt5-84", "CM")</f>
        <v>CM</v>
      </c>
      <c r="M69" s="23" t="b">
        <v>0</v>
      </c>
      <c r="N69" s="24" t="b">
        <v>0</v>
      </c>
      <c r="O69" s="25" t="str">
        <f>HYPERLINK("https://www.cardmarket.com/en/Pokemon/Products/Singles?idCategory=1&amp;idProduct=sv8pt5-85", "CM")</f>
        <v>CM</v>
      </c>
    </row>
    <row r="70" ht="7.5" customHeight="1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</row>
    <row r="71" ht="18.75" customHeight="1">
      <c r="A71" s="18" t="s">
        <v>611</v>
      </c>
      <c r="B71" s="19" t="s">
        <v>2163</v>
      </c>
      <c r="C71" s="20"/>
      <c r="D71" s="18" t="s">
        <v>613</v>
      </c>
      <c r="E71" s="19" t="s">
        <v>1024</v>
      </c>
      <c r="F71" s="20"/>
      <c r="G71" s="18" t="s">
        <v>615</v>
      </c>
      <c r="H71" s="19" t="s">
        <v>1974</v>
      </c>
      <c r="I71" s="20"/>
      <c r="J71" s="18" t="s">
        <v>617</v>
      </c>
      <c r="K71" s="19" t="s">
        <v>745</v>
      </c>
      <c r="L71" s="20"/>
      <c r="M71" s="18" t="s">
        <v>619</v>
      </c>
      <c r="N71" s="19" t="s">
        <v>1746</v>
      </c>
      <c r="O71" s="20"/>
    </row>
    <row r="72" ht="180.0" customHeight="1">
      <c r="A72" s="21" t="str">
        <f>IMAGE("https://assets.tcgdex.net/de/sv/sv08.5/086/low.jpg", 1)</f>
        <v/>
      </c>
      <c r="B72" s="22"/>
      <c r="C72" s="20"/>
      <c r="D72" s="21" t="str">
        <f>IMAGE("https://assets.tcgdex.net/de/sv/sv08.5/087/low.jpg", 1)</f>
        <v/>
      </c>
      <c r="E72" s="22"/>
      <c r="F72" s="20"/>
      <c r="G72" s="21" t="str">
        <f>IMAGE("https://assets.tcgdex.net/de/sv/sv08.5/088/low.jpg", 1)</f>
        <v/>
      </c>
      <c r="H72" s="22"/>
      <c r="I72" s="20"/>
      <c r="J72" s="21" t="str">
        <f>IMAGE("https://assets.tcgdex.net/de/sv/sv08.5/089/low.jpg", 1)</f>
        <v/>
      </c>
      <c r="K72" s="22"/>
      <c r="L72" s="20"/>
      <c r="M72" s="21" t="str">
        <f>IMAGE("https://assets.tcgdex.net/de/sv/sv08.5/090/low.jpg", 1)</f>
        <v/>
      </c>
      <c r="N72" s="22"/>
      <c r="O72" s="20"/>
    </row>
    <row r="73" ht="22.5" customHeight="1">
      <c r="A73" s="23" t="b">
        <v>0</v>
      </c>
      <c r="B73" s="24" t="b">
        <v>0</v>
      </c>
      <c r="C73" s="25" t="str">
        <f>HYPERLINK("https://www.cardmarket.com/en/Pokemon/Products/Singles?idCategory=1&amp;idProduct=sv8pt5-86", "CM")</f>
        <v>CM</v>
      </c>
      <c r="D73" s="23" t="b">
        <v>0</v>
      </c>
      <c r="E73" s="24" t="b">
        <v>0</v>
      </c>
      <c r="F73" s="25" t="str">
        <f>HYPERLINK("https://www.cardmarket.com/en/Pokemon/Products/Singles?idCategory=1&amp;idProduct=sv8pt5-87", "CM")</f>
        <v>CM</v>
      </c>
      <c r="G73" s="23" t="b">
        <v>0</v>
      </c>
      <c r="H73" s="24" t="b">
        <v>0</v>
      </c>
      <c r="I73" s="25" t="str">
        <f>HYPERLINK("https://www.cardmarket.com/en/Pokemon/Products/Singles?idCategory=1&amp;idProduct=sv8pt5-88", "CM")</f>
        <v>CM</v>
      </c>
      <c r="J73" s="23" t="b">
        <v>0</v>
      </c>
      <c r="K73" s="24" t="b">
        <v>0</v>
      </c>
      <c r="L73" s="25" t="str">
        <f>HYPERLINK("https://www.cardmarket.com/en/Pokemon/Products/Singles?idCategory=1&amp;idProduct=sv8pt5-89", "CM")</f>
        <v>CM</v>
      </c>
      <c r="M73" s="23" t="b">
        <v>0</v>
      </c>
      <c r="N73" s="24" t="b">
        <v>0</v>
      </c>
      <c r="O73" s="25" t="str">
        <f>HYPERLINK("https://www.cardmarket.com/en/Pokemon/Products/Singles?idCategory=1&amp;idProduct=sv8pt5-90", "CM")</f>
        <v>CM</v>
      </c>
    </row>
    <row r="74" ht="7.5" customHeight="1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</row>
    <row r="75" ht="18.75" customHeight="1">
      <c r="A75" s="18" t="s">
        <v>621</v>
      </c>
      <c r="B75" s="19" t="s">
        <v>1747</v>
      </c>
      <c r="C75" s="20"/>
      <c r="D75" s="18" t="s">
        <v>623</v>
      </c>
      <c r="E75" s="19" t="s">
        <v>868</v>
      </c>
      <c r="F75" s="20"/>
      <c r="G75" s="18" t="s">
        <v>625</v>
      </c>
      <c r="H75" s="19" t="s">
        <v>2164</v>
      </c>
      <c r="I75" s="20"/>
      <c r="J75" s="18" t="s">
        <v>627</v>
      </c>
      <c r="K75" s="19" t="s">
        <v>2041</v>
      </c>
      <c r="L75" s="20"/>
      <c r="M75" s="18" t="s">
        <v>812</v>
      </c>
      <c r="N75" s="19" t="s">
        <v>1978</v>
      </c>
      <c r="O75" s="20"/>
    </row>
    <row r="76" ht="180.0" customHeight="1">
      <c r="A76" s="21" t="str">
        <f>IMAGE("https://assets.tcgdex.net/de/sv/sv08.5/091/low.jpg", 1)</f>
        <v/>
      </c>
      <c r="B76" s="22"/>
      <c r="C76" s="20"/>
      <c r="D76" s="21" t="str">
        <f>IMAGE("https://assets.tcgdex.net/de/sv/sv08.5/092/low.jpg", 1)</f>
        <v/>
      </c>
      <c r="E76" s="22"/>
      <c r="F76" s="20"/>
      <c r="G76" s="21" t="str">
        <f>IMAGE("https://assets.tcgdex.net/de/sv/sv08.5/093/low.jpg", 1)</f>
        <v/>
      </c>
      <c r="H76" s="22"/>
      <c r="I76" s="20"/>
      <c r="J76" s="21" t="str">
        <f>IMAGE("https://assets.tcgdex.net/de/sv/sv08.5/094/low.jpg", 1)</f>
        <v/>
      </c>
      <c r="K76" s="22"/>
      <c r="L76" s="20"/>
      <c r="M76" s="21" t="str">
        <f>IMAGE("https://assets.tcgdex.net/de/sv/sv08.5/095/low.jpg", 1)</f>
        <v/>
      </c>
      <c r="N76" s="22"/>
      <c r="O76" s="20"/>
    </row>
    <row r="77" ht="22.5" customHeight="1">
      <c r="A77" s="23" t="b">
        <v>0</v>
      </c>
      <c r="B77" s="24" t="b">
        <v>0</v>
      </c>
      <c r="C77" s="25" t="str">
        <f>HYPERLINK("https://www.cardmarket.com/en/Pokemon/Products/Singles?idCategory=1&amp;idProduct=sv8pt5-91", "CM")</f>
        <v>CM</v>
      </c>
      <c r="D77" s="23" t="b">
        <v>0</v>
      </c>
      <c r="E77" s="24" t="b">
        <v>0</v>
      </c>
      <c r="F77" s="25" t="str">
        <f>HYPERLINK("https://www.cardmarket.com/en/Pokemon/Products/Singles?idCategory=1&amp;idProduct=sv8pt5-92", "CM")</f>
        <v>CM</v>
      </c>
      <c r="G77" s="23" t="b">
        <v>0</v>
      </c>
      <c r="H77" s="24" t="b">
        <v>0</v>
      </c>
      <c r="I77" s="25" t="str">
        <f>HYPERLINK("https://www.cardmarket.com/en/Pokemon/Products/Singles?idCategory=1&amp;idProduct=sv8pt5-93", "CM")</f>
        <v>CM</v>
      </c>
      <c r="J77" s="23" t="b">
        <v>0</v>
      </c>
      <c r="K77" s="24" t="b">
        <v>0</v>
      </c>
      <c r="L77" s="25" t="str">
        <f>HYPERLINK("https://www.cardmarket.com/en/Pokemon/Products/Singles?idCategory=1&amp;idProduct=sv8pt5-94", "CM")</f>
        <v>CM</v>
      </c>
      <c r="M77" s="23" t="b">
        <v>0</v>
      </c>
      <c r="N77" s="24" t="b">
        <v>0</v>
      </c>
      <c r="O77" s="25" t="str">
        <f>HYPERLINK("https://www.cardmarket.com/en/Pokemon/Products/Singles?idCategory=1&amp;idProduct=sv8pt5-95", "CM")</f>
        <v>CM</v>
      </c>
    </row>
    <row r="78" ht="7.5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</row>
    <row r="79" ht="18.75" customHeight="1">
      <c r="A79" s="18" t="s">
        <v>813</v>
      </c>
      <c r="B79" s="19" t="s">
        <v>2165</v>
      </c>
      <c r="C79" s="20"/>
      <c r="D79" s="18" t="s">
        <v>815</v>
      </c>
      <c r="E79" s="19" t="s">
        <v>2165</v>
      </c>
      <c r="F79" s="20"/>
      <c r="G79" s="18" t="s">
        <v>817</v>
      </c>
      <c r="H79" s="19" t="s">
        <v>2165</v>
      </c>
      <c r="I79" s="20"/>
      <c r="J79" s="18" t="s">
        <v>819</v>
      </c>
      <c r="K79" s="19" t="s">
        <v>2165</v>
      </c>
      <c r="L79" s="20"/>
      <c r="M79" s="18" t="s">
        <v>821</v>
      </c>
      <c r="N79" s="19" t="s">
        <v>2042</v>
      </c>
      <c r="O79" s="20"/>
    </row>
    <row r="80" ht="180.0" customHeight="1">
      <c r="A80" s="21" t="str">
        <f>IMAGE("https://assets.tcgdex.net/de/sv/sv08.5/096/low.jpg", 1)</f>
        <v/>
      </c>
      <c r="B80" s="22"/>
      <c r="C80" s="20"/>
      <c r="D80" s="21" t="str">
        <f>IMAGE("https://assets.tcgdex.net/de/sv/sv08.5/097/low.jpg", 1)</f>
        <v/>
      </c>
      <c r="E80" s="22"/>
      <c r="F80" s="20"/>
      <c r="G80" s="21" t="str">
        <f>IMAGE("https://assets.tcgdex.net/de/sv/sv08.5/098/low.jpg", 1)</f>
        <v/>
      </c>
      <c r="H80" s="22"/>
      <c r="I80" s="20"/>
      <c r="J80" s="21" t="str">
        <f>IMAGE("https://assets.tcgdex.net/de/sv/sv08.5/099/low.jpg", 1)</f>
        <v/>
      </c>
      <c r="K80" s="22"/>
      <c r="L80" s="20"/>
      <c r="M80" s="21" t="str">
        <f>IMAGE("https://assets.tcgdex.net/de/sv/sv08.5/100/low.jpg", 1)</f>
        <v/>
      </c>
      <c r="N80" s="22"/>
      <c r="O80" s="20"/>
    </row>
    <row r="81" ht="22.5" customHeight="1">
      <c r="A81" s="23" t="b">
        <v>0</v>
      </c>
      <c r="B81" s="24" t="b">
        <v>0</v>
      </c>
      <c r="C81" s="25" t="str">
        <f>HYPERLINK("https://www.cardmarket.com/en/Pokemon/Products/Singles?idCategory=1&amp;idProduct=sv8pt5-96", "CM")</f>
        <v>CM</v>
      </c>
      <c r="D81" s="23" t="b">
        <v>0</v>
      </c>
      <c r="E81" s="24" t="b">
        <v>0</v>
      </c>
      <c r="F81" s="25" t="str">
        <f>HYPERLINK("https://www.cardmarket.com/en/Pokemon/Products/Singles?idCategory=1&amp;idProduct=sv8pt5-97", "CM")</f>
        <v>CM</v>
      </c>
      <c r="G81" s="23" t="b">
        <v>0</v>
      </c>
      <c r="H81" s="24" t="b">
        <v>0</v>
      </c>
      <c r="I81" s="25" t="str">
        <f>HYPERLINK("https://www.cardmarket.com/en/Pokemon/Products/Singles?idCategory=1&amp;idProduct=sv8pt5-98", "CM")</f>
        <v>CM</v>
      </c>
      <c r="J81" s="23" t="b">
        <v>0</v>
      </c>
      <c r="K81" s="24" t="b">
        <v>0</v>
      </c>
      <c r="L81" s="25" t="str">
        <f>HYPERLINK("https://www.cardmarket.com/en/Pokemon/Products/Singles?idCategory=1&amp;idProduct=sv8pt5-99", "CM")</f>
        <v>CM</v>
      </c>
      <c r="M81" s="23" t="b">
        <v>0</v>
      </c>
      <c r="N81" s="24" t="b">
        <v>0</v>
      </c>
      <c r="O81" s="25" t="str">
        <f>HYPERLINK("https://www.cardmarket.com/en/Pokemon/Products/Singles?idCategory=1&amp;idProduct=sv8pt5-100", "CM")</f>
        <v>CM</v>
      </c>
    </row>
    <row r="82" ht="7.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</row>
    <row r="83" ht="18.75" customHeight="1">
      <c r="A83" s="18" t="s">
        <v>629</v>
      </c>
      <c r="B83" s="19" t="s">
        <v>1852</v>
      </c>
      <c r="C83" s="20"/>
      <c r="D83" s="18" t="s">
        <v>630</v>
      </c>
      <c r="E83" s="19" t="s">
        <v>1926</v>
      </c>
      <c r="F83" s="20"/>
      <c r="G83" s="18" t="s">
        <v>632</v>
      </c>
      <c r="H83" s="19" t="s">
        <v>1928</v>
      </c>
      <c r="I83" s="20"/>
      <c r="J83" s="18" t="s">
        <v>634</v>
      </c>
      <c r="K83" s="19" t="s">
        <v>1853</v>
      </c>
      <c r="L83" s="20"/>
      <c r="M83" s="18" t="s">
        <v>636</v>
      </c>
      <c r="N83" s="19" t="s">
        <v>2043</v>
      </c>
      <c r="O83" s="20"/>
    </row>
    <row r="84" ht="180.0" customHeight="1">
      <c r="A84" s="21" t="str">
        <f>IMAGE("https://assets.tcgdex.net/de/sv/sv08.5/101/low.jpg", 1)</f>
        <v/>
      </c>
      <c r="B84" s="22"/>
      <c r="C84" s="20"/>
      <c r="D84" s="21" t="str">
        <f>IMAGE("https://assets.tcgdex.net/de/sv/sv08.5/102/low.jpg", 1)</f>
        <v/>
      </c>
      <c r="E84" s="22"/>
      <c r="F84" s="20"/>
      <c r="G84" s="21" t="str">
        <f>IMAGE("https://assets.tcgdex.net/de/sv/sv08.5/103/low.jpg", 1)</f>
        <v/>
      </c>
      <c r="H84" s="22"/>
      <c r="I84" s="20"/>
      <c r="J84" s="21" t="str">
        <f>IMAGE("https://assets.tcgdex.net/de/sv/sv08.5/104/low.jpg", 1)</f>
        <v/>
      </c>
      <c r="K84" s="22"/>
      <c r="L84" s="20"/>
      <c r="M84" s="21" t="str">
        <f>IMAGE("https://assets.tcgdex.net/de/sv/sv08.5/105/low.jpg", 1)</f>
        <v/>
      </c>
      <c r="N84" s="22"/>
      <c r="O84" s="20"/>
    </row>
    <row r="85" ht="22.5" customHeight="1">
      <c r="A85" s="23" t="b">
        <v>0</v>
      </c>
      <c r="B85" s="24" t="b">
        <v>0</v>
      </c>
      <c r="C85" s="25" t="str">
        <f>HYPERLINK("https://www.cardmarket.com/en/Pokemon/Products/Singles?idCategory=1&amp;idProduct=sv8pt5-101", "CM")</f>
        <v>CM</v>
      </c>
      <c r="D85" s="23" t="b">
        <v>0</v>
      </c>
      <c r="E85" s="24" t="b">
        <v>0</v>
      </c>
      <c r="F85" s="25" t="str">
        <f>HYPERLINK("https://www.cardmarket.com/en/Pokemon/Products/Singles?idCategory=1&amp;idProduct=sv8pt5-102", "CM")</f>
        <v>CM</v>
      </c>
      <c r="G85" s="23" t="b">
        <v>0</v>
      </c>
      <c r="H85" s="24" t="b">
        <v>0</v>
      </c>
      <c r="I85" s="25" t="str">
        <f>HYPERLINK("https://www.cardmarket.com/en/Pokemon/Products/Singles?idCategory=1&amp;idProduct=sv8pt5-103", "CM")</f>
        <v>CM</v>
      </c>
      <c r="J85" s="23" t="b">
        <v>0</v>
      </c>
      <c r="K85" s="24" t="b">
        <v>0</v>
      </c>
      <c r="L85" s="25" t="str">
        <f>HYPERLINK("https://www.cardmarket.com/en/Pokemon/Products/Singles?idCategory=1&amp;idProduct=sv8pt5-104", "CM")</f>
        <v>CM</v>
      </c>
      <c r="M85" s="23" t="b">
        <v>0</v>
      </c>
      <c r="N85" s="24" t="b">
        <v>0</v>
      </c>
      <c r="O85" s="25" t="str">
        <f>HYPERLINK("https://www.cardmarket.com/en/Pokemon/Products/Singles?idCategory=1&amp;idProduct=sv8pt5-105", "CM")</f>
        <v>CM</v>
      </c>
    </row>
    <row r="86" ht="7.5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</row>
    <row r="87" ht="18.75" customHeight="1">
      <c r="A87" s="18" t="s">
        <v>638</v>
      </c>
      <c r="B87" s="19" t="s">
        <v>1694</v>
      </c>
      <c r="C87" s="20"/>
      <c r="D87" s="18" t="s">
        <v>640</v>
      </c>
      <c r="E87" s="19" t="s">
        <v>1855</v>
      </c>
      <c r="F87" s="20"/>
      <c r="G87" s="18" t="s">
        <v>642</v>
      </c>
      <c r="H87" s="19" t="s">
        <v>1932</v>
      </c>
      <c r="I87" s="20"/>
      <c r="J87" s="18" t="s">
        <v>643</v>
      </c>
      <c r="K87" s="19" t="s">
        <v>2166</v>
      </c>
      <c r="L87" s="20"/>
      <c r="M87" s="18" t="s">
        <v>645</v>
      </c>
      <c r="N87" s="19" t="s">
        <v>2045</v>
      </c>
      <c r="O87" s="20"/>
    </row>
    <row r="88" ht="180.0" customHeight="1">
      <c r="A88" s="21" t="str">
        <f>IMAGE("https://assets.tcgdex.net/de/sv/sv08.5/106/low.jpg", 1)</f>
        <v/>
      </c>
      <c r="B88" s="22"/>
      <c r="C88" s="20"/>
      <c r="D88" s="21" t="str">
        <f>IMAGE("https://assets.tcgdex.net/de/sv/sv08.5/107/low.jpg", 1)</f>
        <v/>
      </c>
      <c r="E88" s="22"/>
      <c r="F88" s="20"/>
      <c r="G88" s="21" t="str">
        <f>IMAGE("https://assets.tcgdex.net/de/sv/sv08.5/108/low.jpg", 1)</f>
        <v/>
      </c>
      <c r="H88" s="22"/>
      <c r="I88" s="20"/>
      <c r="J88" s="21" t="str">
        <f>IMAGE("https://assets.tcgdex.net/de/sv/sv08.5/109/low.jpg", 1)</f>
        <v/>
      </c>
      <c r="K88" s="22"/>
      <c r="L88" s="20"/>
      <c r="M88" s="21" t="str">
        <f>IMAGE("https://assets.tcgdex.net/de/sv/sv08.5/110/low.jpg", 1)</f>
        <v/>
      </c>
      <c r="N88" s="22"/>
      <c r="O88" s="20"/>
    </row>
    <row r="89" ht="22.5" customHeight="1">
      <c r="A89" s="23" t="b">
        <v>0</v>
      </c>
      <c r="B89" s="24" t="b">
        <v>0</v>
      </c>
      <c r="C89" s="25" t="str">
        <f>HYPERLINK("https://www.cardmarket.com/en/Pokemon/Products/Singles?idCategory=1&amp;idProduct=sv8pt5-106", "CM")</f>
        <v>CM</v>
      </c>
      <c r="D89" s="23" t="b">
        <v>0</v>
      </c>
      <c r="E89" s="24" t="b">
        <v>0</v>
      </c>
      <c r="F89" s="25" t="str">
        <f>HYPERLINK("https://www.cardmarket.com/en/Pokemon/Products/Singles?idCategory=1&amp;idProduct=sv8pt5-107", "CM")</f>
        <v>CM</v>
      </c>
      <c r="G89" s="23" t="b">
        <v>0</v>
      </c>
      <c r="H89" s="24" t="b">
        <v>0</v>
      </c>
      <c r="I89" s="25" t="str">
        <f>HYPERLINK("https://www.cardmarket.com/en/Pokemon/Products/Singles?idCategory=1&amp;idProduct=sv8pt5-108", "CM")</f>
        <v>CM</v>
      </c>
      <c r="J89" s="23" t="b">
        <v>0</v>
      </c>
      <c r="K89" s="24" t="b">
        <v>0</v>
      </c>
      <c r="L89" s="25" t="str">
        <f>HYPERLINK("https://www.cardmarket.com/en/Pokemon/Products/Singles?idCategory=1&amp;idProduct=sv8pt5-109", "CM")</f>
        <v>CM</v>
      </c>
      <c r="M89" s="23" t="b">
        <v>0</v>
      </c>
      <c r="N89" s="24" t="b">
        <v>0</v>
      </c>
      <c r="O89" s="25" t="str">
        <f>HYPERLINK("https://www.cardmarket.com/en/Pokemon/Products/Singles?idCategory=1&amp;idProduct=sv8pt5-110", "CM")</f>
        <v>CM</v>
      </c>
    </row>
    <row r="90" ht="7.5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</row>
    <row r="91" ht="18.75" customHeight="1">
      <c r="A91" s="18" t="s">
        <v>647</v>
      </c>
      <c r="B91" s="19" t="s">
        <v>2167</v>
      </c>
      <c r="C91" s="20"/>
      <c r="D91" s="18" t="s">
        <v>649</v>
      </c>
      <c r="E91" s="19" t="s">
        <v>1982</v>
      </c>
      <c r="F91" s="20"/>
      <c r="G91" s="18" t="s">
        <v>651</v>
      </c>
      <c r="H91" s="19" t="s">
        <v>1937</v>
      </c>
      <c r="I91" s="20"/>
      <c r="J91" s="18" t="s">
        <v>823</v>
      </c>
      <c r="K91" s="19" t="s">
        <v>2049</v>
      </c>
      <c r="L91" s="20"/>
      <c r="M91" s="18" t="s">
        <v>653</v>
      </c>
      <c r="N91" s="19" t="s">
        <v>2168</v>
      </c>
      <c r="O91" s="20"/>
    </row>
    <row r="92" ht="180.0" customHeight="1">
      <c r="A92" s="21" t="str">
        <f>IMAGE("https://assets.tcgdex.net/de/sv/sv08.5/111/low.jpg", 1)</f>
        <v/>
      </c>
      <c r="B92" s="22"/>
      <c r="C92" s="20"/>
      <c r="D92" s="21" t="str">
        <f>IMAGE("https://assets.tcgdex.net/de/sv/sv08.5/112/low.jpg", 1)</f>
        <v/>
      </c>
      <c r="E92" s="22"/>
      <c r="F92" s="20"/>
      <c r="G92" s="21" t="str">
        <f>IMAGE("https://assets.tcgdex.net/de/sv/sv08.5/113/low.jpg", 1)</f>
        <v/>
      </c>
      <c r="H92" s="22"/>
      <c r="I92" s="20"/>
      <c r="J92" s="21" t="str">
        <f>IMAGE("https://assets.tcgdex.net/de/sv/sv08.5/114/low.jpg", 1)</f>
        <v/>
      </c>
      <c r="K92" s="22"/>
      <c r="L92" s="20"/>
      <c r="M92" s="21" t="str">
        <f>IMAGE("https://assets.tcgdex.net/de/sv/sv08.5/115/low.jpg", 1)</f>
        <v/>
      </c>
      <c r="N92" s="22"/>
      <c r="O92" s="20"/>
    </row>
    <row r="93" ht="22.5" customHeight="1">
      <c r="A93" s="23" t="b">
        <v>0</v>
      </c>
      <c r="B93" s="24" t="b">
        <v>0</v>
      </c>
      <c r="C93" s="25" t="str">
        <f>HYPERLINK("https://www.cardmarket.com/en/Pokemon/Products/Singles?idCategory=1&amp;idProduct=sv8pt5-111", "CM")</f>
        <v>CM</v>
      </c>
      <c r="D93" s="23" t="b">
        <v>0</v>
      </c>
      <c r="E93" s="24" t="b">
        <v>0</v>
      </c>
      <c r="F93" s="25" t="str">
        <f>HYPERLINK("https://www.cardmarket.com/en/Pokemon/Products/Singles?idCategory=1&amp;idProduct=sv8pt5-112", "CM")</f>
        <v>CM</v>
      </c>
      <c r="G93" s="23" t="b">
        <v>0</v>
      </c>
      <c r="H93" s="24" t="b">
        <v>0</v>
      </c>
      <c r="I93" s="25" t="str">
        <f>HYPERLINK("https://www.cardmarket.com/en/Pokemon/Products/Singles?idCategory=1&amp;idProduct=sv8pt5-113", "CM")</f>
        <v>CM</v>
      </c>
      <c r="J93" s="23" t="b">
        <v>0</v>
      </c>
      <c r="K93" s="24" t="b">
        <v>0</v>
      </c>
      <c r="L93" s="25" t="str">
        <f>HYPERLINK("https://www.cardmarket.com/en/Pokemon/Products/Singles?idCategory=1&amp;idProduct=sv8pt5-114", "CM")</f>
        <v>CM</v>
      </c>
      <c r="M93" s="23" t="b">
        <v>0</v>
      </c>
      <c r="N93" s="24" t="b">
        <v>0</v>
      </c>
      <c r="O93" s="25" t="str">
        <f>HYPERLINK("https://www.cardmarket.com/en/Pokemon/Products/Singles?idCategory=1&amp;idProduct=sv8pt5-115", "CM")</f>
        <v>CM</v>
      </c>
    </row>
    <row r="94" ht="7.5" customHeigh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</row>
    <row r="95" ht="18.75" customHeight="1">
      <c r="A95" s="18" t="s">
        <v>825</v>
      </c>
      <c r="B95" s="19" t="s">
        <v>2169</v>
      </c>
      <c r="C95" s="20"/>
      <c r="D95" s="18" t="s">
        <v>655</v>
      </c>
      <c r="E95" s="19" t="s">
        <v>1861</v>
      </c>
      <c r="F95" s="20"/>
      <c r="G95" s="18" t="s">
        <v>827</v>
      </c>
      <c r="H95" s="19" t="s">
        <v>1942</v>
      </c>
      <c r="I95" s="20"/>
      <c r="J95" s="18" t="s">
        <v>657</v>
      </c>
      <c r="K95" s="19" t="s">
        <v>1864</v>
      </c>
      <c r="L95" s="20"/>
      <c r="M95" s="18" t="s">
        <v>659</v>
      </c>
      <c r="N95" s="19" t="s">
        <v>1701</v>
      </c>
      <c r="O95" s="20"/>
    </row>
    <row r="96" ht="180.0" customHeight="1">
      <c r="A96" s="21" t="str">
        <f>IMAGE("https://assets.tcgdex.net/de/sv/sv08.5/116/low.jpg", 1)</f>
        <v/>
      </c>
      <c r="B96" s="22"/>
      <c r="C96" s="20"/>
      <c r="D96" s="21" t="str">
        <f>IMAGE("https://assets.tcgdex.net/de/sv/sv08.5/117/low.jpg", 1)</f>
        <v/>
      </c>
      <c r="E96" s="22"/>
      <c r="F96" s="20"/>
      <c r="G96" s="21" t="str">
        <f>IMAGE("https://assets.tcgdex.net/de/sv/sv08.5/118/low.jpg", 1)</f>
        <v/>
      </c>
      <c r="H96" s="22"/>
      <c r="I96" s="20"/>
      <c r="J96" s="21" t="str">
        <f>IMAGE("https://assets.tcgdex.net/de/sv/sv08.5/119/low.jpg", 1)</f>
        <v/>
      </c>
      <c r="K96" s="22"/>
      <c r="L96" s="20"/>
      <c r="M96" s="21" t="str">
        <f>IMAGE("https://assets.tcgdex.net/de/sv/sv08.5/120/low.jpg", 1)</f>
        <v/>
      </c>
      <c r="N96" s="22"/>
      <c r="O96" s="20"/>
    </row>
    <row r="97" ht="22.5" customHeight="1">
      <c r="A97" s="23" t="b">
        <v>0</v>
      </c>
      <c r="B97" s="24" t="b">
        <v>0</v>
      </c>
      <c r="C97" s="25" t="str">
        <f>HYPERLINK("https://www.cardmarket.com/en/Pokemon/Products/Singles?idCategory=1&amp;idProduct=sv8pt5-116", "CM")</f>
        <v>CM</v>
      </c>
      <c r="D97" s="23" t="b">
        <v>0</v>
      </c>
      <c r="E97" s="24" t="b">
        <v>0</v>
      </c>
      <c r="F97" s="25" t="str">
        <f>HYPERLINK("https://www.cardmarket.com/en/Pokemon/Products/Singles?idCategory=1&amp;idProduct=sv8pt5-117", "CM")</f>
        <v>CM</v>
      </c>
      <c r="G97" s="23" t="b">
        <v>0</v>
      </c>
      <c r="H97" s="24" t="b">
        <v>0</v>
      </c>
      <c r="I97" s="25" t="str">
        <f>HYPERLINK("https://www.cardmarket.com/en/Pokemon/Products/Singles?idCategory=1&amp;idProduct=sv8pt5-118", "CM")</f>
        <v>CM</v>
      </c>
      <c r="J97" s="23" t="b">
        <v>0</v>
      </c>
      <c r="K97" s="24" t="b">
        <v>0</v>
      </c>
      <c r="L97" s="25" t="str">
        <f>HYPERLINK("https://www.cardmarket.com/en/Pokemon/Products/Singles?idCategory=1&amp;idProduct=sv8pt5-119", "CM")</f>
        <v>CM</v>
      </c>
      <c r="M97" s="23" t="b">
        <v>0</v>
      </c>
      <c r="N97" s="24" t="b">
        <v>0</v>
      </c>
      <c r="O97" s="25" t="str">
        <f>HYPERLINK("https://www.cardmarket.com/en/Pokemon/Products/Singles?idCategory=1&amp;idProduct=sv8pt5-120", "CM")</f>
        <v>CM</v>
      </c>
    </row>
    <row r="98" ht="7.5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</row>
    <row r="99" ht="18.75" customHeight="1">
      <c r="A99" s="18" t="s">
        <v>829</v>
      </c>
      <c r="B99" s="19" t="s">
        <v>1702</v>
      </c>
      <c r="C99" s="20"/>
      <c r="D99" s="18" t="s">
        <v>830</v>
      </c>
      <c r="E99" s="19" t="s">
        <v>1040</v>
      </c>
      <c r="F99" s="20"/>
      <c r="G99" s="18" t="s">
        <v>831</v>
      </c>
      <c r="H99" s="19" t="s">
        <v>1040</v>
      </c>
      <c r="I99" s="20"/>
      <c r="J99" s="18" t="s">
        <v>833</v>
      </c>
      <c r="K99" s="19" t="s">
        <v>1040</v>
      </c>
      <c r="L99" s="20"/>
      <c r="M99" s="18" t="s">
        <v>661</v>
      </c>
      <c r="N99" s="19" t="s">
        <v>1040</v>
      </c>
      <c r="O99" s="20"/>
    </row>
    <row r="100" ht="180.0" customHeight="1">
      <c r="A100" s="21" t="str">
        <f>IMAGE("https://assets.tcgdex.net/de/sv/sv08.5/121/low.jpg", 1)</f>
        <v/>
      </c>
      <c r="B100" s="22"/>
      <c r="C100" s="20"/>
      <c r="D100" s="21" t="str">
        <f>IMAGE("https://assets.tcgdex.net/de/sv/sv08.5/122/low.jpg", 1)</f>
        <v/>
      </c>
      <c r="E100" s="22"/>
      <c r="F100" s="20"/>
      <c r="G100" s="21" t="str">
        <f>IMAGE("https://assets.tcgdex.net/de/sv/sv08.5/123/low.jpg", 1)</f>
        <v/>
      </c>
      <c r="H100" s="22"/>
      <c r="I100" s="20"/>
      <c r="J100" s="21" t="str">
        <f>IMAGE("https://assets.tcgdex.net/de/sv/sv08.5/124/low.jpg", 1)</f>
        <v/>
      </c>
      <c r="K100" s="22"/>
      <c r="L100" s="20"/>
      <c r="M100" s="21" t="str">
        <f>IMAGE("https://assets.tcgdex.net/de/sv/sv08.5/125/low.jpg", 1)</f>
        <v/>
      </c>
      <c r="N100" s="22"/>
      <c r="O100" s="20"/>
    </row>
    <row r="101" ht="22.5" customHeight="1">
      <c r="A101" s="23" t="b">
        <v>0</v>
      </c>
      <c r="B101" s="24" t="b">
        <v>0</v>
      </c>
      <c r="C101" s="25" t="str">
        <f>HYPERLINK("https://www.cardmarket.com/en/Pokemon/Products/Singles?idCategory=1&amp;idProduct=sv8pt5-121", "CM")</f>
        <v>CM</v>
      </c>
      <c r="D101" s="23" t="b">
        <v>0</v>
      </c>
      <c r="E101" s="24" t="b">
        <v>0</v>
      </c>
      <c r="F101" s="25" t="str">
        <f>HYPERLINK("https://www.cardmarket.com/en/Pokemon/Products/Singles?idCategory=1&amp;idProduct=sv8pt5-122", "CM")</f>
        <v>CM</v>
      </c>
      <c r="G101" s="23" t="b">
        <v>0</v>
      </c>
      <c r="H101" s="24" t="b">
        <v>0</v>
      </c>
      <c r="I101" s="25" t="str">
        <f>HYPERLINK("https://www.cardmarket.com/en/Pokemon/Products/Singles?idCategory=1&amp;idProduct=sv8pt5-123", "CM")</f>
        <v>CM</v>
      </c>
      <c r="J101" s="23" t="b">
        <v>0</v>
      </c>
      <c r="K101" s="24" t="b">
        <v>0</v>
      </c>
      <c r="L101" s="25" t="str">
        <f>HYPERLINK("https://www.cardmarket.com/en/Pokemon/Products/Singles?idCategory=1&amp;idProduct=sv8pt5-124", "CM")</f>
        <v>CM</v>
      </c>
      <c r="M101" s="23" t="b">
        <v>0</v>
      </c>
      <c r="N101" s="24" t="b">
        <v>0</v>
      </c>
      <c r="O101" s="25" t="str">
        <f>HYPERLINK("https://www.cardmarket.com/en/Pokemon/Products/Singles?idCategory=1&amp;idProduct=sv8pt5-125", "CM")</f>
        <v>CM</v>
      </c>
    </row>
    <row r="102" ht="7.5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</row>
    <row r="103" ht="18.75" customHeight="1">
      <c r="A103" s="18" t="s">
        <v>835</v>
      </c>
      <c r="B103" s="19" t="s">
        <v>1866</v>
      </c>
      <c r="C103" s="20"/>
      <c r="D103" s="18" t="s">
        <v>662</v>
      </c>
      <c r="E103" s="19" t="s">
        <v>2170</v>
      </c>
      <c r="F103" s="20"/>
      <c r="G103" s="18" t="s">
        <v>837</v>
      </c>
      <c r="H103" s="19" t="s">
        <v>1945</v>
      </c>
      <c r="I103" s="20"/>
      <c r="J103" s="18" t="s">
        <v>839</v>
      </c>
      <c r="K103" s="19" t="s">
        <v>2052</v>
      </c>
      <c r="L103" s="20"/>
      <c r="M103" s="18" t="s">
        <v>841</v>
      </c>
      <c r="N103" s="19" t="s">
        <v>1711</v>
      </c>
      <c r="O103" s="20"/>
    </row>
    <row r="104" ht="180.0" customHeight="1">
      <c r="A104" s="21" t="str">
        <f>IMAGE("https://assets.tcgdex.net/de/sv/sv08.5/126/low.jpg", 1)</f>
        <v/>
      </c>
      <c r="B104" s="22"/>
      <c r="C104" s="20"/>
      <c r="D104" s="21" t="str">
        <f>IMAGE("https://assets.tcgdex.net/de/sv/sv08.5/127/low.jpg", 1)</f>
        <v/>
      </c>
      <c r="E104" s="22"/>
      <c r="F104" s="20"/>
      <c r="G104" s="21" t="str">
        <f>IMAGE("https://assets.tcgdex.net/de/sv/sv08.5/128/low.jpg", 1)</f>
        <v/>
      </c>
      <c r="H104" s="22"/>
      <c r="I104" s="20"/>
      <c r="J104" s="21" t="str">
        <f>IMAGE("https://assets.tcgdex.net/de/sv/sv08.5/129/low.jpg", 1)</f>
        <v/>
      </c>
      <c r="K104" s="22"/>
      <c r="L104" s="20"/>
      <c r="M104" s="21" t="str">
        <f>IMAGE("https://assets.tcgdex.net/de/sv/sv08.5/130/low.jpg", 1)</f>
        <v/>
      </c>
      <c r="N104" s="22"/>
      <c r="O104" s="20"/>
    </row>
    <row r="105" ht="22.5" customHeight="1">
      <c r="A105" s="23" t="b">
        <v>0</v>
      </c>
      <c r="B105" s="24" t="b">
        <v>0</v>
      </c>
      <c r="C105" s="25" t="str">
        <f>HYPERLINK("https://www.cardmarket.com/en/Pokemon/Products/Singles?idCategory=1&amp;idProduct=sv8pt5-126", "CM")</f>
        <v>CM</v>
      </c>
      <c r="D105" s="23" t="b">
        <v>0</v>
      </c>
      <c r="E105" s="24" t="b">
        <v>0</v>
      </c>
      <c r="F105" s="25" t="str">
        <f>HYPERLINK("https://www.cardmarket.com/en/Pokemon/Products/Singles?idCategory=1&amp;idProduct=sv8pt5-127", "CM")</f>
        <v>CM</v>
      </c>
      <c r="G105" s="23" t="b">
        <v>0</v>
      </c>
      <c r="H105" s="24" t="b">
        <v>0</v>
      </c>
      <c r="I105" s="25" t="str">
        <f>HYPERLINK("https://www.cardmarket.com/en/Pokemon/Products/Singles?idCategory=1&amp;idProduct=sv8pt5-128", "CM")</f>
        <v>CM</v>
      </c>
      <c r="J105" s="23" t="b">
        <v>0</v>
      </c>
      <c r="K105" s="24" t="b">
        <v>0</v>
      </c>
      <c r="L105" s="25" t="str">
        <f>HYPERLINK("https://www.cardmarket.com/en/Pokemon/Products/Singles?idCategory=1&amp;idProduct=sv8pt5-129", "CM")</f>
        <v>CM</v>
      </c>
      <c r="M105" s="23" t="b">
        <v>0</v>
      </c>
      <c r="N105" s="24" t="b">
        <v>0</v>
      </c>
      <c r="O105" s="25" t="str">
        <f>HYPERLINK("https://www.cardmarket.com/en/Pokemon/Products/Singles?idCategory=1&amp;idProduct=sv8pt5-130", "CM")</f>
        <v>CM</v>
      </c>
    </row>
    <row r="106" ht="7.5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</row>
    <row r="107" ht="18.75" customHeight="1">
      <c r="A107" s="18" t="s">
        <v>842</v>
      </c>
      <c r="B107" s="19" t="s">
        <v>2171</v>
      </c>
      <c r="C107" s="20"/>
      <c r="D107" s="18" t="s">
        <v>844</v>
      </c>
      <c r="E107" s="19" t="s">
        <v>2164</v>
      </c>
      <c r="F107" s="20"/>
      <c r="G107" s="18" t="s">
        <v>664</v>
      </c>
      <c r="H107" s="19" t="s">
        <v>1748</v>
      </c>
      <c r="I107" s="20"/>
      <c r="J107" s="18" t="s">
        <v>666</v>
      </c>
      <c r="K107" s="19" t="s">
        <v>1748</v>
      </c>
      <c r="L107" s="20"/>
      <c r="M107" s="18" t="s">
        <v>845</v>
      </c>
      <c r="N107" s="19" t="s">
        <v>1462</v>
      </c>
      <c r="O107" s="20"/>
    </row>
    <row r="108" ht="180.0" customHeight="1">
      <c r="A108" s="21" t="str">
        <f>IMAGE("https://assets.tcgdex.net/de/sv/sv08.5/131/low.jpg", 1)</f>
        <v/>
      </c>
      <c r="B108" s="22"/>
      <c r="C108" s="20"/>
      <c r="D108" s="21" t="str">
        <f>IMAGE("https://assets.tcgdex.net/de/sv/sv08.5/132/low.jpg", 1)</f>
        <v/>
      </c>
      <c r="E108" s="22"/>
      <c r="F108" s="20"/>
      <c r="G108" s="21" t="str">
        <f>IMAGE("https://assets.tcgdex.net/de/sv/sv08.5/133/low.jpg", 1)</f>
        <v/>
      </c>
      <c r="H108" s="22"/>
      <c r="I108" s="20"/>
      <c r="J108" s="21" t="str">
        <f>IMAGE("https://assets.tcgdex.net/de/sv/sv08.5/134/low.jpg", 1)</f>
        <v/>
      </c>
      <c r="K108" s="22"/>
      <c r="L108" s="20"/>
      <c r="M108" s="21" t="str">
        <f>IMAGE("https://assets.tcgdex.net/de/sv/sv08.5/135/low.jpg", 1)</f>
        <v/>
      </c>
      <c r="N108" s="22"/>
      <c r="O108" s="20"/>
    </row>
    <row r="109" ht="22.5" customHeight="1">
      <c r="A109" s="23" t="b">
        <v>0</v>
      </c>
      <c r="B109" s="24" t="b">
        <v>0</v>
      </c>
      <c r="C109" s="25" t="str">
        <f>HYPERLINK("https://www.cardmarket.com/en/Pokemon/Products/Singles?idCategory=1&amp;idProduct=sv8pt5-131", "CM")</f>
        <v>CM</v>
      </c>
      <c r="D109" s="23" t="b">
        <v>0</v>
      </c>
      <c r="E109" s="24" t="b">
        <v>0</v>
      </c>
      <c r="F109" s="25" t="str">
        <f>HYPERLINK("https://www.cardmarket.com/en/Pokemon/Products/Singles?idCategory=1&amp;idProduct=sv8pt5-132", "CM")</f>
        <v>CM</v>
      </c>
      <c r="G109" s="23" t="b">
        <v>0</v>
      </c>
      <c r="H109" s="24" t="b">
        <v>0</v>
      </c>
      <c r="I109" s="25" t="str">
        <f>HYPERLINK("https://www.cardmarket.com/en/Pokemon/Products/Singles?idCategory=1&amp;idProduct=sv8pt5-133", "CM")</f>
        <v>CM</v>
      </c>
      <c r="J109" s="23" t="b">
        <v>0</v>
      </c>
      <c r="K109" s="24" t="b">
        <v>0</v>
      </c>
      <c r="L109" s="25" t="str">
        <f>HYPERLINK("https://www.cardmarket.com/en/Pokemon/Products/Singles?idCategory=1&amp;idProduct=sv8pt5-134", "CM")</f>
        <v>CM</v>
      </c>
      <c r="M109" s="23" t="b">
        <v>0</v>
      </c>
      <c r="N109" s="24" t="b">
        <v>0</v>
      </c>
      <c r="O109" s="25" t="str">
        <f>HYPERLINK("https://www.cardmarket.com/en/Pokemon/Products/Singles?idCategory=1&amp;idProduct=sv8pt5-135", "CM")</f>
        <v>CM</v>
      </c>
    </row>
    <row r="110" ht="7.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</row>
    <row r="111" ht="18.75" customHeight="1">
      <c r="A111" s="18" t="s">
        <v>668</v>
      </c>
      <c r="B111" s="19" t="s">
        <v>1854</v>
      </c>
      <c r="C111" s="20"/>
      <c r="D111" s="18" t="s">
        <v>670</v>
      </c>
      <c r="E111" s="19" t="s">
        <v>2166</v>
      </c>
      <c r="F111" s="20"/>
      <c r="G111" s="18" t="s">
        <v>672</v>
      </c>
      <c r="H111" s="19" t="s">
        <v>2172</v>
      </c>
      <c r="I111" s="20"/>
      <c r="J111" s="18" t="s">
        <v>674</v>
      </c>
      <c r="K111" s="19" t="s">
        <v>2168</v>
      </c>
      <c r="L111" s="20"/>
      <c r="M111" s="18" t="s">
        <v>847</v>
      </c>
      <c r="N111" s="19" t="s">
        <v>1698</v>
      </c>
      <c r="O111" s="20"/>
    </row>
    <row r="112" ht="180.0" customHeight="1">
      <c r="A112" s="21" t="str">
        <f>IMAGE("https://assets.tcgdex.net/de/sv/sv08.5/136/low.jpg", 1)</f>
        <v/>
      </c>
      <c r="B112" s="22"/>
      <c r="C112" s="20"/>
      <c r="D112" s="21" t="str">
        <f>IMAGE("https://assets.tcgdex.net/de/sv/sv08.5/137/low.jpg", 1)</f>
        <v/>
      </c>
      <c r="E112" s="22"/>
      <c r="F112" s="20"/>
      <c r="G112" s="21" t="str">
        <f>IMAGE("https://assets.tcgdex.net/de/sv/sv08.5/138/low.jpg", 1)</f>
        <v/>
      </c>
      <c r="H112" s="22"/>
      <c r="I112" s="20"/>
      <c r="J112" s="21" t="str">
        <f>IMAGE("https://assets.tcgdex.net/de/sv/sv08.5/139/low.jpg", 1)</f>
        <v/>
      </c>
      <c r="K112" s="22"/>
      <c r="L112" s="20"/>
      <c r="M112" s="21" t="str">
        <f>IMAGE("https://assets.tcgdex.net/de/sv/sv08.5/140/low.jpg", 1)</f>
        <v/>
      </c>
      <c r="N112" s="22"/>
      <c r="O112" s="20"/>
    </row>
    <row r="113" ht="22.5" customHeight="1">
      <c r="A113" s="23" t="b">
        <v>0</v>
      </c>
      <c r="B113" s="24" t="b">
        <v>0</v>
      </c>
      <c r="C113" s="25" t="str">
        <f>HYPERLINK("https://www.cardmarket.com/en/Pokemon/Products/Singles?idCategory=1&amp;idProduct=sv8pt5-136", "CM")</f>
        <v>CM</v>
      </c>
      <c r="D113" s="23" t="b">
        <v>0</v>
      </c>
      <c r="E113" s="24" t="b">
        <v>0</v>
      </c>
      <c r="F113" s="25" t="str">
        <f>HYPERLINK("https://www.cardmarket.com/en/Pokemon/Products/Singles?idCategory=1&amp;idProduct=sv8pt5-137", "CM")</f>
        <v>CM</v>
      </c>
      <c r="G113" s="23" t="b">
        <v>0</v>
      </c>
      <c r="H113" s="24" t="b">
        <v>0</v>
      </c>
      <c r="I113" s="25" t="str">
        <f>HYPERLINK("https://www.cardmarket.com/en/Pokemon/Products/Singles?idCategory=1&amp;idProduct=sv8pt5-138", "CM")</f>
        <v>CM</v>
      </c>
      <c r="J113" s="23" t="b">
        <v>0</v>
      </c>
      <c r="K113" s="24" t="b">
        <v>0</v>
      </c>
      <c r="L113" s="25" t="str">
        <f>HYPERLINK("https://www.cardmarket.com/en/Pokemon/Products/Singles?idCategory=1&amp;idProduct=sv8pt5-139", "CM")</f>
        <v>CM</v>
      </c>
      <c r="M113" s="23" t="b">
        <v>0</v>
      </c>
      <c r="N113" s="24" t="b">
        <v>0</v>
      </c>
      <c r="O113" s="25" t="str">
        <f>HYPERLINK("https://www.cardmarket.com/en/Pokemon/Products/Singles?idCategory=1&amp;idProduct=sv8pt5-140", "CM")</f>
        <v>CM</v>
      </c>
    </row>
    <row r="114" ht="7.5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</row>
    <row r="115" ht="18.75" customHeight="1">
      <c r="A115" s="18" t="s">
        <v>848</v>
      </c>
      <c r="B115" s="19" t="s">
        <v>1465</v>
      </c>
      <c r="C115" s="20"/>
      <c r="D115" s="18" t="s">
        <v>676</v>
      </c>
      <c r="E115" s="19" t="s">
        <v>1944</v>
      </c>
      <c r="F115" s="20"/>
      <c r="G115" s="18" t="s">
        <v>678</v>
      </c>
      <c r="H115" s="19" t="s">
        <v>2139</v>
      </c>
      <c r="I115" s="20"/>
      <c r="J115" s="18" t="s">
        <v>679</v>
      </c>
      <c r="K115" s="19" t="s">
        <v>2145</v>
      </c>
      <c r="L115" s="20"/>
      <c r="M115" s="18" t="s">
        <v>850</v>
      </c>
      <c r="N115" s="19" t="s">
        <v>870</v>
      </c>
      <c r="O115" s="20"/>
    </row>
    <row r="116" ht="180.0" customHeight="1">
      <c r="A116" s="21" t="str">
        <f>IMAGE("https://assets.tcgdex.net/de/sv/sv08.5/141/low.jpg", 1)</f>
        <v/>
      </c>
      <c r="B116" s="22"/>
      <c r="C116" s="20"/>
      <c r="D116" s="21" t="str">
        <f>IMAGE("https://assets.tcgdex.net/de/sv/sv08.5/142/low.jpg", 1)</f>
        <v/>
      </c>
      <c r="E116" s="22"/>
      <c r="F116" s="20"/>
      <c r="G116" s="21" t="str">
        <f>IMAGE("https://assets.tcgdex.net/de/sv/sv08.5/143/low.jpg", 1)</f>
        <v/>
      </c>
      <c r="H116" s="22"/>
      <c r="I116" s="20"/>
      <c r="J116" s="21" t="str">
        <f>IMAGE("https://assets.tcgdex.net/de/sv/sv08.5/144/low.jpg", 1)</f>
        <v/>
      </c>
      <c r="K116" s="22"/>
      <c r="L116" s="20"/>
      <c r="M116" s="21" t="str">
        <f>IMAGE("https://assets.tcgdex.net/de/sv/sv08.5/145/low.jpg", 1)</f>
        <v/>
      </c>
      <c r="N116" s="22"/>
      <c r="O116" s="20"/>
    </row>
    <row r="117" ht="22.5" customHeight="1">
      <c r="A117" s="23" t="b">
        <v>0</v>
      </c>
      <c r="B117" s="24" t="b">
        <v>0</v>
      </c>
      <c r="C117" s="25" t="str">
        <f>HYPERLINK("https://www.cardmarket.com/en/Pokemon/Products/Singles?idCategory=1&amp;idProduct=sv8pt5-141", "CM")</f>
        <v>CM</v>
      </c>
      <c r="D117" s="23" t="b">
        <v>0</v>
      </c>
      <c r="E117" s="24" t="b">
        <v>0</v>
      </c>
      <c r="F117" s="25" t="str">
        <f>HYPERLINK("https://www.cardmarket.com/en/Pokemon/Products/Singles?idCategory=1&amp;idProduct=sv8pt5-142", "CM")</f>
        <v>CM</v>
      </c>
      <c r="G117" s="23" t="b">
        <v>0</v>
      </c>
      <c r="H117" s="24" t="b">
        <v>0</v>
      </c>
      <c r="I117" s="25" t="str">
        <f>HYPERLINK("https://www.cardmarket.com/en/Pokemon/Products/Singles?idCategory=1&amp;idProduct=sv8pt5-143", "CM")</f>
        <v>CM</v>
      </c>
      <c r="J117" s="23" t="b">
        <v>0</v>
      </c>
      <c r="K117" s="24" t="b">
        <v>0</v>
      </c>
      <c r="L117" s="25" t="str">
        <f>HYPERLINK("https://www.cardmarket.com/en/Pokemon/Products/Singles?idCategory=1&amp;idProduct=sv8pt5-144", "CM")</f>
        <v>CM</v>
      </c>
      <c r="M117" s="23" t="b">
        <v>0</v>
      </c>
      <c r="N117" s="24" t="b">
        <v>0</v>
      </c>
      <c r="O117" s="25" t="str">
        <f>HYPERLINK("https://www.cardmarket.com/en/Pokemon/Products/Singles?idCategory=1&amp;idProduct=sv8pt5-145", "CM")</f>
        <v>CM</v>
      </c>
    </row>
    <row r="118" ht="7.5" customHeigh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</row>
    <row r="119" ht="18.75" customHeight="1">
      <c r="A119" s="18" t="s">
        <v>681</v>
      </c>
      <c r="B119" s="19" t="s">
        <v>2146</v>
      </c>
      <c r="C119" s="20"/>
      <c r="D119" s="18" t="s">
        <v>683</v>
      </c>
      <c r="E119" s="19" t="s">
        <v>2061</v>
      </c>
      <c r="F119" s="20"/>
      <c r="G119" s="18" t="s">
        <v>685</v>
      </c>
      <c r="H119" s="19" t="s">
        <v>1888</v>
      </c>
      <c r="I119" s="20"/>
      <c r="J119" s="18" t="s">
        <v>852</v>
      </c>
      <c r="K119" s="19" t="s">
        <v>2149</v>
      </c>
      <c r="L119" s="20"/>
      <c r="M119" s="18" t="s">
        <v>686</v>
      </c>
      <c r="N119" s="19" t="s">
        <v>2151</v>
      </c>
      <c r="O119" s="20"/>
    </row>
    <row r="120" ht="180.0" customHeight="1">
      <c r="A120" s="21" t="str">
        <f>IMAGE("https://assets.tcgdex.net/de/sv/sv08.5/146/low.jpg", 1)</f>
        <v/>
      </c>
      <c r="B120" s="22"/>
      <c r="C120" s="20"/>
      <c r="D120" s="21" t="str">
        <f>IMAGE("https://assets.tcgdex.net/de/sv/sv08.5/147/low.jpg", 1)</f>
        <v/>
      </c>
      <c r="E120" s="22"/>
      <c r="F120" s="20"/>
      <c r="G120" s="21" t="str">
        <f>IMAGE("https://assets.tcgdex.net/de/sv/sv08.5/148/low.jpg", 1)</f>
        <v/>
      </c>
      <c r="H120" s="22"/>
      <c r="I120" s="20"/>
      <c r="J120" s="21" t="str">
        <f>IMAGE("https://assets.tcgdex.net/de/sv/sv08.5/149/low.jpg", 1)</f>
        <v/>
      </c>
      <c r="K120" s="22"/>
      <c r="L120" s="20"/>
      <c r="M120" s="21" t="str">
        <f>IMAGE("https://assets.tcgdex.net/de/sv/sv08.5/150/low.jpg", 1)</f>
        <v/>
      </c>
      <c r="N120" s="22"/>
      <c r="O120" s="20"/>
    </row>
    <row r="121" ht="22.5" customHeight="1">
      <c r="A121" s="23" t="b">
        <v>0</v>
      </c>
      <c r="B121" s="24" t="b">
        <v>0</v>
      </c>
      <c r="C121" s="25" t="str">
        <f>HYPERLINK("https://www.cardmarket.com/en/Pokemon/Products/Singles?idCategory=1&amp;idProduct=sv8pt5-146", "CM")</f>
        <v>CM</v>
      </c>
      <c r="D121" s="23" t="b">
        <v>0</v>
      </c>
      <c r="E121" s="24" t="b">
        <v>0</v>
      </c>
      <c r="F121" s="25" t="str">
        <f>HYPERLINK("https://www.cardmarket.com/en/Pokemon/Products/Singles?idCategory=1&amp;idProduct=sv8pt5-147", "CM")</f>
        <v>CM</v>
      </c>
      <c r="G121" s="23" t="b">
        <v>0</v>
      </c>
      <c r="H121" s="24" t="b">
        <v>0</v>
      </c>
      <c r="I121" s="25" t="str">
        <f>HYPERLINK("https://www.cardmarket.com/en/Pokemon/Products/Singles?idCategory=1&amp;idProduct=sv8pt5-148", "CM")</f>
        <v>CM</v>
      </c>
      <c r="J121" s="23" t="b">
        <v>0</v>
      </c>
      <c r="K121" s="24" t="b">
        <v>0</v>
      </c>
      <c r="L121" s="25" t="str">
        <f>HYPERLINK("https://www.cardmarket.com/en/Pokemon/Products/Singles?idCategory=1&amp;idProduct=sv8pt5-149", "CM")</f>
        <v>CM</v>
      </c>
      <c r="M121" s="23" t="b">
        <v>0</v>
      </c>
      <c r="N121" s="24" t="b">
        <v>0</v>
      </c>
      <c r="O121" s="25" t="str">
        <f>HYPERLINK("https://www.cardmarket.com/en/Pokemon/Products/Singles?idCategory=1&amp;idProduct=sv8pt5-150", "CM")</f>
        <v>CM</v>
      </c>
    </row>
    <row r="122" ht="7.5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</row>
    <row r="123" ht="18.75" customHeight="1">
      <c r="A123" s="18" t="s">
        <v>853</v>
      </c>
      <c r="B123" s="19" t="s">
        <v>836</v>
      </c>
      <c r="C123" s="20"/>
      <c r="D123" s="18" t="s">
        <v>855</v>
      </c>
      <c r="E123" s="19" t="s">
        <v>1895</v>
      </c>
      <c r="F123" s="20"/>
      <c r="G123" s="18" t="s">
        <v>687</v>
      </c>
      <c r="H123" s="19" t="s">
        <v>2152</v>
      </c>
      <c r="I123" s="20"/>
      <c r="J123" s="18" t="s">
        <v>689</v>
      </c>
      <c r="K123" s="19" t="s">
        <v>1635</v>
      </c>
      <c r="L123" s="20"/>
      <c r="M123" s="18" t="s">
        <v>691</v>
      </c>
      <c r="N123" s="19" t="s">
        <v>2153</v>
      </c>
      <c r="O123" s="20"/>
    </row>
    <row r="124" ht="180.0" customHeight="1">
      <c r="A124" s="21" t="str">
        <f>IMAGE("https://assets.tcgdex.net/de/sv/sv08.5/151/low.jpg", 1)</f>
        <v/>
      </c>
      <c r="B124" s="22"/>
      <c r="C124" s="20"/>
      <c r="D124" s="21" t="str">
        <f>IMAGE("https://assets.tcgdex.net/de/sv/sv08.5/152/low.jpg", 1)</f>
        <v/>
      </c>
      <c r="E124" s="22"/>
      <c r="F124" s="20"/>
      <c r="G124" s="21" t="str">
        <f>IMAGE("https://assets.tcgdex.net/de/sv/sv08.5/153/low.jpg", 1)</f>
        <v/>
      </c>
      <c r="H124" s="22"/>
      <c r="I124" s="20"/>
      <c r="J124" s="21" t="str">
        <f>IMAGE("https://assets.tcgdex.net/de/sv/sv08.5/154/low.jpg", 1)</f>
        <v/>
      </c>
      <c r="K124" s="22"/>
      <c r="L124" s="20"/>
      <c r="M124" s="21" t="str">
        <f>IMAGE("https://assets.tcgdex.net/de/sv/sv08.5/155/low.jpg", 1)</f>
        <v/>
      </c>
      <c r="N124" s="22"/>
      <c r="O124" s="20"/>
    </row>
    <row r="125" ht="22.5" customHeight="1">
      <c r="A125" s="23" t="b">
        <v>0</v>
      </c>
      <c r="B125" s="24" t="b">
        <v>0</v>
      </c>
      <c r="C125" s="25" t="str">
        <f>HYPERLINK("https://www.cardmarket.com/en/Pokemon/Products/Singles?idCategory=1&amp;idProduct=sv8pt5-151", "CM")</f>
        <v>CM</v>
      </c>
      <c r="D125" s="23" t="b">
        <v>0</v>
      </c>
      <c r="E125" s="24" t="b">
        <v>0</v>
      </c>
      <c r="F125" s="25" t="str">
        <f>HYPERLINK("https://www.cardmarket.com/en/Pokemon/Products/Singles?idCategory=1&amp;idProduct=sv8pt5-152", "CM")</f>
        <v>CM</v>
      </c>
      <c r="G125" s="23" t="b">
        <v>0</v>
      </c>
      <c r="H125" s="24" t="b">
        <v>0</v>
      </c>
      <c r="I125" s="25" t="str">
        <f>HYPERLINK("https://www.cardmarket.com/en/Pokemon/Products/Singles?idCategory=1&amp;idProduct=sv8pt5-153", "CM")</f>
        <v>CM</v>
      </c>
      <c r="J125" s="23" t="b">
        <v>0</v>
      </c>
      <c r="K125" s="24" t="b">
        <v>0</v>
      </c>
      <c r="L125" s="25" t="str">
        <f>HYPERLINK("https://www.cardmarket.com/en/Pokemon/Products/Singles?idCategory=1&amp;idProduct=sv8pt5-154", "CM")</f>
        <v>CM</v>
      </c>
      <c r="M125" s="23" t="b">
        <v>0</v>
      </c>
      <c r="N125" s="24" t="b">
        <v>0</v>
      </c>
      <c r="O125" s="25" t="str">
        <f>HYPERLINK("https://www.cardmarket.com/en/Pokemon/Products/Singles?idCategory=1&amp;idProduct=sv8pt5-155", "CM")</f>
        <v>CM</v>
      </c>
    </row>
    <row r="126" ht="7.5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</row>
    <row r="127" ht="18.75" customHeight="1">
      <c r="A127" s="18" t="s">
        <v>857</v>
      </c>
      <c r="B127" s="19" t="s">
        <v>2080</v>
      </c>
      <c r="C127" s="20"/>
      <c r="D127" s="18" t="s">
        <v>859</v>
      </c>
      <c r="E127" s="19" t="s">
        <v>794</v>
      </c>
      <c r="F127" s="20"/>
      <c r="G127" s="18" t="s">
        <v>693</v>
      </c>
      <c r="H127" s="19" t="s">
        <v>682</v>
      </c>
      <c r="I127" s="20"/>
      <c r="J127" s="18" t="s">
        <v>861</v>
      </c>
      <c r="K127" s="19" t="s">
        <v>1658</v>
      </c>
      <c r="L127" s="20"/>
      <c r="M127" s="18" t="s">
        <v>695</v>
      </c>
      <c r="N127" s="19" t="s">
        <v>1914</v>
      </c>
      <c r="O127" s="20"/>
    </row>
    <row r="128" ht="180.0" customHeight="1">
      <c r="A128" s="21" t="str">
        <f>IMAGE("https://assets.tcgdex.net/de/sv/sv08.5/156/low.jpg", 1)</f>
        <v/>
      </c>
      <c r="B128" s="22"/>
      <c r="C128" s="20"/>
      <c r="D128" s="21" t="str">
        <f>IMAGE("https://assets.tcgdex.net/de/sv/sv08.5/157/low.jpg", 1)</f>
        <v/>
      </c>
      <c r="E128" s="22"/>
      <c r="F128" s="20"/>
      <c r="G128" s="21" t="str">
        <f>IMAGE("https://assets.tcgdex.net/de/sv/sv08.5/158/low.jpg", 1)</f>
        <v/>
      </c>
      <c r="H128" s="22"/>
      <c r="I128" s="20"/>
      <c r="J128" s="21" t="str">
        <f>IMAGE("https://assets.tcgdex.net/de/sv/sv08.5/159/low.jpg", 1)</f>
        <v/>
      </c>
      <c r="K128" s="22"/>
      <c r="L128" s="20"/>
      <c r="M128" s="21" t="str">
        <f>IMAGE("https://assets.tcgdex.net/de/sv/sv08.5/160/low.jpg", 1)</f>
        <v/>
      </c>
      <c r="N128" s="22"/>
      <c r="O128" s="20"/>
    </row>
    <row r="129" ht="22.5" customHeight="1">
      <c r="A129" s="23" t="b">
        <v>0</v>
      </c>
      <c r="B129" s="24" t="b">
        <v>0</v>
      </c>
      <c r="C129" s="25" t="str">
        <f>HYPERLINK("https://www.cardmarket.com/en/Pokemon/Products/Singles?idCategory=1&amp;idProduct=sv8pt5-156", "CM")</f>
        <v>CM</v>
      </c>
      <c r="D129" s="23" t="b">
        <v>0</v>
      </c>
      <c r="E129" s="24" t="b">
        <v>0</v>
      </c>
      <c r="F129" s="25" t="str">
        <f>HYPERLINK("https://www.cardmarket.com/en/Pokemon/Products/Singles?idCategory=1&amp;idProduct=sv8pt5-157", "CM")</f>
        <v>CM</v>
      </c>
      <c r="G129" s="23" t="b">
        <v>0</v>
      </c>
      <c r="H129" s="24" t="b">
        <v>0</v>
      </c>
      <c r="I129" s="25" t="str">
        <f>HYPERLINK("https://www.cardmarket.com/en/Pokemon/Products/Singles?idCategory=1&amp;idProduct=sv8pt5-158", "CM")</f>
        <v>CM</v>
      </c>
      <c r="J129" s="23" t="b">
        <v>0</v>
      </c>
      <c r="K129" s="24" t="b">
        <v>0</v>
      </c>
      <c r="L129" s="25" t="str">
        <f>HYPERLINK("https://www.cardmarket.com/en/Pokemon/Products/Singles?idCategory=1&amp;idProduct=sv8pt5-159", "CM")</f>
        <v>CM</v>
      </c>
      <c r="M129" s="23" t="b">
        <v>0</v>
      </c>
      <c r="N129" s="24" t="b">
        <v>0</v>
      </c>
      <c r="O129" s="25" t="str">
        <f>HYPERLINK("https://www.cardmarket.com/en/Pokemon/Products/Singles?idCategory=1&amp;idProduct=sv8pt5-160", "CM")</f>
        <v>CM</v>
      </c>
    </row>
    <row r="130" ht="7.5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</row>
    <row r="131" ht="18.75" customHeight="1">
      <c r="A131" s="18" t="s">
        <v>862</v>
      </c>
      <c r="B131" s="19" t="s">
        <v>2158</v>
      </c>
      <c r="C131" s="20"/>
      <c r="D131" s="18" t="s">
        <v>697</v>
      </c>
      <c r="E131" s="19" t="s">
        <v>792</v>
      </c>
      <c r="F131" s="20"/>
      <c r="G131" s="18" t="s">
        <v>863</v>
      </c>
      <c r="H131" s="19" t="s">
        <v>1966</v>
      </c>
      <c r="I131" s="20"/>
      <c r="J131" s="18" t="s">
        <v>865</v>
      </c>
      <c r="K131" s="19" t="s">
        <v>1678</v>
      </c>
      <c r="L131" s="20"/>
      <c r="M131" s="18" t="s">
        <v>867</v>
      </c>
      <c r="N131" s="19" t="s">
        <v>1921</v>
      </c>
      <c r="O131" s="20"/>
    </row>
    <row r="132" ht="180.0" customHeight="1">
      <c r="A132" s="21" t="str">
        <f>IMAGE("https://assets.tcgdex.net/de/sv/sv08.5/161/low.jpg", 1)</f>
        <v/>
      </c>
      <c r="B132" s="22"/>
      <c r="C132" s="20"/>
      <c r="D132" s="21" t="str">
        <f>IMAGE("https://assets.tcgdex.net/de/sv/sv08.5/162/low.jpg", 1)</f>
        <v/>
      </c>
      <c r="E132" s="22"/>
      <c r="F132" s="20"/>
      <c r="G132" s="21" t="str">
        <f>IMAGE("https://assets.tcgdex.net/de/sv/sv08.5/163/low.jpg", 1)</f>
        <v/>
      </c>
      <c r="H132" s="22"/>
      <c r="I132" s="20"/>
      <c r="J132" s="21" t="str">
        <f>IMAGE("https://assets.tcgdex.net/de/sv/sv08.5/164/low.jpg", 1)</f>
        <v/>
      </c>
      <c r="K132" s="22"/>
      <c r="L132" s="20"/>
      <c r="M132" s="21" t="str">
        <f>IMAGE("https://assets.tcgdex.net/de/sv/sv08.5/165/low.jpg", 1)</f>
        <v/>
      </c>
      <c r="N132" s="22"/>
      <c r="O132" s="20"/>
    </row>
    <row r="133" ht="22.5" customHeight="1">
      <c r="A133" s="23" t="b">
        <v>0</v>
      </c>
      <c r="B133" s="24" t="b">
        <v>0</v>
      </c>
      <c r="C133" s="25" t="str">
        <f>HYPERLINK("https://www.cardmarket.com/en/Pokemon/Products/Singles?idCategory=1&amp;idProduct=sv8pt5-161", "CM")</f>
        <v>CM</v>
      </c>
      <c r="D133" s="23" t="b">
        <v>0</v>
      </c>
      <c r="E133" s="24" t="b">
        <v>0</v>
      </c>
      <c r="F133" s="25" t="str">
        <f>HYPERLINK("https://www.cardmarket.com/en/Pokemon/Products/Singles?idCategory=1&amp;idProduct=sv8pt5-162", "CM")</f>
        <v>CM</v>
      </c>
      <c r="G133" s="23" t="b">
        <v>0</v>
      </c>
      <c r="H133" s="24" t="b">
        <v>0</v>
      </c>
      <c r="I133" s="25" t="str">
        <f>HYPERLINK("https://www.cardmarket.com/en/Pokemon/Products/Singles?idCategory=1&amp;idProduct=sv8pt5-163", "CM")</f>
        <v>CM</v>
      </c>
      <c r="J133" s="23" t="b">
        <v>0</v>
      </c>
      <c r="K133" s="24" t="b">
        <v>0</v>
      </c>
      <c r="L133" s="25" t="str">
        <f>HYPERLINK("https://www.cardmarket.com/en/Pokemon/Products/Singles?idCategory=1&amp;idProduct=sv8pt5-164", "CM")</f>
        <v>CM</v>
      </c>
      <c r="M133" s="23" t="b">
        <v>0</v>
      </c>
      <c r="N133" s="24" t="b">
        <v>0</v>
      </c>
      <c r="O133" s="25" t="str">
        <f>HYPERLINK("https://www.cardmarket.com/en/Pokemon/Products/Singles?idCategory=1&amp;idProduct=sv8pt5-165", "CM")</f>
        <v>CM</v>
      </c>
    </row>
    <row r="134" ht="7.5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</row>
    <row r="135" ht="18.75" customHeight="1">
      <c r="A135" s="18" t="s">
        <v>869</v>
      </c>
      <c r="B135" s="19" t="s">
        <v>851</v>
      </c>
      <c r="C135" s="20"/>
      <c r="D135" s="18" t="s">
        <v>871</v>
      </c>
      <c r="E135" s="19" t="s">
        <v>700</v>
      </c>
      <c r="F135" s="20"/>
      <c r="G135" s="18" t="s">
        <v>873</v>
      </c>
      <c r="H135" s="19" t="s">
        <v>885</v>
      </c>
      <c r="I135" s="20"/>
      <c r="J135" s="18" t="s">
        <v>875</v>
      </c>
      <c r="K135" s="19" t="s">
        <v>868</v>
      </c>
      <c r="L135" s="20"/>
      <c r="M135" s="18" t="s">
        <v>877</v>
      </c>
      <c r="N135" s="19" t="s">
        <v>2164</v>
      </c>
      <c r="O135" s="20"/>
    </row>
    <row r="136" ht="180.0" customHeight="1">
      <c r="A136" s="21" t="str">
        <f>IMAGE("https://assets.tcgdex.net/de/sv/sv08.5/166/low.jpg", 1)</f>
        <v/>
      </c>
      <c r="B136" s="22"/>
      <c r="C136" s="20"/>
      <c r="D136" s="21" t="str">
        <f>IMAGE("https://assets.tcgdex.net/de/sv/sv08.5/167/low.jpg", 1)</f>
        <v/>
      </c>
      <c r="E136" s="22"/>
      <c r="F136" s="20"/>
      <c r="G136" s="21" t="str">
        <f>IMAGE("https://assets.tcgdex.net/de/sv/sv08.5/168/low.jpg", 1)</f>
        <v/>
      </c>
      <c r="H136" s="22"/>
      <c r="I136" s="20"/>
      <c r="J136" s="21" t="str">
        <f>IMAGE("https://assets.tcgdex.net/de/sv/sv08.5/169/low.jpg", 1)</f>
        <v/>
      </c>
      <c r="K136" s="22"/>
      <c r="L136" s="20"/>
      <c r="M136" s="21" t="str">
        <f>IMAGE("https://assets.tcgdex.net/de/sv/sv08.5/170/low.jpg", 1)</f>
        <v/>
      </c>
      <c r="N136" s="22"/>
      <c r="O136" s="20"/>
    </row>
    <row r="137" ht="22.5" customHeight="1">
      <c r="A137" s="23" t="b">
        <v>0</v>
      </c>
      <c r="B137" s="24" t="b">
        <v>0</v>
      </c>
      <c r="C137" s="25" t="str">
        <f>HYPERLINK("https://www.cardmarket.com/en/Pokemon/Products/Singles?idCategory=1&amp;idProduct=sv8pt5-166", "CM")</f>
        <v>CM</v>
      </c>
      <c r="D137" s="23" t="b">
        <v>0</v>
      </c>
      <c r="E137" s="24" t="b">
        <v>0</v>
      </c>
      <c r="F137" s="25" t="str">
        <f>HYPERLINK("https://www.cardmarket.com/en/Pokemon/Products/Singles?idCategory=1&amp;idProduct=sv8pt5-167", "CM")</f>
        <v>CM</v>
      </c>
      <c r="G137" s="23" t="b">
        <v>0</v>
      </c>
      <c r="H137" s="24" t="b">
        <v>0</v>
      </c>
      <c r="I137" s="25" t="str">
        <f>HYPERLINK("https://www.cardmarket.com/en/Pokemon/Products/Singles?idCategory=1&amp;idProduct=sv8pt5-168", "CM")</f>
        <v>CM</v>
      </c>
      <c r="J137" s="23" t="b">
        <v>0</v>
      </c>
      <c r="K137" s="24" t="b">
        <v>0</v>
      </c>
      <c r="L137" s="25" t="str">
        <f>HYPERLINK("https://www.cardmarket.com/en/Pokemon/Products/Singles?idCategory=1&amp;idProduct=sv8pt5-169", "CM")</f>
        <v>CM</v>
      </c>
      <c r="M137" s="23" t="b">
        <v>0</v>
      </c>
      <c r="N137" s="24" t="b">
        <v>0</v>
      </c>
      <c r="O137" s="25" t="str">
        <f>HYPERLINK("https://www.cardmarket.com/en/Pokemon/Products/Singles?idCategory=1&amp;idProduct=sv8pt5-170", "CM")</f>
        <v>CM</v>
      </c>
    </row>
    <row r="138" ht="7.5" customHeight="1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</row>
    <row r="139" ht="18.75" customHeight="1">
      <c r="A139" s="18" t="s">
        <v>879</v>
      </c>
      <c r="B139" s="19" t="s">
        <v>2043</v>
      </c>
      <c r="C139" s="20"/>
      <c r="D139" s="18" t="s">
        <v>881</v>
      </c>
      <c r="E139" s="19" t="s">
        <v>2123</v>
      </c>
      <c r="F139" s="20"/>
      <c r="G139" s="18" t="s">
        <v>883</v>
      </c>
      <c r="H139" s="19" t="s">
        <v>1982</v>
      </c>
      <c r="I139" s="20"/>
      <c r="J139" s="18" t="s">
        <v>699</v>
      </c>
      <c r="K139" s="19" t="s">
        <v>1937</v>
      </c>
      <c r="L139" s="20"/>
      <c r="M139" s="18" t="s">
        <v>1304</v>
      </c>
      <c r="N139" s="19" t="s">
        <v>2049</v>
      </c>
      <c r="O139" s="20"/>
    </row>
    <row r="140" ht="180.0" customHeight="1">
      <c r="A140" s="21" t="str">
        <f>IMAGE("https://assets.tcgdex.net/de/sv/sv08.5/171/low.jpg", 1)</f>
        <v/>
      </c>
      <c r="B140" s="22"/>
      <c r="C140" s="20"/>
      <c r="D140" s="21" t="str">
        <f>IMAGE("https://assets.tcgdex.net/de/sv/sv08.5/172/low.jpg", 1)</f>
        <v/>
      </c>
      <c r="E140" s="22"/>
      <c r="F140" s="20"/>
      <c r="G140" s="21" t="str">
        <f>IMAGE("https://assets.tcgdex.net/de/sv/sv08.5/173/low.jpg", 1)</f>
        <v/>
      </c>
      <c r="H140" s="22"/>
      <c r="I140" s="20"/>
      <c r="J140" s="21" t="str">
        <f>IMAGE("https://assets.tcgdex.net/de/sv/sv08.5/174/low.jpg", 1)</f>
        <v/>
      </c>
      <c r="K140" s="22"/>
      <c r="L140" s="20"/>
      <c r="M140" s="21" t="str">
        <f>IMAGE("https://assets.tcgdex.net/de/sv/sv08.5/175/low.jpg", 1)</f>
        <v/>
      </c>
      <c r="N140" s="22"/>
      <c r="O140" s="20"/>
    </row>
    <row r="141" ht="22.5" customHeight="1">
      <c r="A141" s="23" t="b">
        <v>0</v>
      </c>
      <c r="B141" s="24" t="b">
        <v>0</v>
      </c>
      <c r="C141" s="25" t="str">
        <f>HYPERLINK("https://www.cardmarket.com/en/Pokemon/Products/Singles?idCategory=1&amp;idProduct=sv8pt5-171", "CM")</f>
        <v>CM</v>
      </c>
      <c r="D141" s="23" t="b">
        <v>0</v>
      </c>
      <c r="E141" s="24" t="b">
        <v>0</v>
      </c>
      <c r="F141" s="25" t="str">
        <f>HYPERLINK("https://www.cardmarket.com/en/Pokemon/Products/Singles?idCategory=1&amp;idProduct=sv8pt5-172", "CM")</f>
        <v>CM</v>
      </c>
      <c r="G141" s="23" t="b">
        <v>0</v>
      </c>
      <c r="H141" s="24" t="b">
        <v>0</v>
      </c>
      <c r="I141" s="25" t="str">
        <f>HYPERLINK("https://www.cardmarket.com/en/Pokemon/Products/Singles?idCategory=1&amp;idProduct=sv8pt5-173", "CM")</f>
        <v>CM</v>
      </c>
      <c r="J141" s="23" t="b">
        <v>0</v>
      </c>
      <c r="K141" s="24" t="b">
        <v>0</v>
      </c>
      <c r="L141" s="25" t="str">
        <f>HYPERLINK("https://www.cardmarket.com/en/Pokemon/Products/Singles?idCategory=1&amp;idProduct=sv8pt5-174", "CM")</f>
        <v>CM</v>
      </c>
      <c r="M141" s="23" t="b">
        <v>0</v>
      </c>
      <c r="N141" s="24" t="b">
        <v>0</v>
      </c>
      <c r="O141" s="25" t="str">
        <f>HYPERLINK("https://www.cardmarket.com/en/Pokemon/Products/Singles?idCategory=1&amp;idProduct=sv8pt5-175", "CM")</f>
        <v>CM</v>
      </c>
    </row>
    <row r="142" ht="7.5" customHeight="1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</row>
    <row r="143" ht="18.75" customHeight="1">
      <c r="A143" s="18" t="s">
        <v>1306</v>
      </c>
      <c r="B143" s="19" t="s">
        <v>838</v>
      </c>
      <c r="C143" s="20"/>
      <c r="D143" s="18" t="s">
        <v>884</v>
      </c>
      <c r="E143" s="19" t="s">
        <v>870</v>
      </c>
      <c r="F143" s="20"/>
      <c r="G143" s="18" t="s">
        <v>701</v>
      </c>
      <c r="H143" s="19" t="s">
        <v>663</v>
      </c>
      <c r="I143" s="20"/>
      <c r="J143" s="18" t="s">
        <v>703</v>
      </c>
      <c r="K143" s="19" t="s">
        <v>639</v>
      </c>
      <c r="L143" s="20"/>
      <c r="M143" s="18" t="s">
        <v>886</v>
      </c>
      <c r="N143" s="19" t="s">
        <v>868</v>
      </c>
      <c r="O143" s="20"/>
    </row>
    <row r="144" ht="180.0" customHeight="1">
      <c r="A144" s="21" t="str">
        <f>IMAGE("https://assets.tcgdex.net/de/sv/sv08.5/176/low.jpg", 1)</f>
        <v/>
      </c>
      <c r="B144" s="22"/>
      <c r="C144" s="20"/>
      <c r="D144" s="21" t="str">
        <f>IMAGE("https://assets.tcgdex.net/de/sv/sv08.5/177/low.jpg", 1)</f>
        <v/>
      </c>
      <c r="E144" s="22"/>
      <c r="F144" s="20"/>
      <c r="G144" s="21" t="str">
        <f>IMAGE("https://assets.tcgdex.net/de/sv/sv08.5/178/low.jpg", 1)</f>
        <v/>
      </c>
      <c r="H144" s="22"/>
      <c r="I144" s="20"/>
      <c r="J144" s="21" t="str">
        <f>IMAGE("https://assets.tcgdex.net/de/sv/sv08.5/179/low.jpg", 1)</f>
        <v/>
      </c>
      <c r="K144" s="22"/>
      <c r="L144" s="20"/>
      <c r="M144" s="21" t="str">
        <f>IMAGE("https://assets.tcgdex.net/de/sv/sv08.5/180/low.jpg", 1)</f>
        <v/>
      </c>
      <c r="N144" s="22"/>
      <c r="O144" s="20"/>
    </row>
    <row r="145" ht="22.5" customHeight="1">
      <c r="A145" s="23" t="b">
        <v>0</v>
      </c>
      <c r="B145" s="24" t="b">
        <v>0</v>
      </c>
      <c r="C145" s="25" t="str">
        <f>HYPERLINK("https://www.cardmarket.com/en/Pokemon/Products/Singles?idCategory=1&amp;idProduct=sv8pt5-176", "CM")</f>
        <v>CM</v>
      </c>
      <c r="D145" s="23" t="b">
        <v>0</v>
      </c>
      <c r="E145" s="24" t="b">
        <v>0</v>
      </c>
      <c r="F145" s="25" t="str">
        <f>HYPERLINK("https://www.cardmarket.com/en/Pokemon/Products/Singles?idCategory=1&amp;idProduct=sv8pt5-177", "CM")</f>
        <v>CM</v>
      </c>
      <c r="G145" s="23" t="b">
        <v>0</v>
      </c>
      <c r="H145" s="24" t="b">
        <v>0</v>
      </c>
      <c r="I145" s="25" t="str">
        <f>HYPERLINK("https://www.cardmarket.com/en/Pokemon/Products/Singles?idCategory=1&amp;idProduct=sv8pt5-178", "CM")</f>
        <v>CM</v>
      </c>
      <c r="J145" s="23" t="b">
        <v>0</v>
      </c>
      <c r="K145" s="24" t="b">
        <v>0</v>
      </c>
      <c r="L145" s="25" t="str">
        <f>HYPERLINK("https://www.cardmarket.com/en/Pokemon/Products/Singles?idCategory=1&amp;idProduct=sv8pt5-179", "CM")</f>
        <v>CM</v>
      </c>
      <c r="M145" s="23" t="b">
        <v>0</v>
      </c>
      <c r="N145" s="24" t="b">
        <v>0</v>
      </c>
      <c r="O145" s="25" t="str">
        <f>HYPERLINK("https://www.cardmarket.com/en/Pokemon/Products/Singles?idCategory=1&amp;idProduct=sv8pt5-180", "CM")</f>
        <v>CM</v>
      </c>
    </row>
    <row r="146" ht="7.5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</row>
  </sheetData>
  <mergeCells count="362">
    <mergeCell ref="H3:I3"/>
    <mergeCell ref="K3:L3"/>
    <mergeCell ref="J4:L4"/>
    <mergeCell ref="N3:O3"/>
    <mergeCell ref="M4:O4"/>
    <mergeCell ref="A1:N1"/>
    <mergeCell ref="A2:O2"/>
    <mergeCell ref="B3:C3"/>
    <mergeCell ref="A4:C4"/>
    <mergeCell ref="E3:F3"/>
    <mergeCell ref="D4:F4"/>
    <mergeCell ref="G4:I4"/>
    <mergeCell ref="K7:L7"/>
    <mergeCell ref="N7:O7"/>
    <mergeCell ref="M8:O8"/>
    <mergeCell ref="B7:C7"/>
    <mergeCell ref="A8:C8"/>
    <mergeCell ref="E7:F7"/>
    <mergeCell ref="D8:F8"/>
    <mergeCell ref="H7:I7"/>
    <mergeCell ref="G8:I8"/>
    <mergeCell ref="J8:L8"/>
    <mergeCell ref="K11:L11"/>
    <mergeCell ref="N11:O11"/>
    <mergeCell ref="M12:O12"/>
    <mergeCell ref="B11:C11"/>
    <mergeCell ref="A12:C12"/>
    <mergeCell ref="E11:F11"/>
    <mergeCell ref="D12:F12"/>
    <mergeCell ref="H11:I11"/>
    <mergeCell ref="G12:I12"/>
    <mergeCell ref="J12:L12"/>
    <mergeCell ref="K27:L27"/>
    <mergeCell ref="N27:O27"/>
    <mergeCell ref="M28:O28"/>
    <mergeCell ref="B27:C27"/>
    <mergeCell ref="A28:C28"/>
    <mergeCell ref="E27:F27"/>
    <mergeCell ref="D28:F28"/>
    <mergeCell ref="H27:I27"/>
    <mergeCell ref="G28:I28"/>
    <mergeCell ref="J28:L28"/>
    <mergeCell ref="K31:L31"/>
    <mergeCell ref="N31:O31"/>
    <mergeCell ref="M32:O32"/>
    <mergeCell ref="B31:C31"/>
    <mergeCell ref="A32:C32"/>
    <mergeCell ref="E31:F31"/>
    <mergeCell ref="D32:F32"/>
    <mergeCell ref="H31:I31"/>
    <mergeCell ref="G32:I32"/>
    <mergeCell ref="J32:L32"/>
    <mergeCell ref="K35:L35"/>
    <mergeCell ref="N35:O35"/>
    <mergeCell ref="M36:O36"/>
    <mergeCell ref="B35:C35"/>
    <mergeCell ref="A36:C36"/>
    <mergeCell ref="E35:F35"/>
    <mergeCell ref="D36:F36"/>
    <mergeCell ref="H35:I35"/>
    <mergeCell ref="G36:I36"/>
    <mergeCell ref="J36:L36"/>
    <mergeCell ref="K39:L39"/>
    <mergeCell ref="N39:O39"/>
    <mergeCell ref="M40:O40"/>
    <mergeCell ref="B39:C39"/>
    <mergeCell ref="A40:C40"/>
    <mergeCell ref="E39:F39"/>
    <mergeCell ref="D40:F40"/>
    <mergeCell ref="H39:I39"/>
    <mergeCell ref="G40:I40"/>
    <mergeCell ref="J40:L40"/>
    <mergeCell ref="K43:L43"/>
    <mergeCell ref="N43:O43"/>
    <mergeCell ref="M44:O44"/>
    <mergeCell ref="B43:C43"/>
    <mergeCell ref="A44:C44"/>
    <mergeCell ref="E43:F43"/>
    <mergeCell ref="D44:F44"/>
    <mergeCell ref="H43:I43"/>
    <mergeCell ref="G44:I44"/>
    <mergeCell ref="J44:L44"/>
    <mergeCell ref="K47:L47"/>
    <mergeCell ref="N47:O47"/>
    <mergeCell ref="M48:O48"/>
    <mergeCell ref="B47:C47"/>
    <mergeCell ref="A48:C48"/>
    <mergeCell ref="E47:F47"/>
    <mergeCell ref="D48:F48"/>
    <mergeCell ref="H47:I47"/>
    <mergeCell ref="G48:I48"/>
    <mergeCell ref="J48:L48"/>
    <mergeCell ref="K51:L51"/>
    <mergeCell ref="N51:O51"/>
    <mergeCell ref="M52:O52"/>
    <mergeCell ref="B51:C51"/>
    <mergeCell ref="A52:C52"/>
    <mergeCell ref="E51:F51"/>
    <mergeCell ref="D52:F52"/>
    <mergeCell ref="H51:I51"/>
    <mergeCell ref="G52:I52"/>
    <mergeCell ref="J52:L52"/>
    <mergeCell ref="K55:L55"/>
    <mergeCell ref="N55:O55"/>
    <mergeCell ref="M56:O56"/>
    <mergeCell ref="B55:C55"/>
    <mergeCell ref="A56:C56"/>
    <mergeCell ref="E55:F55"/>
    <mergeCell ref="D56:F56"/>
    <mergeCell ref="H55:I55"/>
    <mergeCell ref="G56:I56"/>
    <mergeCell ref="J56:L56"/>
    <mergeCell ref="K59:L59"/>
    <mergeCell ref="N59:O59"/>
    <mergeCell ref="M60:O60"/>
    <mergeCell ref="B59:C59"/>
    <mergeCell ref="A60:C60"/>
    <mergeCell ref="E59:F59"/>
    <mergeCell ref="D60:F60"/>
    <mergeCell ref="H59:I59"/>
    <mergeCell ref="G60:I60"/>
    <mergeCell ref="J60:L60"/>
    <mergeCell ref="K63:L63"/>
    <mergeCell ref="N63:O63"/>
    <mergeCell ref="M64:O64"/>
    <mergeCell ref="B63:C63"/>
    <mergeCell ref="A64:C64"/>
    <mergeCell ref="E63:F63"/>
    <mergeCell ref="D64:F64"/>
    <mergeCell ref="H63:I63"/>
    <mergeCell ref="G64:I64"/>
    <mergeCell ref="J64:L64"/>
    <mergeCell ref="K67:L67"/>
    <mergeCell ref="N67:O67"/>
    <mergeCell ref="M68:O68"/>
    <mergeCell ref="B67:C67"/>
    <mergeCell ref="A68:C68"/>
    <mergeCell ref="E67:F67"/>
    <mergeCell ref="D68:F68"/>
    <mergeCell ref="H67:I67"/>
    <mergeCell ref="G68:I68"/>
    <mergeCell ref="J68:L68"/>
    <mergeCell ref="K71:L71"/>
    <mergeCell ref="N71:O71"/>
    <mergeCell ref="M72:O72"/>
    <mergeCell ref="B71:C71"/>
    <mergeCell ref="A72:C72"/>
    <mergeCell ref="E71:F71"/>
    <mergeCell ref="D72:F72"/>
    <mergeCell ref="H71:I71"/>
    <mergeCell ref="G72:I72"/>
    <mergeCell ref="J72:L72"/>
    <mergeCell ref="K75:L75"/>
    <mergeCell ref="N75:O75"/>
    <mergeCell ref="M76:O76"/>
    <mergeCell ref="B75:C75"/>
    <mergeCell ref="A76:C76"/>
    <mergeCell ref="E75:F75"/>
    <mergeCell ref="D76:F76"/>
    <mergeCell ref="H75:I75"/>
    <mergeCell ref="G76:I76"/>
    <mergeCell ref="J76:L76"/>
    <mergeCell ref="K79:L79"/>
    <mergeCell ref="N79:O79"/>
    <mergeCell ref="M80:O80"/>
    <mergeCell ref="B79:C79"/>
    <mergeCell ref="A80:C80"/>
    <mergeCell ref="E79:F79"/>
    <mergeCell ref="D80:F80"/>
    <mergeCell ref="H79:I79"/>
    <mergeCell ref="G80:I80"/>
    <mergeCell ref="J80:L80"/>
    <mergeCell ref="K83:L83"/>
    <mergeCell ref="N83:O83"/>
    <mergeCell ref="M84:O84"/>
    <mergeCell ref="B83:C83"/>
    <mergeCell ref="A84:C84"/>
    <mergeCell ref="E83:F83"/>
    <mergeCell ref="D84:F84"/>
    <mergeCell ref="H83:I83"/>
    <mergeCell ref="G84:I84"/>
    <mergeCell ref="J84:L84"/>
    <mergeCell ref="K87:L87"/>
    <mergeCell ref="N87:O87"/>
    <mergeCell ref="M88:O88"/>
    <mergeCell ref="B87:C87"/>
    <mergeCell ref="A88:C88"/>
    <mergeCell ref="E87:F87"/>
    <mergeCell ref="D88:F88"/>
    <mergeCell ref="H87:I87"/>
    <mergeCell ref="G88:I88"/>
    <mergeCell ref="J88:L88"/>
    <mergeCell ref="K91:L91"/>
    <mergeCell ref="N91:O91"/>
    <mergeCell ref="M92:O92"/>
    <mergeCell ref="B91:C91"/>
    <mergeCell ref="A92:C92"/>
    <mergeCell ref="E91:F91"/>
    <mergeCell ref="D92:F92"/>
    <mergeCell ref="H91:I91"/>
    <mergeCell ref="G92:I92"/>
    <mergeCell ref="J92:L92"/>
    <mergeCell ref="K95:L95"/>
    <mergeCell ref="N95:O95"/>
    <mergeCell ref="M96:O96"/>
    <mergeCell ref="B95:C95"/>
    <mergeCell ref="A96:C96"/>
    <mergeCell ref="E95:F95"/>
    <mergeCell ref="D96:F96"/>
    <mergeCell ref="H95:I95"/>
    <mergeCell ref="G96:I96"/>
    <mergeCell ref="J96:L96"/>
    <mergeCell ref="K99:L99"/>
    <mergeCell ref="N99:O99"/>
    <mergeCell ref="M100:O100"/>
    <mergeCell ref="B99:C99"/>
    <mergeCell ref="A100:C100"/>
    <mergeCell ref="E99:F99"/>
    <mergeCell ref="D100:F100"/>
    <mergeCell ref="H99:I99"/>
    <mergeCell ref="G100:I100"/>
    <mergeCell ref="J100:L100"/>
    <mergeCell ref="K103:L103"/>
    <mergeCell ref="N103:O103"/>
    <mergeCell ref="M104:O104"/>
    <mergeCell ref="B103:C103"/>
    <mergeCell ref="A104:C104"/>
    <mergeCell ref="E103:F103"/>
    <mergeCell ref="D104:F104"/>
    <mergeCell ref="H103:I103"/>
    <mergeCell ref="G104:I104"/>
    <mergeCell ref="J104:L104"/>
    <mergeCell ref="K135:L135"/>
    <mergeCell ref="N135:O135"/>
    <mergeCell ref="M136:O136"/>
    <mergeCell ref="B135:C135"/>
    <mergeCell ref="A136:C136"/>
    <mergeCell ref="E135:F135"/>
    <mergeCell ref="D136:F136"/>
    <mergeCell ref="H135:I135"/>
    <mergeCell ref="G136:I136"/>
    <mergeCell ref="J136:L136"/>
    <mergeCell ref="K139:L139"/>
    <mergeCell ref="N139:O139"/>
    <mergeCell ref="M140:O140"/>
    <mergeCell ref="B139:C139"/>
    <mergeCell ref="A140:C140"/>
    <mergeCell ref="E139:F139"/>
    <mergeCell ref="D140:F140"/>
    <mergeCell ref="H139:I139"/>
    <mergeCell ref="G140:I140"/>
    <mergeCell ref="J140:L140"/>
    <mergeCell ref="K15:L15"/>
    <mergeCell ref="N15:O15"/>
    <mergeCell ref="M16:O16"/>
    <mergeCell ref="B15:C15"/>
    <mergeCell ref="A16:C16"/>
    <mergeCell ref="E15:F15"/>
    <mergeCell ref="D16:F16"/>
    <mergeCell ref="H15:I15"/>
    <mergeCell ref="G16:I16"/>
    <mergeCell ref="J16:L16"/>
    <mergeCell ref="K19:L19"/>
    <mergeCell ref="N19:O19"/>
    <mergeCell ref="M20:O20"/>
    <mergeCell ref="B19:C19"/>
    <mergeCell ref="A20:C20"/>
    <mergeCell ref="E19:F19"/>
    <mergeCell ref="D20:F20"/>
    <mergeCell ref="H19:I19"/>
    <mergeCell ref="G20:I20"/>
    <mergeCell ref="J20:L20"/>
    <mergeCell ref="K23:L23"/>
    <mergeCell ref="N23:O23"/>
    <mergeCell ref="M24:O24"/>
    <mergeCell ref="B23:C23"/>
    <mergeCell ref="A24:C24"/>
    <mergeCell ref="E23:F23"/>
    <mergeCell ref="D24:F24"/>
    <mergeCell ref="H23:I23"/>
    <mergeCell ref="G24:I24"/>
    <mergeCell ref="J24:L24"/>
    <mergeCell ref="K143:L143"/>
    <mergeCell ref="N143:O143"/>
    <mergeCell ref="M144:O144"/>
    <mergeCell ref="B143:C143"/>
    <mergeCell ref="A144:C144"/>
    <mergeCell ref="E143:F143"/>
    <mergeCell ref="D144:F144"/>
    <mergeCell ref="H143:I143"/>
    <mergeCell ref="G144:I144"/>
    <mergeCell ref="J144:L144"/>
    <mergeCell ref="K107:L107"/>
    <mergeCell ref="N107:O107"/>
    <mergeCell ref="M108:O108"/>
    <mergeCell ref="B107:C107"/>
    <mergeCell ref="A108:C108"/>
    <mergeCell ref="E107:F107"/>
    <mergeCell ref="D108:F108"/>
    <mergeCell ref="H107:I107"/>
    <mergeCell ref="G108:I108"/>
    <mergeCell ref="J108:L108"/>
    <mergeCell ref="K111:L111"/>
    <mergeCell ref="N111:O111"/>
    <mergeCell ref="M112:O112"/>
    <mergeCell ref="B111:C111"/>
    <mergeCell ref="A112:C112"/>
    <mergeCell ref="E111:F111"/>
    <mergeCell ref="D112:F112"/>
    <mergeCell ref="H111:I111"/>
    <mergeCell ref="G112:I112"/>
    <mergeCell ref="J112:L112"/>
    <mergeCell ref="K115:L115"/>
    <mergeCell ref="N115:O115"/>
    <mergeCell ref="M116:O116"/>
    <mergeCell ref="B115:C115"/>
    <mergeCell ref="A116:C116"/>
    <mergeCell ref="E115:F115"/>
    <mergeCell ref="D116:F116"/>
    <mergeCell ref="H115:I115"/>
    <mergeCell ref="G116:I116"/>
    <mergeCell ref="J116:L116"/>
    <mergeCell ref="K119:L119"/>
    <mergeCell ref="N119:O119"/>
    <mergeCell ref="M120:O120"/>
    <mergeCell ref="B119:C119"/>
    <mergeCell ref="A120:C120"/>
    <mergeCell ref="E119:F119"/>
    <mergeCell ref="D120:F120"/>
    <mergeCell ref="H119:I119"/>
    <mergeCell ref="G120:I120"/>
    <mergeCell ref="J120:L120"/>
    <mergeCell ref="K123:L123"/>
    <mergeCell ref="N123:O123"/>
    <mergeCell ref="M124:O124"/>
    <mergeCell ref="B123:C123"/>
    <mergeCell ref="A124:C124"/>
    <mergeCell ref="E123:F123"/>
    <mergeCell ref="D124:F124"/>
    <mergeCell ref="H123:I123"/>
    <mergeCell ref="G124:I124"/>
    <mergeCell ref="J124:L124"/>
    <mergeCell ref="K127:L127"/>
    <mergeCell ref="N127:O127"/>
    <mergeCell ref="M128:O128"/>
    <mergeCell ref="B127:C127"/>
    <mergeCell ref="A128:C128"/>
    <mergeCell ref="E127:F127"/>
    <mergeCell ref="D128:F128"/>
    <mergeCell ref="H127:I127"/>
    <mergeCell ref="G128:I128"/>
    <mergeCell ref="J128:L128"/>
    <mergeCell ref="K131:L131"/>
    <mergeCell ref="N131:O131"/>
    <mergeCell ref="M132:O132"/>
    <mergeCell ref="B131:C131"/>
    <mergeCell ref="A132:C132"/>
    <mergeCell ref="E131:F131"/>
    <mergeCell ref="D132:F132"/>
    <mergeCell ref="H131:I131"/>
    <mergeCell ref="G132:I132"/>
    <mergeCell ref="J132:L132"/>
  </mergeCells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.13"/>
    <col customWidth="1" min="3" max="3" width="12.63"/>
    <col customWidth="1" min="4" max="5" width="5.13"/>
    <col customWidth="1" min="6" max="6" width="12.63"/>
    <col customWidth="1" min="7" max="8" width="5.13"/>
    <col customWidth="1" min="9" max="9" width="12.63"/>
    <col customWidth="1" min="10" max="11" width="5.13"/>
    <col customWidth="1" min="12" max="12" width="12.63"/>
    <col customWidth="1" min="13" max="14" width="5.13"/>
    <col customWidth="1" min="15" max="15" width="12.63"/>
  </cols>
  <sheetData>
    <row r="1" ht="18.75" customHeight="1">
      <c r="A1" s="16" t="s">
        <v>2173</v>
      </c>
      <c r="O1" s="17" t="b">
        <v>0</v>
      </c>
    </row>
    <row r="2" ht="18.75" customHeight="1">
      <c r="A2" s="3" t="s">
        <v>2174</v>
      </c>
    </row>
    <row r="3" ht="18.75" customHeight="1">
      <c r="A3" s="18" t="s">
        <v>736</v>
      </c>
      <c r="B3" s="19" t="s">
        <v>1480</v>
      </c>
      <c r="C3" s="20"/>
      <c r="D3" s="18" t="s">
        <v>738</v>
      </c>
      <c r="E3" s="19" t="s">
        <v>1481</v>
      </c>
      <c r="F3" s="20"/>
      <c r="G3" s="18" t="s">
        <v>739</v>
      </c>
      <c r="H3" s="19" t="s">
        <v>1482</v>
      </c>
      <c r="I3" s="20"/>
      <c r="J3" s="18" t="s">
        <v>740</v>
      </c>
      <c r="K3" s="19" t="s">
        <v>1121</v>
      </c>
      <c r="L3" s="20"/>
      <c r="M3" s="18" t="s">
        <v>742</v>
      </c>
      <c r="N3" s="19" t="s">
        <v>1509</v>
      </c>
      <c r="O3" s="20"/>
    </row>
    <row r="4" ht="180.0" customHeight="1">
      <c r="A4" s="21" t="str">
        <f>IMAGE("https://assets.tcgdex.net/de/sv/sv09/001/low.jpg", 1)</f>
        <v/>
      </c>
      <c r="B4" s="22"/>
      <c r="C4" s="20"/>
      <c r="D4" s="21" t="str">
        <f>IMAGE("https://assets.tcgdex.net/de/sv/sv09/002/low.jpg", 1)</f>
        <v/>
      </c>
      <c r="E4" s="22"/>
      <c r="F4" s="20"/>
      <c r="G4" s="21" t="str">
        <f>IMAGE("https://assets.tcgdex.net/de/sv/sv09/003/low.jpg", 1)</f>
        <v/>
      </c>
      <c r="H4" s="22"/>
      <c r="I4" s="20"/>
      <c r="J4" s="21" t="str">
        <f>IMAGE("https://assets.tcgdex.net/de/sv/sv09/004/low.jpg", 1)</f>
        <v/>
      </c>
      <c r="K4" s="22"/>
      <c r="L4" s="20"/>
      <c r="M4" s="21" t="str">
        <f>IMAGE("https://assets.tcgdex.net/de/sv/sv09/005/low.jpg", 1)</f>
        <v/>
      </c>
      <c r="N4" s="22"/>
      <c r="O4" s="20"/>
    </row>
    <row r="5" ht="22.5" customHeight="1">
      <c r="A5" s="23" t="b">
        <v>0</v>
      </c>
      <c r="B5" s="24" t="b">
        <v>0</v>
      </c>
      <c r="C5" s="25" t="str">
        <f>HYPERLINK("https://www.cardmarket.com/en/Pokemon/Products/Singles?idCategory=1&amp;idProduct=sv9-1", "CM")</f>
        <v>CM</v>
      </c>
      <c r="D5" s="23" t="b">
        <v>0</v>
      </c>
      <c r="E5" s="24" t="b">
        <v>0</v>
      </c>
      <c r="F5" s="25" t="str">
        <f>HYPERLINK("https://www.cardmarket.com/en/Pokemon/Products/Singles?idCategory=1&amp;idProduct=sv9-2", "CM")</f>
        <v>CM</v>
      </c>
      <c r="G5" s="23" t="b">
        <v>0</v>
      </c>
      <c r="H5" s="24" t="b">
        <v>0</v>
      </c>
      <c r="I5" s="25" t="str">
        <f>HYPERLINK("https://www.cardmarket.com/en/Pokemon/Products/Singles?idCategory=1&amp;idProduct=sv9-3", "CM")</f>
        <v>CM</v>
      </c>
      <c r="J5" s="23" t="b">
        <v>0</v>
      </c>
      <c r="K5" s="24" t="b">
        <v>0</v>
      </c>
      <c r="L5" s="25" t="str">
        <f>HYPERLINK("https://www.cardmarket.com/en/Pokemon/Products/Singles?idCategory=1&amp;idProduct=sv9-4", "CM")</f>
        <v>CM</v>
      </c>
      <c r="M5" s="23" t="b">
        <v>0</v>
      </c>
      <c r="N5" s="24" t="b">
        <v>0</v>
      </c>
      <c r="O5" s="25" t="str">
        <f>HYPERLINK("https://www.cardmarket.com/en/Pokemon/Products/Singles?idCategory=1&amp;idProduct=sv9-5", "CM")</f>
        <v>CM</v>
      </c>
    </row>
    <row r="6" ht="7.5" customHeight="1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</row>
    <row r="7" ht="18.75" customHeight="1">
      <c r="A7" s="18" t="s">
        <v>529</v>
      </c>
      <c r="B7" s="19" t="s">
        <v>2175</v>
      </c>
      <c r="C7" s="20"/>
      <c r="D7" s="18" t="s">
        <v>744</v>
      </c>
      <c r="E7" s="19" t="s">
        <v>2176</v>
      </c>
      <c r="F7" s="20"/>
      <c r="G7" s="18" t="s">
        <v>531</v>
      </c>
      <c r="H7" s="19" t="s">
        <v>1726</v>
      </c>
      <c r="I7" s="20"/>
      <c r="J7" s="18" t="s">
        <v>746</v>
      </c>
      <c r="K7" s="19" t="s">
        <v>2177</v>
      </c>
      <c r="L7" s="20"/>
      <c r="M7" s="18" t="s">
        <v>748</v>
      </c>
      <c r="N7" s="19" t="s">
        <v>1366</v>
      </c>
      <c r="O7" s="20"/>
    </row>
    <row r="8" ht="180.0" customHeight="1">
      <c r="A8" s="21" t="str">
        <f>IMAGE("https://assets.tcgdex.net/de/sv/sv09/006/low.jpg", 1)</f>
        <v/>
      </c>
      <c r="B8" s="22"/>
      <c r="C8" s="20"/>
      <c r="D8" s="21" t="str">
        <f>IMAGE("https://assets.tcgdex.net/de/sv/sv09/007/low.jpg", 1)</f>
        <v/>
      </c>
      <c r="E8" s="22"/>
      <c r="F8" s="20"/>
      <c r="G8" s="21" t="str">
        <f>IMAGE("https://assets.tcgdex.net/de/sv/sv09/008/low.jpg", 1)</f>
        <v/>
      </c>
      <c r="H8" s="22"/>
      <c r="I8" s="20"/>
      <c r="J8" s="21" t="str">
        <f>IMAGE("https://assets.tcgdex.net/de/sv/sv09/009/low.jpg", 1)</f>
        <v/>
      </c>
      <c r="K8" s="22"/>
      <c r="L8" s="20"/>
      <c r="M8" s="21" t="str">
        <f>IMAGE("https://assets.tcgdex.net/de/sv/sv09/010/low.jpg", 1)</f>
        <v/>
      </c>
      <c r="N8" s="22"/>
      <c r="O8" s="20"/>
    </row>
    <row r="9" ht="22.5" customHeight="1">
      <c r="A9" s="23" t="b">
        <v>0</v>
      </c>
      <c r="B9" s="24" t="b">
        <v>0</v>
      </c>
      <c r="C9" s="25" t="str">
        <f>HYPERLINK("https://www.cardmarket.com/en/Pokemon/Products/Singles?idCategory=1&amp;idProduct=sv9-6", "CM")</f>
        <v>CM</v>
      </c>
      <c r="D9" s="23" t="b">
        <v>0</v>
      </c>
      <c r="E9" s="24" t="b">
        <v>0</v>
      </c>
      <c r="F9" s="25" t="str">
        <f>HYPERLINK("https://www.cardmarket.com/en/Pokemon/Products/Singles?idCategory=1&amp;idProduct=sv9-7", "CM")</f>
        <v>CM</v>
      </c>
      <c r="G9" s="23" t="b">
        <v>0</v>
      </c>
      <c r="H9" s="24" t="b">
        <v>0</v>
      </c>
      <c r="I9" s="25" t="str">
        <f>HYPERLINK("https://www.cardmarket.com/en/Pokemon/Products/Singles?idCategory=1&amp;idProduct=sv9-8", "CM")</f>
        <v>CM</v>
      </c>
      <c r="J9" s="23" t="b">
        <v>0</v>
      </c>
      <c r="K9" s="24" t="b">
        <v>0</v>
      </c>
      <c r="L9" s="25" t="str">
        <f>HYPERLINK("https://www.cardmarket.com/en/Pokemon/Products/Singles?idCategory=1&amp;idProduct=sv9-9", "CM")</f>
        <v>CM</v>
      </c>
      <c r="M9" s="23" t="b">
        <v>0</v>
      </c>
      <c r="N9" s="24" t="b">
        <v>0</v>
      </c>
      <c r="O9" s="25" t="str">
        <f>HYPERLINK("https://www.cardmarket.com/en/Pokemon/Products/Singles?idCategory=1&amp;idProduct=sv9-10", "CM")</f>
        <v>CM</v>
      </c>
    </row>
    <row r="10" ht="7.5" customHeight="1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</row>
    <row r="11" ht="18.75" customHeight="1">
      <c r="A11" s="18" t="s">
        <v>750</v>
      </c>
      <c r="B11" s="19" t="s">
        <v>2178</v>
      </c>
      <c r="C11" s="20"/>
      <c r="D11" s="18" t="s">
        <v>752</v>
      </c>
      <c r="E11" s="19" t="s">
        <v>2179</v>
      </c>
      <c r="F11" s="20"/>
      <c r="G11" s="18" t="s">
        <v>754</v>
      </c>
      <c r="H11" s="19" t="s">
        <v>2180</v>
      </c>
      <c r="I11" s="20"/>
      <c r="J11" s="18" t="s">
        <v>755</v>
      </c>
      <c r="K11" s="19" t="s">
        <v>1673</v>
      </c>
      <c r="L11" s="20"/>
      <c r="M11" s="18" t="s">
        <v>533</v>
      </c>
      <c r="N11" s="19" t="s">
        <v>2181</v>
      </c>
      <c r="O11" s="20"/>
    </row>
    <row r="12" ht="180.0" customHeight="1">
      <c r="A12" s="21" t="str">
        <f>IMAGE("https://assets.tcgdex.net/de/sv/sv09/011/low.jpg", 1)</f>
        <v/>
      </c>
      <c r="B12" s="22"/>
      <c r="C12" s="20"/>
      <c r="D12" s="21" t="str">
        <f>IMAGE("https://assets.tcgdex.net/de/sv/sv09/012/low.jpg", 1)</f>
        <v/>
      </c>
      <c r="E12" s="22"/>
      <c r="F12" s="20"/>
      <c r="G12" s="21" t="str">
        <f>IMAGE("https://assets.tcgdex.net/de/sv/sv09/013/low.jpg", 1)</f>
        <v/>
      </c>
      <c r="H12" s="22"/>
      <c r="I12" s="20"/>
      <c r="J12" s="21" t="str">
        <f>IMAGE("https://assets.tcgdex.net/de/sv/sv09/014/low.jpg", 1)</f>
        <v/>
      </c>
      <c r="K12" s="22"/>
      <c r="L12" s="20"/>
      <c r="M12" s="21" t="str">
        <f>IMAGE("https://assets.tcgdex.net/de/sv/sv09/015/low.jpg", 1)</f>
        <v/>
      </c>
      <c r="N12" s="22"/>
      <c r="O12" s="20"/>
    </row>
    <row r="13" ht="22.5" customHeight="1">
      <c r="A13" s="23" t="b">
        <v>0</v>
      </c>
      <c r="B13" s="24" t="b">
        <v>0</v>
      </c>
      <c r="C13" s="25" t="str">
        <f>HYPERLINK("https://www.cardmarket.com/en/Pokemon/Products/Singles?idCategory=1&amp;idProduct=sv9-11", "CM")</f>
        <v>CM</v>
      </c>
      <c r="D13" s="23" t="b">
        <v>0</v>
      </c>
      <c r="E13" s="24" t="b">
        <v>0</v>
      </c>
      <c r="F13" s="25" t="str">
        <f>HYPERLINK("https://www.cardmarket.com/en/Pokemon/Products/Singles?idCategory=1&amp;idProduct=sv9-12", "CM")</f>
        <v>CM</v>
      </c>
      <c r="G13" s="23" t="b">
        <v>0</v>
      </c>
      <c r="H13" s="24" t="b">
        <v>0</v>
      </c>
      <c r="I13" s="25" t="str">
        <f>HYPERLINK("https://www.cardmarket.com/en/Pokemon/Products/Singles?idCategory=1&amp;idProduct=sv9-13", "CM")</f>
        <v>CM</v>
      </c>
      <c r="J13" s="23" t="b">
        <v>0</v>
      </c>
      <c r="K13" s="24" t="b">
        <v>0</v>
      </c>
      <c r="L13" s="25" t="str">
        <f>HYPERLINK("https://www.cardmarket.com/en/Pokemon/Products/Singles?idCategory=1&amp;idProduct=sv9-14", "CM")</f>
        <v>CM</v>
      </c>
      <c r="M13" s="23" t="b">
        <v>0</v>
      </c>
      <c r="N13" s="24" t="b">
        <v>0</v>
      </c>
      <c r="O13" s="25" t="str">
        <f>HYPERLINK("https://www.cardmarket.com/en/Pokemon/Products/Singles?idCategory=1&amp;idProduct=sv9-15", "CM")</f>
        <v>CM</v>
      </c>
    </row>
    <row r="14" ht="7.5" customHeight="1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</row>
    <row r="15" ht="18.75" customHeight="1">
      <c r="A15" s="18" t="s">
        <v>535</v>
      </c>
      <c r="B15" s="19" t="s">
        <v>737</v>
      </c>
      <c r="C15" s="20"/>
      <c r="D15" s="18" t="s">
        <v>537</v>
      </c>
      <c r="E15" s="19" t="s">
        <v>810</v>
      </c>
      <c r="F15" s="20"/>
      <c r="G15" s="18" t="s">
        <v>756</v>
      </c>
      <c r="H15" s="19" t="s">
        <v>1249</v>
      </c>
      <c r="I15" s="20"/>
      <c r="J15" s="18" t="s">
        <v>539</v>
      </c>
      <c r="K15" s="19" t="s">
        <v>1600</v>
      </c>
      <c r="L15" s="20"/>
      <c r="M15" s="18" t="s">
        <v>541</v>
      </c>
      <c r="N15" s="19" t="s">
        <v>1563</v>
      </c>
      <c r="O15" s="20"/>
    </row>
    <row r="16" ht="180.0" customHeight="1">
      <c r="A16" s="21" t="str">
        <f>IMAGE("https://assets.tcgdex.net/de/sv/sv09/016/low.jpg", 1)</f>
        <v/>
      </c>
      <c r="B16" s="22"/>
      <c r="C16" s="20"/>
      <c r="D16" s="21" t="str">
        <f>IMAGE("https://assets.tcgdex.net/de/sv/sv09/017/low.jpg", 1)</f>
        <v/>
      </c>
      <c r="E16" s="22"/>
      <c r="F16" s="20"/>
      <c r="G16" s="21" t="str">
        <f>IMAGE("https://assets.tcgdex.net/de/sv/sv09/018/low.jpg", 1)</f>
        <v/>
      </c>
      <c r="H16" s="22"/>
      <c r="I16" s="20"/>
      <c r="J16" s="21" t="str">
        <f>IMAGE("https://assets.tcgdex.net/de/sv/sv09/019/low.jpg", 1)</f>
        <v/>
      </c>
      <c r="K16" s="22"/>
      <c r="L16" s="20"/>
      <c r="M16" s="21" t="str">
        <f>IMAGE("https://assets.tcgdex.net/de/sv/sv09/020/low.jpg", 1)</f>
        <v/>
      </c>
      <c r="N16" s="22"/>
      <c r="O16" s="20"/>
    </row>
    <row r="17" ht="22.5" customHeight="1">
      <c r="A17" s="23" t="b">
        <v>0</v>
      </c>
      <c r="B17" s="24" t="b">
        <v>0</v>
      </c>
      <c r="C17" s="25" t="str">
        <f>HYPERLINK("https://www.cardmarket.com/en/Pokemon/Products/Singles?idCategory=1&amp;idProduct=sv9-16", "CM")</f>
        <v>CM</v>
      </c>
      <c r="D17" s="23" t="b">
        <v>0</v>
      </c>
      <c r="E17" s="24" t="b">
        <v>0</v>
      </c>
      <c r="F17" s="25" t="str">
        <f>HYPERLINK("https://www.cardmarket.com/en/Pokemon/Products/Singles?idCategory=1&amp;idProduct=sv9-17", "CM")</f>
        <v>CM</v>
      </c>
      <c r="G17" s="23" t="b">
        <v>0</v>
      </c>
      <c r="H17" s="24" t="b">
        <v>0</v>
      </c>
      <c r="I17" s="25" t="str">
        <f>HYPERLINK("https://www.cardmarket.com/en/Pokemon/Products/Singles?idCategory=1&amp;idProduct=sv9-18", "CM")</f>
        <v>CM</v>
      </c>
      <c r="J17" s="23" t="b">
        <v>0</v>
      </c>
      <c r="K17" s="24" t="b">
        <v>0</v>
      </c>
      <c r="L17" s="25" t="str">
        <f>HYPERLINK("https://www.cardmarket.com/en/Pokemon/Products/Singles?idCategory=1&amp;idProduct=sv9-19", "CM")</f>
        <v>CM</v>
      </c>
      <c r="M17" s="23" t="b">
        <v>0</v>
      </c>
      <c r="N17" s="24" t="b">
        <v>0</v>
      </c>
      <c r="O17" s="25" t="str">
        <f>HYPERLINK("https://www.cardmarket.com/en/Pokemon/Products/Singles?idCategory=1&amp;idProduct=sv9-20", "CM")</f>
        <v>CM</v>
      </c>
    </row>
    <row r="18" ht="7.5" customHeight="1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</row>
    <row r="19" ht="18.75" customHeight="1">
      <c r="A19" s="18" t="s">
        <v>543</v>
      </c>
      <c r="B19" s="19" t="s">
        <v>1728</v>
      </c>
      <c r="C19" s="20"/>
      <c r="D19" s="18" t="s">
        <v>545</v>
      </c>
      <c r="E19" s="19" t="s">
        <v>2182</v>
      </c>
      <c r="F19" s="20"/>
      <c r="G19" s="18" t="s">
        <v>547</v>
      </c>
      <c r="H19" s="19" t="s">
        <v>2183</v>
      </c>
      <c r="I19" s="20"/>
      <c r="J19" s="18" t="s">
        <v>549</v>
      </c>
      <c r="K19" s="19" t="s">
        <v>2184</v>
      </c>
      <c r="L19" s="20"/>
      <c r="M19" s="18" t="s">
        <v>758</v>
      </c>
      <c r="N19" s="19" t="s">
        <v>1256</v>
      </c>
      <c r="O19" s="20"/>
    </row>
    <row r="20" ht="180.0" customHeight="1">
      <c r="A20" s="21" t="str">
        <f>IMAGE("https://assets.tcgdex.net/de/sv/sv09/021/low.jpg", 1)</f>
        <v/>
      </c>
      <c r="B20" s="22"/>
      <c r="C20" s="20"/>
      <c r="D20" s="21" t="str">
        <f>IMAGE("https://assets.tcgdex.net/de/sv/sv09/022/low.jpg", 1)</f>
        <v/>
      </c>
      <c r="E20" s="22"/>
      <c r="F20" s="20"/>
      <c r="G20" s="21" t="str">
        <f>IMAGE("https://assets.tcgdex.net/de/sv/sv09/023/low.jpg", 1)</f>
        <v/>
      </c>
      <c r="H20" s="22"/>
      <c r="I20" s="20"/>
      <c r="J20" s="21" t="str">
        <f>IMAGE("https://assets.tcgdex.net/de/sv/sv09/024/low.jpg", 1)</f>
        <v/>
      </c>
      <c r="K20" s="22"/>
      <c r="L20" s="20"/>
      <c r="M20" s="21" t="str">
        <f>IMAGE("https://assets.tcgdex.net/de/sv/sv09/025/low.jpg", 1)</f>
        <v/>
      </c>
      <c r="N20" s="22"/>
      <c r="O20" s="20"/>
    </row>
    <row r="21" ht="22.5" customHeight="1">
      <c r="A21" s="23" t="b">
        <v>0</v>
      </c>
      <c r="B21" s="24" t="b">
        <v>0</v>
      </c>
      <c r="C21" s="25" t="str">
        <f>HYPERLINK("https://www.cardmarket.com/en/Pokemon/Products/Singles?idCategory=1&amp;idProduct=sv9-21", "CM")</f>
        <v>CM</v>
      </c>
      <c r="D21" s="23" t="b">
        <v>0</v>
      </c>
      <c r="E21" s="24" t="b">
        <v>0</v>
      </c>
      <c r="F21" s="25" t="str">
        <f>HYPERLINK("https://www.cardmarket.com/en/Pokemon/Products/Singles?idCategory=1&amp;idProduct=sv9-22", "CM")</f>
        <v>CM</v>
      </c>
      <c r="G21" s="23" t="b">
        <v>0</v>
      </c>
      <c r="H21" s="24" t="b">
        <v>0</v>
      </c>
      <c r="I21" s="25" t="str">
        <f>HYPERLINK("https://www.cardmarket.com/en/Pokemon/Products/Singles?idCategory=1&amp;idProduct=sv9-23", "CM")</f>
        <v>CM</v>
      </c>
      <c r="J21" s="23" t="b">
        <v>0</v>
      </c>
      <c r="K21" s="24" t="b">
        <v>0</v>
      </c>
      <c r="L21" s="25" t="str">
        <f>HYPERLINK("https://www.cardmarket.com/en/Pokemon/Products/Singles?idCategory=1&amp;idProduct=sv9-24", "CM")</f>
        <v>CM</v>
      </c>
      <c r="M21" s="23" t="b">
        <v>0</v>
      </c>
      <c r="N21" s="24" t="b">
        <v>0</v>
      </c>
      <c r="O21" s="25" t="str">
        <f>HYPERLINK("https://www.cardmarket.com/en/Pokemon/Products/Singles?idCategory=1&amp;idProduct=sv9-25", "CM")</f>
        <v>CM</v>
      </c>
    </row>
    <row r="22" ht="7.5" customHeight="1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</row>
    <row r="23" ht="18.75" customHeight="1">
      <c r="A23" s="18" t="s">
        <v>760</v>
      </c>
      <c r="B23" s="19" t="s">
        <v>2185</v>
      </c>
      <c r="C23" s="20"/>
      <c r="D23" s="18" t="s">
        <v>762</v>
      </c>
      <c r="E23" s="19" t="s">
        <v>889</v>
      </c>
      <c r="F23" s="20"/>
      <c r="G23" s="18" t="s">
        <v>551</v>
      </c>
      <c r="H23" s="19" t="s">
        <v>972</v>
      </c>
      <c r="I23" s="20"/>
      <c r="J23" s="18" t="s">
        <v>553</v>
      </c>
      <c r="K23" s="19" t="s">
        <v>973</v>
      </c>
      <c r="L23" s="20"/>
      <c r="M23" s="18" t="s">
        <v>555</v>
      </c>
      <c r="N23" s="19" t="s">
        <v>2186</v>
      </c>
      <c r="O23" s="20"/>
    </row>
    <row r="24" ht="180.0" customHeight="1">
      <c r="A24" s="21" t="str">
        <f>IMAGE("https://assets.tcgdex.net/de/sv/sv09/026/low.jpg", 1)</f>
        <v/>
      </c>
      <c r="B24" s="22"/>
      <c r="C24" s="20"/>
      <c r="D24" s="21" t="str">
        <f>IMAGE("https://assets.tcgdex.net/de/sv/sv09/027/low.jpg", 1)</f>
        <v/>
      </c>
      <c r="E24" s="22"/>
      <c r="F24" s="20"/>
      <c r="G24" s="21" t="str">
        <f>IMAGE("https://assets.tcgdex.net/de/sv/sv09/028/low.jpg", 1)</f>
        <v/>
      </c>
      <c r="H24" s="22"/>
      <c r="I24" s="20"/>
      <c r="J24" s="21" t="str">
        <f>IMAGE("https://assets.tcgdex.net/de/sv/sv09/029/low.jpg", 1)</f>
        <v/>
      </c>
      <c r="K24" s="22"/>
      <c r="L24" s="20"/>
      <c r="M24" s="21" t="str">
        <f>IMAGE("https://assets.tcgdex.net/de/sv/sv09/030/low.jpg", 1)</f>
        <v/>
      </c>
      <c r="N24" s="22"/>
      <c r="O24" s="20"/>
    </row>
    <row r="25" ht="22.5" customHeight="1">
      <c r="A25" s="23" t="b">
        <v>0</v>
      </c>
      <c r="B25" s="24" t="b">
        <v>0</v>
      </c>
      <c r="C25" s="25" t="str">
        <f>HYPERLINK("https://www.cardmarket.com/en/Pokemon/Products/Singles?idCategory=1&amp;idProduct=sv9-26", "CM")</f>
        <v>CM</v>
      </c>
      <c r="D25" s="23" t="b">
        <v>0</v>
      </c>
      <c r="E25" s="24" t="b">
        <v>0</v>
      </c>
      <c r="F25" s="25" t="str">
        <f>HYPERLINK("https://www.cardmarket.com/en/Pokemon/Products/Singles?idCategory=1&amp;idProduct=sv9-27", "CM")</f>
        <v>CM</v>
      </c>
      <c r="G25" s="23" t="b">
        <v>0</v>
      </c>
      <c r="H25" s="24" t="b">
        <v>0</v>
      </c>
      <c r="I25" s="25" t="str">
        <f>HYPERLINK("https://www.cardmarket.com/en/Pokemon/Products/Singles?idCategory=1&amp;idProduct=sv9-28", "CM")</f>
        <v>CM</v>
      </c>
      <c r="J25" s="23" t="b">
        <v>0</v>
      </c>
      <c r="K25" s="24" t="b">
        <v>0</v>
      </c>
      <c r="L25" s="25" t="str">
        <f>HYPERLINK("https://www.cardmarket.com/en/Pokemon/Products/Singles?idCategory=1&amp;idProduct=sv9-29", "CM")</f>
        <v>CM</v>
      </c>
      <c r="M25" s="23" t="b">
        <v>0</v>
      </c>
      <c r="N25" s="24" t="b">
        <v>0</v>
      </c>
      <c r="O25" s="25" t="str">
        <f>HYPERLINK("https://www.cardmarket.com/en/Pokemon/Products/Singles?idCategory=1&amp;idProduct=sv9-30", "CM")</f>
        <v>CM</v>
      </c>
    </row>
    <row r="26" ht="7.5" customHeight="1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</row>
    <row r="27" ht="18.75" customHeight="1">
      <c r="A27" s="18" t="s">
        <v>557</v>
      </c>
      <c r="B27" s="19" t="s">
        <v>2187</v>
      </c>
      <c r="C27" s="20"/>
      <c r="D27" s="18" t="s">
        <v>559</v>
      </c>
      <c r="E27" s="19" t="s">
        <v>1572</v>
      </c>
      <c r="F27" s="20"/>
      <c r="G27" s="18" t="s">
        <v>561</v>
      </c>
      <c r="H27" s="19" t="s">
        <v>1607</v>
      </c>
      <c r="I27" s="20"/>
      <c r="J27" s="18" t="s">
        <v>563</v>
      </c>
      <c r="K27" s="19" t="s">
        <v>1608</v>
      </c>
      <c r="L27" s="20"/>
      <c r="M27" s="18" t="s">
        <v>565</v>
      </c>
      <c r="N27" s="19" t="s">
        <v>2188</v>
      </c>
      <c r="O27" s="20"/>
    </row>
    <row r="28" ht="180.0" customHeight="1">
      <c r="A28" s="21" t="str">
        <f>IMAGE("https://assets.tcgdex.net/de/sv/sv09/031/low.jpg", 1)</f>
        <v/>
      </c>
      <c r="B28" s="22"/>
      <c r="C28" s="20"/>
      <c r="D28" s="21" t="str">
        <f>IMAGE("https://assets.tcgdex.net/de/sv/sv09/032/low.jpg", 1)</f>
        <v/>
      </c>
      <c r="E28" s="22"/>
      <c r="F28" s="20"/>
      <c r="G28" s="21" t="str">
        <f>IMAGE("https://assets.tcgdex.net/de/sv/sv09/033/low.jpg", 1)</f>
        <v/>
      </c>
      <c r="H28" s="22"/>
      <c r="I28" s="20"/>
      <c r="J28" s="21" t="str">
        <f>IMAGE("https://assets.tcgdex.net/de/sv/sv09/034/low.jpg", 1)</f>
        <v/>
      </c>
      <c r="K28" s="22"/>
      <c r="L28" s="20"/>
      <c r="M28" s="21" t="str">
        <f>IMAGE("https://assets.tcgdex.net/de/sv/sv09/035/low.jpg", 1)</f>
        <v/>
      </c>
      <c r="N28" s="22"/>
      <c r="O28" s="20"/>
    </row>
    <row r="29" ht="22.5" customHeight="1">
      <c r="A29" s="23" t="b">
        <v>0</v>
      </c>
      <c r="B29" s="24" t="b">
        <v>0</v>
      </c>
      <c r="C29" s="25" t="str">
        <f>HYPERLINK("https://www.cardmarket.com/en/Pokemon/Products/Singles?idCategory=1&amp;idProduct=sv9-31", "CM")</f>
        <v>CM</v>
      </c>
      <c r="D29" s="23" t="b">
        <v>0</v>
      </c>
      <c r="E29" s="24" t="b">
        <v>0</v>
      </c>
      <c r="F29" s="25" t="str">
        <f>HYPERLINK("https://www.cardmarket.com/en/Pokemon/Products/Singles?idCategory=1&amp;idProduct=sv9-32", "CM")</f>
        <v>CM</v>
      </c>
      <c r="G29" s="23" t="b">
        <v>0</v>
      </c>
      <c r="H29" s="24" t="b">
        <v>0</v>
      </c>
      <c r="I29" s="25" t="str">
        <f>HYPERLINK("https://www.cardmarket.com/en/Pokemon/Products/Singles?idCategory=1&amp;idProduct=sv9-33", "CM")</f>
        <v>CM</v>
      </c>
      <c r="J29" s="23" t="b">
        <v>0</v>
      </c>
      <c r="K29" s="24" t="b">
        <v>0</v>
      </c>
      <c r="L29" s="25" t="str">
        <f>HYPERLINK("https://www.cardmarket.com/en/Pokemon/Products/Singles?idCategory=1&amp;idProduct=sv9-34", "CM")</f>
        <v>CM</v>
      </c>
      <c r="M29" s="23" t="b">
        <v>0</v>
      </c>
      <c r="N29" s="24" t="b">
        <v>0</v>
      </c>
      <c r="O29" s="25" t="str">
        <f>HYPERLINK("https://www.cardmarket.com/en/Pokemon/Products/Singles?idCategory=1&amp;idProduct=sv9-35", "CM")</f>
        <v>CM</v>
      </c>
    </row>
    <row r="30" ht="7.5" customHeight="1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</row>
    <row r="31" ht="18.75" customHeight="1">
      <c r="A31" s="18" t="s">
        <v>567</v>
      </c>
      <c r="B31" s="19" t="s">
        <v>2189</v>
      </c>
      <c r="C31" s="20"/>
      <c r="D31" s="18" t="s">
        <v>569</v>
      </c>
      <c r="E31" s="19" t="s">
        <v>2190</v>
      </c>
      <c r="F31" s="20"/>
      <c r="G31" s="18" t="s">
        <v>571</v>
      </c>
      <c r="H31" s="19" t="s">
        <v>1767</v>
      </c>
      <c r="I31" s="20"/>
      <c r="J31" s="18" t="s">
        <v>573</v>
      </c>
      <c r="K31" s="19" t="s">
        <v>546</v>
      </c>
      <c r="L31" s="20"/>
      <c r="M31" s="18" t="s">
        <v>575</v>
      </c>
      <c r="N31" s="19" t="s">
        <v>975</v>
      </c>
      <c r="O31" s="20"/>
    </row>
    <row r="32" ht="180.0" customHeight="1">
      <c r="A32" s="21" t="str">
        <f>IMAGE("https://assets.tcgdex.net/de/sv/sv09/036/low.jpg", 1)</f>
        <v/>
      </c>
      <c r="B32" s="22"/>
      <c r="C32" s="20"/>
      <c r="D32" s="21" t="str">
        <f>IMAGE("https://assets.tcgdex.net/de/sv/sv09/037/low.jpg", 1)</f>
        <v/>
      </c>
      <c r="E32" s="22"/>
      <c r="F32" s="20"/>
      <c r="G32" s="21" t="str">
        <f>IMAGE("https://assets.tcgdex.net/de/sv/sv09/038/low.jpg", 1)</f>
        <v/>
      </c>
      <c r="H32" s="22"/>
      <c r="I32" s="20"/>
      <c r="J32" s="21" t="str">
        <f>IMAGE("https://assets.tcgdex.net/de/sv/sv09/039/low.jpg", 1)</f>
        <v/>
      </c>
      <c r="K32" s="22"/>
      <c r="L32" s="20"/>
      <c r="M32" s="21" t="str">
        <f>IMAGE("https://assets.tcgdex.net/de/sv/sv09/040/low.jpg", 1)</f>
        <v/>
      </c>
      <c r="N32" s="22"/>
      <c r="O32" s="20"/>
    </row>
    <row r="33" ht="22.5" customHeight="1">
      <c r="A33" s="23" t="b">
        <v>0</v>
      </c>
      <c r="B33" s="24" t="b">
        <v>0</v>
      </c>
      <c r="C33" s="25" t="str">
        <f>HYPERLINK("https://www.cardmarket.com/en/Pokemon/Products/Singles?idCategory=1&amp;idProduct=sv9-36", "CM")</f>
        <v>CM</v>
      </c>
      <c r="D33" s="23" t="b">
        <v>0</v>
      </c>
      <c r="E33" s="24" t="b">
        <v>0</v>
      </c>
      <c r="F33" s="25" t="str">
        <f>HYPERLINK("https://www.cardmarket.com/en/Pokemon/Products/Singles?idCategory=1&amp;idProduct=sv9-37", "CM")</f>
        <v>CM</v>
      </c>
      <c r="G33" s="23" t="b">
        <v>0</v>
      </c>
      <c r="H33" s="24" t="b">
        <v>0</v>
      </c>
      <c r="I33" s="25" t="str">
        <f>HYPERLINK("https://www.cardmarket.com/en/Pokemon/Products/Singles?idCategory=1&amp;idProduct=sv9-38", "CM")</f>
        <v>CM</v>
      </c>
      <c r="J33" s="23" t="b">
        <v>0</v>
      </c>
      <c r="K33" s="24" t="b">
        <v>0</v>
      </c>
      <c r="L33" s="25" t="str">
        <f>HYPERLINK("https://www.cardmarket.com/en/Pokemon/Products/Singles?idCategory=1&amp;idProduct=sv9-39", "CM")</f>
        <v>CM</v>
      </c>
      <c r="M33" s="23" t="b">
        <v>0</v>
      </c>
      <c r="N33" s="24" t="b">
        <v>0</v>
      </c>
      <c r="O33" s="25" t="str">
        <f>HYPERLINK("https://www.cardmarket.com/en/Pokemon/Products/Singles?idCategory=1&amp;idProduct=sv9-40", "CM")</f>
        <v>CM</v>
      </c>
    </row>
    <row r="34" ht="7.5" customHeight="1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</row>
    <row r="35" ht="18.75" customHeight="1">
      <c r="A35" s="18" t="s">
        <v>577</v>
      </c>
      <c r="B35" s="19" t="s">
        <v>919</v>
      </c>
      <c r="C35" s="20"/>
      <c r="D35" s="18" t="s">
        <v>579</v>
      </c>
      <c r="E35" s="19" t="s">
        <v>2191</v>
      </c>
      <c r="F35" s="20"/>
      <c r="G35" s="18" t="s">
        <v>763</v>
      </c>
      <c r="H35" s="19" t="s">
        <v>2192</v>
      </c>
      <c r="I35" s="20"/>
      <c r="J35" s="18" t="s">
        <v>765</v>
      </c>
      <c r="K35" s="19" t="s">
        <v>2193</v>
      </c>
      <c r="L35" s="20"/>
      <c r="M35" s="18" t="s">
        <v>581</v>
      </c>
      <c r="N35" s="19" t="s">
        <v>2194</v>
      </c>
      <c r="O35" s="20"/>
    </row>
    <row r="36" ht="180.0" customHeight="1">
      <c r="A36" s="21" t="str">
        <f>IMAGE("https://assets.tcgdex.net/de/sv/sv09/041/low.jpg", 1)</f>
        <v/>
      </c>
      <c r="B36" s="22"/>
      <c r="C36" s="20"/>
      <c r="D36" s="21" t="str">
        <f>IMAGE("https://assets.tcgdex.net/de/sv/sv09/042/low.jpg", 1)</f>
        <v/>
      </c>
      <c r="E36" s="22"/>
      <c r="F36" s="20"/>
      <c r="G36" s="21" t="str">
        <f>IMAGE("https://assets.tcgdex.net/de/sv/sv09/043/low.jpg", 1)</f>
        <v/>
      </c>
      <c r="H36" s="22"/>
      <c r="I36" s="20"/>
      <c r="J36" s="21" t="str">
        <f>IMAGE("https://assets.tcgdex.net/de/sv/sv09/044/low.jpg", 1)</f>
        <v/>
      </c>
      <c r="K36" s="22"/>
      <c r="L36" s="20"/>
      <c r="M36" s="21" t="str">
        <f>IMAGE("https://assets.tcgdex.net/de/sv/sv09/045/low.jpg", 1)</f>
        <v/>
      </c>
      <c r="N36" s="22"/>
      <c r="O36" s="20"/>
    </row>
    <row r="37" ht="22.5" customHeight="1">
      <c r="A37" s="23" t="b">
        <v>0</v>
      </c>
      <c r="B37" s="24" t="b">
        <v>0</v>
      </c>
      <c r="C37" s="25" t="str">
        <f>HYPERLINK("https://www.cardmarket.com/en/Pokemon/Products/Singles?idCategory=1&amp;idProduct=sv9-41", "CM")</f>
        <v>CM</v>
      </c>
      <c r="D37" s="23" t="b">
        <v>0</v>
      </c>
      <c r="E37" s="24" t="b">
        <v>0</v>
      </c>
      <c r="F37" s="25" t="str">
        <f>HYPERLINK("https://www.cardmarket.com/en/Pokemon/Products/Singles?idCategory=1&amp;idProduct=sv9-42", "CM")</f>
        <v>CM</v>
      </c>
      <c r="G37" s="23" t="b">
        <v>0</v>
      </c>
      <c r="H37" s="24" t="b">
        <v>0</v>
      </c>
      <c r="I37" s="25" t="str">
        <f>HYPERLINK("https://www.cardmarket.com/en/Pokemon/Products/Singles?idCategory=1&amp;idProduct=sv9-43", "CM")</f>
        <v>CM</v>
      </c>
      <c r="J37" s="23" t="b">
        <v>0</v>
      </c>
      <c r="K37" s="24" t="b">
        <v>0</v>
      </c>
      <c r="L37" s="25" t="str">
        <f>HYPERLINK("https://www.cardmarket.com/en/Pokemon/Products/Singles?idCategory=1&amp;idProduct=sv9-44", "CM")</f>
        <v>CM</v>
      </c>
      <c r="M37" s="23" t="b">
        <v>0</v>
      </c>
      <c r="N37" s="24" t="b">
        <v>0</v>
      </c>
      <c r="O37" s="25" t="str">
        <f>HYPERLINK("https://www.cardmarket.com/en/Pokemon/Products/Singles?idCategory=1&amp;idProduct=sv9-45", "CM")</f>
        <v>CM</v>
      </c>
    </row>
    <row r="38" ht="7.5" customHeight="1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</row>
    <row r="39" ht="18.75" customHeight="1">
      <c r="A39" s="18" t="s">
        <v>767</v>
      </c>
      <c r="B39" s="19" t="s">
        <v>2195</v>
      </c>
      <c r="C39" s="20"/>
      <c r="D39" s="18" t="s">
        <v>769</v>
      </c>
      <c r="E39" s="19" t="s">
        <v>2196</v>
      </c>
      <c r="F39" s="20"/>
      <c r="G39" s="18" t="s">
        <v>770</v>
      </c>
      <c r="H39" s="19" t="s">
        <v>2197</v>
      </c>
      <c r="I39" s="20"/>
      <c r="J39" s="18" t="s">
        <v>772</v>
      </c>
      <c r="K39" s="19" t="s">
        <v>2198</v>
      </c>
      <c r="L39" s="20"/>
      <c r="M39" s="18" t="s">
        <v>774</v>
      </c>
      <c r="N39" s="19" t="s">
        <v>1442</v>
      </c>
      <c r="O39" s="20"/>
    </row>
    <row r="40" ht="180.0" customHeight="1">
      <c r="A40" s="21" t="str">
        <f>IMAGE("https://assets.tcgdex.net/de/sv/sv09/046/low.jpg", 1)</f>
        <v/>
      </c>
      <c r="B40" s="22"/>
      <c r="C40" s="20"/>
      <c r="D40" s="21" t="str">
        <f>IMAGE("https://assets.tcgdex.net/de/sv/sv09/047/low.jpg", 1)</f>
        <v/>
      </c>
      <c r="E40" s="22"/>
      <c r="F40" s="20"/>
      <c r="G40" s="21" t="str">
        <f>IMAGE("https://assets.tcgdex.net/de/sv/sv09/048/low.jpg", 1)</f>
        <v/>
      </c>
      <c r="H40" s="22"/>
      <c r="I40" s="20"/>
      <c r="J40" s="21" t="str">
        <f>IMAGE("https://assets.tcgdex.net/de/sv/sv09/049/low.jpg", 1)</f>
        <v/>
      </c>
      <c r="K40" s="22"/>
      <c r="L40" s="20"/>
      <c r="M40" s="21" t="str">
        <f>IMAGE("https://assets.tcgdex.net/de/sv/sv09/050/low.jpg", 1)</f>
        <v/>
      </c>
      <c r="N40" s="22"/>
      <c r="O40" s="20"/>
    </row>
    <row r="41" ht="22.5" customHeight="1">
      <c r="A41" s="23" t="b">
        <v>0</v>
      </c>
      <c r="B41" s="24" t="b">
        <v>0</v>
      </c>
      <c r="C41" s="25" t="str">
        <f>HYPERLINK("https://www.cardmarket.com/en/Pokemon/Products/Singles?idCategory=1&amp;idProduct=sv9-46", "CM")</f>
        <v>CM</v>
      </c>
      <c r="D41" s="23" t="b">
        <v>0</v>
      </c>
      <c r="E41" s="24" t="b">
        <v>0</v>
      </c>
      <c r="F41" s="25" t="str">
        <f>HYPERLINK("https://www.cardmarket.com/en/Pokemon/Products/Singles?idCategory=1&amp;idProduct=sv9-47", "CM")</f>
        <v>CM</v>
      </c>
      <c r="G41" s="23" t="b">
        <v>0</v>
      </c>
      <c r="H41" s="24" t="b">
        <v>0</v>
      </c>
      <c r="I41" s="25" t="str">
        <f>HYPERLINK("https://www.cardmarket.com/en/Pokemon/Products/Singles?idCategory=1&amp;idProduct=sv9-48", "CM")</f>
        <v>CM</v>
      </c>
      <c r="J41" s="23" t="b">
        <v>0</v>
      </c>
      <c r="K41" s="24" t="b">
        <v>0</v>
      </c>
      <c r="L41" s="25" t="str">
        <f>HYPERLINK("https://www.cardmarket.com/en/Pokemon/Products/Singles?idCategory=1&amp;idProduct=sv9-49", "CM")</f>
        <v>CM</v>
      </c>
      <c r="M41" s="23" t="b">
        <v>0</v>
      </c>
      <c r="N41" s="24" t="b">
        <v>0</v>
      </c>
      <c r="O41" s="25" t="str">
        <f>HYPERLINK("https://www.cardmarket.com/en/Pokemon/Products/Singles?idCategory=1&amp;idProduct=sv9-50", "CM")</f>
        <v>CM</v>
      </c>
    </row>
    <row r="42" ht="7.5" customHeight="1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</row>
    <row r="43" ht="18.75" customHeight="1">
      <c r="A43" s="18" t="s">
        <v>776</v>
      </c>
      <c r="B43" s="19" t="s">
        <v>1634</v>
      </c>
      <c r="C43" s="20"/>
      <c r="D43" s="18" t="s">
        <v>778</v>
      </c>
      <c r="E43" s="19" t="s">
        <v>2199</v>
      </c>
      <c r="F43" s="20"/>
      <c r="G43" s="18" t="s">
        <v>780</v>
      </c>
      <c r="H43" s="19" t="s">
        <v>714</v>
      </c>
      <c r="I43" s="20"/>
      <c r="J43" s="18" t="s">
        <v>583</v>
      </c>
      <c r="K43" s="19" t="s">
        <v>2200</v>
      </c>
      <c r="L43" s="20"/>
      <c r="M43" s="18" t="s">
        <v>585</v>
      </c>
      <c r="N43" s="19" t="s">
        <v>706</v>
      </c>
      <c r="O43" s="20"/>
    </row>
    <row r="44" ht="180.0" customHeight="1">
      <c r="A44" s="21" t="str">
        <f>IMAGE("https://assets.tcgdex.net/de/sv/sv09/051/low.jpg", 1)</f>
        <v/>
      </c>
      <c r="B44" s="22"/>
      <c r="C44" s="20"/>
      <c r="D44" s="21" t="str">
        <f>IMAGE("https://assets.tcgdex.net/de/sv/sv09/052/low.jpg", 1)</f>
        <v/>
      </c>
      <c r="E44" s="22"/>
      <c r="F44" s="20"/>
      <c r="G44" s="21" t="str">
        <f>IMAGE("https://assets.tcgdex.net/de/sv/sv09/053/low.jpg", 1)</f>
        <v/>
      </c>
      <c r="H44" s="22"/>
      <c r="I44" s="20"/>
      <c r="J44" s="21" t="str">
        <f>IMAGE("https://assets.tcgdex.net/de/sv/sv09/054/low.jpg", 1)</f>
        <v/>
      </c>
      <c r="K44" s="22"/>
      <c r="L44" s="20"/>
      <c r="M44" s="21" t="str">
        <f>IMAGE("https://assets.tcgdex.net/de/sv/sv09/055/low.jpg", 1)</f>
        <v/>
      </c>
      <c r="N44" s="22"/>
      <c r="O44" s="20"/>
    </row>
    <row r="45" ht="22.5" customHeight="1">
      <c r="A45" s="23" t="b">
        <v>0</v>
      </c>
      <c r="B45" s="24" t="b">
        <v>0</v>
      </c>
      <c r="C45" s="25" t="str">
        <f>HYPERLINK("https://www.cardmarket.com/en/Pokemon/Products/Singles?idCategory=1&amp;idProduct=sv9-51", "CM")</f>
        <v>CM</v>
      </c>
      <c r="D45" s="23" t="b">
        <v>0</v>
      </c>
      <c r="E45" s="24" t="b">
        <v>0</v>
      </c>
      <c r="F45" s="25" t="str">
        <f>HYPERLINK("https://www.cardmarket.com/en/Pokemon/Products/Singles?idCategory=1&amp;idProduct=sv9-52", "CM")</f>
        <v>CM</v>
      </c>
      <c r="G45" s="23" t="b">
        <v>0</v>
      </c>
      <c r="H45" s="24" t="b">
        <v>0</v>
      </c>
      <c r="I45" s="25" t="str">
        <f>HYPERLINK("https://www.cardmarket.com/en/Pokemon/Products/Singles?idCategory=1&amp;idProduct=sv9-53", "CM")</f>
        <v>CM</v>
      </c>
      <c r="J45" s="23" t="b">
        <v>0</v>
      </c>
      <c r="K45" s="24" t="b">
        <v>0</v>
      </c>
      <c r="L45" s="25" t="str">
        <f>HYPERLINK("https://www.cardmarket.com/en/Pokemon/Products/Singles?idCategory=1&amp;idProduct=sv9-54", "CM")</f>
        <v>CM</v>
      </c>
      <c r="M45" s="23" t="b">
        <v>0</v>
      </c>
      <c r="N45" s="24" t="b">
        <v>0</v>
      </c>
      <c r="O45" s="25" t="str">
        <f>HYPERLINK("https://www.cardmarket.com/en/Pokemon/Products/Singles?idCategory=1&amp;idProduct=sv9-55", "CM")</f>
        <v>CM</v>
      </c>
    </row>
    <row r="46" ht="7.5" customHeight="1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</row>
    <row r="47" ht="18.75" customHeight="1">
      <c r="A47" s="18" t="s">
        <v>782</v>
      </c>
      <c r="B47" s="19" t="s">
        <v>716</v>
      </c>
      <c r="C47" s="20"/>
      <c r="D47" s="18" t="s">
        <v>587</v>
      </c>
      <c r="E47" s="19" t="s">
        <v>2201</v>
      </c>
      <c r="F47" s="20"/>
      <c r="G47" s="18" t="s">
        <v>589</v>
      </c>
      <c r="H47" s="19" t="s">
        <v>1560</v>
      </c>
      <c r="I47" s="20"/>
      <c r="J47" s="18" t="s">
        <v>591</v>
      </c>
      <c r="K47" s="19" t="s">
        <v>1276</v>
      </c>
      <c r="L47" s="20"/>
      <c r="M47" s="18" t="s">
        <v>593</v>
      </c>
      <c r="N47" s="19" t="s">
        <v>2202</v>
      </c>
      <c r="O47" s="20"/>
    </row>
    <row r="48" ht="180.0" customHeight="1">
      <c r="A48" s="21" t="str">
        <f>IMAGE("https://assets.tcgdex.net/de/sv/sv09/056/low.jpg", 1)</f>
        <v/>
      </c>
      <c r="B48" s="22"/>
      <c r="C48" s="20"/>
      <c r="D48" s="21" t="str">
        <f>IMAGE("https://assets.tcgdex.net/de/sv/sv09/057/low.jpg", 1)</f>
        <v/>
      </c>
      <c r="E48" s="22"/>
      <c r="F48" s="20"/>
      <c r="G48" s="21" t="str">
        <f>IMAGE("https://assets.tcgdex.net/de/sv/sv09/058/low.jpg", 1)</f>
        <v/>
      </c>
      <c r="H48" s="22"/>
      <c r="I48" s="20"/>
      <c r="J48" s="21" t="str">
        <f>IMAGE("https://assets.tcgdex.net/de/sv/sv09/059/low.jpg", 1)</f>
        <v/>
      </c>
      <c r="K48" s="22"/>
      <c r="L48" s="20"/>
      <c r="M48" s="21" t="str">
        <f>IMAGE("https://assets.tcgdex.net/de/sv/sv09/060/low.jpg", 1)</f>
        <v/>
      </c>
      <c r="N48" s="22"/>
      <c r="O48" s="20"/>
    </row>
    <row r="49" ht="22.5" customHeight="1">
      <c r="A49" s="23" t="b">
        <v>0</v>
      </c>
      <c r="B49" s="24" t="b">
        <v>0</v>
      </c>
      <c r="C49" s="25" t="str">
        <f>HYPERLINK("https://www.cardmarket.com/en/Pokemon/Products/Singles?idCategory=1&amp;idProduct=sv9-56", "CM")</f>
        <v>CM</v>
      </c>
      <c r="D49" s="23" t="b">
        <v>0</v>
      </c>
      <c r="E49" s="24" t="b">
        <v>0</v>
      </c>
      <c r="F49" s="25" t="str">
        <f>HYPERLINK("https://www.cardmarket.com/en/Pokemon/Products/Singles?idCategory=1&amp;idProduct=sv9-57", "CM")</f>
        <v>CM</v>
      </c>
      <c r="G49" s="23" t="b">
        <v>0</v>
      </c>
      <c r="H49" s="24" t="b">
        <v>0</v>
      </c>
      <c r="I49" s="25" t="str">
        <f>HYPERLINK("https://www.cardmarket.com/en/Pokemon/Products/Singles?idCategory=1&amp;idProduct=sv9-58", "CM")</f>
        <v>CM</v>
      </c>
      <c r="J49" s="23" t="b">
        <v>0</v>
      </c>
      <c r="K49" s="24" t="b">
        <v>0</v>
      </c>
      <c r="L49" s="25" t="str">
        <f>HYPERLINK("https://www.cardmarket.com/en/Pokemon/Products/Singles?idCategory=1&amp;idProduct=sv9-59", "CM")</f>
        <v>CM</v>
      </c>
      <c r="M49" s="23" t="b">
        <v>0</v>
      </c>
      <c r="N49" s="24" t="b">
        <v>0</v>
      </c>
      <c r="O49" s="25" t="str">
        <f>HYPERLINK("https://www.cardmarket.com/en/Pokemon/Products/Singles?idCategory=1&amp;idProduct=sv9-60", "CM")</f>
        <v>CM</v>
      </c>
    </row>
    <row r="50" ht="7.5" customHeight="1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</row>
    <row r="51" ht="18.75" customHeight="1">
      <c r="A51" s="18" t="s">
        <v>595</v>
      </c>
      <c r="B51" s="19" t="s">
        <v>1834</v>
      </c>
      <c r="C51" s="20"/>
      <c r="D51" s="18" t="s">
        <v>597</v>
      </c>
      <c r="E51" s="19" t="s">
        <v>620</v>
      </c>
      <c r="F51" s="20"/>
      <c r="G51" s="18" t="s">
        <v>784</v>
      </c>
      <c r="H51" s="19" t="s">
        <v>1835</v>
      </c>
      <c r="I51" s="20"/>
      <c r="J51" s="18" t="s">
        <v>786</v>
      </c>
      <c r="K51" s="19" t="s">
        <v>2203</v>
      </c>
      <c r="L51" s="20"/>
      <c r="M51" s="18" t="s">
        <v>788</v>
      </c>
      <c r="N51" s="19" t="s">
        <v>1633</v>
      </c>
      <c r="O51" s="20"/>
    </row>
    <row r="52" ht="180.0" customHeight="1">
      <c r="A52" s="21" t="str">
        <f>IMAGE("https://assets.tcgdex.net/de/sv/sv09/061/low.jpg", 1)</f>
        <v/>
      </c>
      <c r="B52" s="22"/>
      <c r="C52" s="20"/>
      <c r="D52" s="21" t="str">
        <f>IMAGE("https://assets.tcgdex.net/de/sv/sv09/062/low.jpg", 1)</f>
        <v/>
      </c>
      <c r="E52" s="22"/>
      <c r="F52" s="20"/>
      <c r="G52" s="21" t="str">
        <f>IMAGE("https://assets.tcgdex.net/de/sv/sv09/063/low.jpg", 1)</f>
        <v/>
      </c>
      <c r="H52" s="22"/>
      <c r="I52" s="20"/>
      <c r="J52" s="21" t="str">
        <f>IMAGE("https://assets.tcgdex.net/de/sv/sv09/064/low.jpg", 1)</f>
        <v/>
      </c>
      <c r="K52" s="22"/>
      <c r="L52" s="20"/>
      <c r="M52" s="21" t="str">
        <f>IMAGE("https://assets.tcgdex.net/de/sv/sv09/065/low.jpg", 1)</f>
        <v/>
      </c>
      <c r="N52" s="22"/>
      <c r="O52" s="20"/>
    </row>
    <row r="53" ht="22.5" customHeight="1">
      <c r="A53" s="23" t="b">
        <v>0</v>
      </c>
      <c r="B53" s="24" t="b">
        <v>0</v>
      </c>
      <c r="C53" s="25" t="str">
        <f>HYPERLINK("https://www.cardmarket.com/en/Pokemon/Products/Singles?idCategory=1&amp;idProduct=sv9-61", "CM")</f>
        <v>CM</v>
      </c>
      <c r="D53" s="23" t="b">
        <v>0</v>
      </c>
      <c r="E53" s="24" t="b">
        <v>0</v>
      </c>
      <c r="F53" s="25" t="str">
        <f>HYPERLINK("https://www.cardmarket.com/en/Pokemon/Products/Singles?idCategory=1&amp;idProduct=sv9-62", "CM")</f>
        <v>CM</v>
      </c>
      <c r="G53" s="23" t="b">
        <v>0</v>
      </c>
      <c r="H53" s="24" t="b">
        <v>0</v>
      </c>
      <c r="I53" s="25" t="str">
        <f>HYPERLINK("https://www.cardmarket.com/en/Pokemon/Products/Singles?idCategory=1&amp;idProduct=sv9-63", "CM")</f>
        <v>CM</v>
      </c>
      <c r="J53" s="23" t="b">
        <v>0</v>
      </c>
      <c r="K53" s="24" t="b">
        <v>0</v>
      </c>
      <c r="L53" s="25" t="str">
        <f>HYPERLINK("https://www.cardmarket.com/en/Pokemon/Products/Singles?idCategory=1&amp;idProduct=sv9-64", "CM")</f>
        <v>CM</v>
      </c>
      <c r="M53" s="23" t="b">
        <v>0</v>
      </c>
      <c r="N53" s="24" t="b">
        <v>0</v>
      </c>
      <c r="O53" s="25" t="str">
        <f>HYPERLINK("https://www.cardmarket.com/en/Pokemon/Products/Singles?idCategory=1&amp;idProduct=sv9-65", "CM")</f>
        <v>CM</v>
      </c>
    </row>
    <row r="54" ht="7.5" customHeight="1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</row>
    <row r="55" ht="18.75" customHeight="1">
      <c r="A55" s="18" t="s">
        <v>790</v>
      </c>
      <c r="B55" s="19" t="s">
        <v>2204</v>
      </c>
      <c r="C55" s="20"/>
      <c r="D55" s="18" t="s">
        <v>791</v>
      </c>
      <c r="E55" s="19" t="s">
        <v>891</v>
      </c>
      <c r="F55" s="20"/>
      <c r="G55" s="18" t="s">
        <v>793</v>
      </c>
      <c r="H55" s="19" t="s">
        <v>2205</v>
      </c>
      <c r="I55" s="20"/>
      <c r="J55" s="18" t="s">
        <v>795</v>
      </c>
      <c r="K55" s="19" t="s">
        <v>741</v>
      </c>
      <c r="L55" s="20"/>
      <c r="M55" s="18" t="s">
        <v>797</v>
      </c>
      <c r="N55" s="19" t="s">
        <v>1783</v>
      </c>
      <c r="O55" s="20"/>
    </row>
    <row r="56" ht="180.0" customHeight="1">
      <c r="A56" s="21" t="str">
        <f>IMAGE("https://assets.tcgdex.net/de/sv/sv09/066/low.jpg", 1)</f>
        <v/>
      </c>
      <c r="B56" s="22"/>
      <c r="C56" s="20"/>
      <c r="D56" s="21" t="str">
        <f>IMAGE("https://assets.tcgdex.net/de/sv/sv09/067/low.jpg", 1)</f>
        <v/>
      </c>
      <c r="E56" s="22"/>
      <c r="F56" s="20"/>
      <c r="G56" s="21" t="str">
        <f>IMAGE("https://assets.tcgdex.net/de/sv/sv09/068/low.jpg", 1)</f>
        <v/>
      </c>
      <c r="H56" s="22"/>
      <c r="I56" s="20"/>
      <c r="J56" s="21" t="str">
        <f>IMAGE("https://assets.tcgdex.net/de/sv/sv09/069/low.jpg", 1)</f>
        <v/>
      </c>
      <c r="K56" s="22"/>
      <c r="L56" s="20"/>
      <c r="M56" s="21" t="str">
        <f>IMAGE("https://assets.tcgdex.net/de/sv/sv09/070/low.jpg", 1)</f>
        <v/>
      </c>
      <c r="N56" s="22"/>
      <c r="O56" s="20"/>
    </row>
    <row r="57" ht="22.5" customHeight="1">
      <c r="A57" s="23" t="b">
        <v>0</v>
      </c>
      <c r="B57" s="24" t="b">
        <v>0</v>
      </c>
      <c r="C57" s="25" t="str">
        <f>HYPERLINK("https://www.cardmarket.com/en/Pokemon/Products/Singles?idCategory=1&amp;idProduct=sv9-66", "CM")</f>
        <v>CM</v>
      </c>
      <c r="D57" s="23" t="b">
        <v>0</v>
      </c>
      <c r="E57" s="24" t="b">
        <v>0</v>
      </c>
      <c r="F57" s="25" t="str">
        <f>HYPERLINK("https://www.cardmarket.com/en/Pokemon/Products/Singles?idCategory=1&amp;idProduct=sv9-67", "CM")</f>
        <v>CM</v>
      </c>
      <c r="G57" s="23" t="b">
        <v>0</v>
      </c>
      <c r="H57" s="24" t="b">
        <v>0</v>
      </c>
      <c r="I57" s="25" t="str">
        <f>HYPERLINK("https://www.cardmarket.com/en/Pokemon/Products/Singles?idCategory=1&amp;idProduct=sv9-68", "CM")</f>
        <v>CM</v>
      </c>
      <c r="J57" s="23" t="b">
        <v>0</v>
      </c>
      <c r="K57" s="24" t="b">
        <v>0</v>
      </c>
      <c r="L57" s="25" t="str">
        <f>HYPERLINK("https://www.cardmarket.com/en/Pokemon/Products/Singles?idCategory=1&amp;idProduct=sv9-69", "CM")</f>
        <v>CM</v>
      </c>
      <c r="M57" s="23" t="b">
        <v>0</v>
      </c>
      <c r="N57" s="24" t="b">
        <v>0</v>
      </c>
      <c r="O57" s="25" t="str">
        <f>HYPERLINK("https://www.cardmarket.com/en/Pokemon/Products/Singles?idCategory=1&amp;idProduct=sv9-70", "CM")</f>
        <v>CM</v>
      </c>
    </row>
    <row r="58" ht="7.5" customHeight="1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</row>
    <row r="59" ht="18.75" customHeight="1">
      <c r="A59" s="18" t="s">
        <v>799</v>
      </c>
      <c r="B59" s="19" t="s">
        <v>2022</v>
      </c>
      <c r="C59" s="20"/>
      <c r="D59" s="18" t="s">
        <v>801</v>
      </c>
      <c r="E59" s="19" t="s">
        <v>2023</v>
      </c>
      <c r="F59" s="20"/>
      <c r="G59" s="18" t="s">
        <v>803</v>
      </c>
      <c r="H59" s="19" t="s">
        <v>2024</v>
      </c>
      <c r="I59" s="20"/>
      <c r="J59" s="18" t="s">
        <v>805</v>
      </c>
      <c r="K59" s="19" t="s">
        <v>2012</v>
      </c>
      <c r="L59" s="20"/>
      <c r="M59" s="18" t="s">
        <v>806</v>
      </c>
      <c r="N59" s="19" t="s">
        <v>2206</v>
      </c>
      <c r="O59" s="20"/>
    </row>
    <row r="60" ht="180.0" customHeight="1">
      <c r="A60" s="21" t="str">
        <f>IMAGE("https://assets.tcgdex.net/de/sv/sv09/071/low.jpg", 1)</f>
        <v/>
      </c>
      <c r="B60" s="22"/>
      <c r="C60" s="20"/>
      <c r="D60" s="21" t="str">
        <f>IMAGE("https://assets.tcgdex.net/de/sv/sv09/072/low.jpg", 1)</f>
        <v/>
      </c>
      <c r="E60" s="22"/>
      <c r="F60" s="20"/>
      <c r="G60" s="21" t="str">
        <f>IMAGE("https://assets.tcgdex.net/de/sv/sv09/073/low.jpg", 1)</f>
        <v/>
      </c>
      <c r="H60" s="22"/>
      <c r="I60" s="20"/>
      <c r="J60" s="21" t="str">
        <f>IMAGE("https://assets.tcgdex.net/de/sv/sv09/074/low.jpg", 1)</f>
        <v/>
      </c>
      <c r="K60" s="22"/>
      <c r="L60" s="20"/>
      <c r="M60" s="21" t="str">
        <f>IMAGE("https://assets.tcgdex.net/de/sv/sv09/075/low.jpg", 1)</f>
        <v/>
      </c>
      <c r="N60" s="22"/>
      <c r="O60" s="20"/>
    </row>
    <row r="61" ht="22.5" customHeight="1">
      <c r="A61" s="23" t="b">
        <v>0</v>
      </c>
      <c r="B61" s="24" t="b">
        <v>0</v>
      </c>
      <c r="C61" s="25" t="str">
        <f>HYPERLINK("https://www.cardmarket.com/en/Pokemon/Products/Singles?idCategory=1&amp;idProduct=sv9-71", "CM")</f>
        <v>CM</v>
      </c>
      <c r="D61" s="23" t="b">
        <v>0</v>
      </c>
      <c r="E61" s="24" t="b">
        <v>0</v>
      </c>
      <c r="F61" s="25" t="str">
        <f>HYPERLINK("https://www.cardmarket.com/en/Pokemon/Products/Singles?idCategory=1&amp;idProduct=sv9-72", "CM")</f>
        <v>CM</v>
      </c>
      <c r="G61" s="23" t="b">
        <v>0</v>
      </c>
      <c r="H61" s="24" t="b">
        <v>0</v>
      </c>
      <c r="I61" s="25" t="str">
        <f>HYPERLINK("https://www.cardmarket.com/en/Pokemon/Products/Singles?idCategory=1&amp;idProduct=sv9-73", "CM")</f>
        <v>CM</v>
      </c>
      <c r="J61" s="23" t="b">
        <v>0</v>
      </c>
      <c r="K61" s="24" t="b">
        <v>0</v>
      </c>
      <c r="L61" s="25" t="str">
        <f>HYPERLINK("https://www.cardmarket.com/en/Pokemon/Products/Singles?idCategory=1&amp;idProduct=sv9-74", "CM")</f>
        <v>CM</v>
      </c>
      <c r="M61" s="23" t="b">
        <v>0</v>
      </c>
      <c r="N61" s="24" t="b">
        <v>0</v>
      </c>
      <c r="O61" s="25" t="str">
        <f>HYPERLINK("https://www.cardmarket.com/en/Pokemon/Products/Singles?idCategory=1&amp;idProduct=sv9-75", "CM")</f>
        <v>CM</v>
      </c>
    </row>
    <row r="62" ht="7.5" customHeight="1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</row>
    <row r="63" ht="18.75" customHeight="1">
      <c r="A63" s="18" t="s">
        <v>808</v>
      </c>
      <c r="B63" s="19" t="s">
        <v>1547</v>
      </c>
      <c r="C63" s="20"/>
      <c r="D63" s="18" t="s">
        <v>809</v>
      </c>
      <c r="E63" s="19" t="s">
        <v>2207</v>
      </c>
      <c r="F63" s="20"/>
      <c r="G63" s="18" t="s">
        <v>811</v>
      </c>
      <c r="H63" s="19" t="s">
        <v>2208</v>
      </c>
      <c r="I63" s="20"/>
      <c r="J63" s="18" t="s">
        <v>599</v>
      </c>
      <c r="K63" s="19" t="s">
        <v>2209</v>
      </c>
      <c r="L63" s="20"/>
      <c r="M63" s="18" t="s">
        <v>601</v>
      </c>
      <c r="N63" s="19" t="s">
        <v>1419</v>
      </c>
      <c r="O63" s="20"/>
    </row>
    <row r="64" ht="180.0" customHeight="1">
      <c r="A64" s="21" t="str">
        <f>IMAGE("https://assets.tcgdex.net/de/sv/sv09/076/low.jpg", 1)</f>
        <v/>
      </c>
      <c r="B64" s="22"/>
      <c r="C64" s="20"/>
      <c r="D64" s="21" t="str">
        <f>IMAGE("https://assets.tcgdex.net/de/sv/sv09/077/low.jpg", 1)</f>
        <v/>
      </c>
      <c r="E64" s="22"/>
      <c r="F64" s="20"/>
      <c r="G64" s="21" t="str">
        <f>IMAGE("https://assets.tcgdex.net/de/sv/sv09/078/low.jpg", 1)</f>
        <v/>
      </c>
      <c r="H64" s="22"/>
      <c r="I64" s="20"/>
      <c r="J64" s="21" t="str">
        <f>IMAGE("https://assets.tcgdex.net/de/sv/sv09/079/low.jpg", 1)</f>
        <v/>
      </c>
      <c r="K64" s="22"/>
      <c r="L64" s="20"/>
      <c r="M64" s="21" t="str">
        <f>IMAGE("https://assets.tcgdex.net/de/sv/sv09/080/low.jpg", 1)</f>
        <v/>
      </c>
      <c r="N64" s="22"/>
      <c r="O64" s="20"/>
    </row>
    <row r="65" ht="22.5" customHeight="1">
      <c r="A65" s="23" t="b">
        <v>0</v>
      </c>
      <c r="B65" s="24" t="b">
        <v>0</v>
      </c>
      <c r="C65" s="25" t="str">
        <f>HYPERLINK("https://www.cardmarket.com/en/Pokemon/Products/Singles?idCategory=1&amp;idProduct=sv9-76", "CM")</f>
        <v>CM</v>
      </c>
      <c r="D65" s="23" t="b">
        <v>0</v>
      </c>
      <c r="E65" s="24" t="b">
        <v>0</v>
      </c>
      <c r="F65" s="25" t="str">
        <f>HYPERLINK("https://www.cardmarket.com/en/Pokemon/Products/Singles?idCategory=1&amp;idProduct=sv9-77", "CM")</f>
        <v>CM</v>
      </c>
      <c r="G65" s="23" t="b">
        <v>0</v>
      </c>
      <c r="H65" s="24" t="b">
        <v>0</v>
      </c>
      <c r="I65" s="25" t="str">
        <f>HYPERLINK("https://www.cardmarket.com/en/Pokemon/Products/Singles?idCategory=1&amp;idProduct=sv9-78", "CM")</f>
        <v>CM</v>
      </c>
      <c r="J65" s="23" t="b">
        <v>0</v>
      </c>
      <c r="K65" s="24" t="b">
        <v>0</v>
      </c>
      <c r="L65" s="25" t="str">
        <f>HYPERLINK("https://www.cardmarket.com/en/Pokemon/Products/Singles?idCategory=1&amp;idProduct=sv9-79", "CM")</f>
        <v>CM</v>
      </c>
      <c r="M65" s="23" t="b">
        <v>0</v>
      </c>
      <c r="N65" s="24" t="b">
        <v>0</v>
      </c>
      <c r="O65" s="25" t="str">
        <f>HYPERLINK("https://www.cardmarket.com/en/Pokemon/Products/Singles?idCategory=1&amp;idProduct=sv9-80", "CM")</f>
        <v>CM</v>
      </c>
    </row>
    <row r="66" ht="7.5" customHeight="1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</row>
    <row r="67" ht="18.75" customHeight="1">
      <c r="A67" s="18" t="s">
        <v>603</v>
      </c>
      <c r="B67" s="19" t="s">
        <v>660</v>
      </c>
      <c r="C67" s="20"/>
      <c r="D67" s="18" t="s">
        <v>604</v>
      </c>
      <c r="E67" s="19" t="s">
        <v>2210</v>
      </c>
      <c r="F67" s="20"/>
      <c r="G67" s="18" t="s">
        <v>606</v>
      </c>
      <c r="H67" s="19" t="s">
        <v>999</v>
      </c>
      <c r="I67" s="20"/>
      <c r="J67" s="18" t="s">
        <v>608</v>
      </c>
      <c r="K67" s="19" t="s">
        <v>1000</v>
      </c>
      <c r="L67" s="20"/>
      <c r="M67" s="18" t="s">
        <v>609</v>
      </c>
      <c r="N67" s="19" t="s">
        <v>1001</v>
      </c>
      <c r="O67" s="20"/>
    </row>
    <row r="68" ht="180.0" customHeight="1">
      <c r="A68" s="21" t="str">
        <f>IMAGE("https://assets.tcgdex.net/de/sv/sv09/081/low.jpg", 1)</f>
        <v/>
      </c>
      <c r="B68" s="22"/>
      <c r="C68" s="20"/>
      <c r="D68" s="21" t="str">
        <f>IMAGE("https://assets.tcgdex.net/de/sv/sv09/082/low.jpg", 1)</f>
        <v/>
      </c>
      <c r="E68" s="22"/>
      <c r="F68" s="20"/>
      <c r="G68" s="21" t="str">
        <f>IMAGE("https://assets.tcgdex.net/de/sv/sv09/083/low.jpg", 1)</f>
        <v/>
      </c>
      <c r="H68" s="22"/>
      <c r="I68" s="20"/>
      <c r="J68" s="21" t="str">
        <f>IMAGE("https://assets.tcgdex.net/de/sv/sv09/084/low.jpg", 1)</f>
        <v/>
      </c>
      <c r="K68" s="22"/>
      <c r="L68" s="20"/>
      <c r="M68" s="21" t="str">
        <f>IMAGE("https://assets.tcgdex.net/de/sv/sv09/085/low.jpg", 1)</f>
        <v/>
      </c>
      <c r="N68" s="22"/>
      <c r="O68" s="20"/>
    </row>
    <row r="69" ht="22.5" customHeight="1">
      <c r="A69" s="23" t="b">
        <v>0</v>
      </c>
      <c r="B69" s="24" t="b">
        <v>0</v>
      </c>
      <c r="C69" s="25" t="str">
        <f>HYPERLINK("https://www.cardmarket.com/en/Pokemon/Products/Singles?idCategory=1&amp;idProduct=sv9-81", "CM")</f>
        <v>CM</v>
      </c>
      <c r="D69" s="23" t="b">
        <v>0</v>
      </c>
      <c r="E69" s="24" t="b">
        <v>0</v>
      </c>
      <c r="F69" s="25" t="str">
        <f>HYPERLINK("https://www.cardmarket.com/en/Pokemon/Products/Singles?idCategory=1&amp;idProduct=sv9-82", "CM")</f>
        <v>CM</v>
      </c>
      <c r="G69" s="23" t="b">
        <v>0</v>
      </c>
      <c r="H69" s="24" t="b">
        <v>0</v>
      </c>
      <c r="I69" s="25" t="str">
        <f>HYPERLINK("https://www.cardmarket.com/en/Pokemon/Products/Singles?idCategory=1&amp;idProduct=sv9-83", "CM")</f>
        <v>CM</v>
      </c>
      <c r="J69" s="23" t="b">
        <v>0</v>
      </c>
      <c r="K69" s="24" t="b">
        <v>0</v>
      </c>
      <c r="L69" s="25" t="str">
        <f>HYPERLINK("https://www.cardmarket.com/en/Pokemon/Products/Singles?idCategory=1&amp;idProduct=sv9-84", "CM")</f>
        <v>CM</v>
      </c>
      <c r="M69" s="23" t="b">
        <v>0</v>
      </c>
      <c r="N69" s="24" t="b">
        <v>0</v>
      </c>
      <c r="O69" s="25" t="str">
        <f>HYPERLINK("https://www.cardmarket.com/en/Pokemon/Products/Singles?idCategory=1&amp;idProduct=sv9-85", "CM")</f>
        <v>CM</v>
      </c>
    </row>
    <row r="70" ht="7.5" customHeight="1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</row>
    <row r="71" ht="18.75" customHeight="1">
      <c r="A71" s="18" t="s">
        <v>611</v>
      </c>
      <c r="B71" s="19" t="s">
        <v>2211</v>
      </c>
      <c r="C71" s="20"/>
      <c r="D71" s="18" t="s">
        <v>613</v>
      </c>
      <c r="E71" s="19" t="s">
        <v>2212</v>
      </c>
      <c r="F71" s="20"/>
      <c r="G71" s="18" t="s">
        <v>615</v>
      </c>
      <c r="H71" s="19" t="s">
        <v>1252</v>
      </c>
      <c r="I71" s="20"/>
      <c r="J71" s="18" t="s">
        <v>617</v>
      </c>
      <c r="K71" s="19" t="s">
        <v>1210</v>
      </c>
      <c r="L71" s="20"/>
      <c r="M71" s="18" t="s">
        <v>619</v>
      </c>
      <c r="N71" s="19" t="s">
        <v>1224</v>
      </c>
      <c r="O71" s="20"/>
    </row>
    <row r="72" ht="180.0" customHeight="1">
      <c r="A72" s="21" t="str">
        <f>IMAGE("https://assets.tcgdex.net/de/sv/sv09/086/low.jpg", 1)</f>
        <v/>
      </c>
      <c r="B72" s="22"/>
      <c r="C72" s="20"/>
      <c r="D72" s="21" t="str">
        <f>IMAGE("https://assets.tcgdex.net/de/sv/sv09/087/low.jpg", 1)</f>
        <v/>
      </c>
      <c r="E72" s="22"/>
      <c r="F72" s="20"/>
      <c r="G72" s="21" t="str">
        <f>IMAGE("https://assets.tcgdex.net/de/sv/sv09/088/low.jpg", 1)</f>
        <v/>
      </c>
      <c r="H72" s="22"/>
      <c r="I72" s="20"/>
      <c r="J72" s="21" t="str">
        <f>IMAGE("https://assets.tcgdex.net/de/sv/sv09/089/low.jpg", 1)</f>
        <v/>
      </c>
      <c r="K72" s="22"/>
      <c r="L72" s="20"/>
      <c r="M72" s="21" t="str">
        <f>IMAGE("https://assets.tcgdex.net/de/sv/sv09/090/low.jpg", 1)</f>
        <v/>
      </c>
      <c r="N72" s="22"/>
      <c r="O72" s="20"/>
    </row>
    <row r="73" ht="22.5" customHeight="1">
      <c r="A73" s="23" t="b">
        <v>0</v>
      </c>
      <c r="B73" s="24" t="b">
        <v>0</v>
      </c>
      <c r="C73" s="25" t="str">
        <f>HYPERLINK("https://www.cardmarket.com/en/Pokemon/Products/Singles?idCategory=1&amp;idProduct=sv9-86", "CM")</f>
        <v>CM</v>
      </c>
      <c r="D73" s="23" t="b">
        <v>0</v>
      </c>
      <c r="E73" s="24" t="b">
        <v>0</v>
      </c>
      <c r="F73" s="25" t="str">
        <f>HYPERLINK("https://www.cardmarket.com/en/Pokemon/Products/Singles?idCategory=1&amp;idProduct=sv9-87", "CM")</f>
        <v>CM</v>
      </c>
      <c r="G73" s="23" t="b">
        <v>0</v>
      </c>
      <c r="H73" s="24" t="b">
        <v>0</v>
      </c>
      <c r="I73" s="25" t="str">
        <f>HYPERLINK("https://www.cardmarket.com/en/Pokemon/Products/Singles?idCategory=1&amp;idProduct=sv9-88", "CM")</f>
        <v>CM</v>
      </c>
      <c r="J73" s="23" t="b">
        <v>0</v>
      </c>
      <c r="K73" s="24" t="b">
        <v>0</v>
      </c>
      <c r="L73" s="25" t="str">
        <f>HYPERLINK("https://www.cardmarket.com/en/Pokemon/Products/Singles?idCategory=1&amp;idProduct=sv9-89", "CM")</f>
        <v>CM</v>
      </c>
      <c r="M73" s="23" t="b">
        <v>0</v>
      </c>
      <c r="N73" s="24" t="b">
        <v>0</v>
      </c>
      <c r="O73" s="25" t="str">
        <f>HYPERLINK("https://www.cardmarket.com/en/Pokemon/Products/Singles?idCategory=1&amp;idProduct=sv9-90", "CM")</f>
        <v>CM</v>
      </c>
    </row>
    <row r="74" ht="7.5" customHeight="1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</row>
    <row r="75" ht="18.75" customHeight="1">
      <c r="A75" s="18" t="s">
        <v>621</v>
      </c>
      <c r="B75" s="19" t="s">
        <v>1002</v>
      </c>
      <c r="C75" s="20"/>
      <c r="D75" s="18" t="s">
        <v>623</v>
      </c>
      <c r="E75" s="19" t="s">
        <v>1552</v>
      </c>
      <c r="F75" s="20"/>
      <c r="G75" s="18" t="s">
        <v>625</v>
      </c>
      <c r="H75" s="19" t="s">
        <v>578</v>
      </c>
      <c r="I75" s="20"/>
      <c r="J75" s="18" t="s">
        <v>627</v>
      </c>
      <c r="K75" s="19" t="s">
        <v>1744</v>
      </c>
      <c r="L75" s="20"/>
      <c r="M75" s="18" t="s">
        <v>812</v>
      </c>
      <c r="N75" s="19" t="s">
        <v>2213</v>
      </c>
      <c r="O75" s="20"/>
    </row>
    <row r="76" ht="180.0" customHeight="1">
      <c r="A76" s="21" t="str">
        <f>IMAGE("https://assets.tcgdex.net/de/sv/sv09/091/low.jpg", 1)</f>
        <v/>
      </c>
      <c r="B76" s="22"/>
      <c r="C76" s="20"/>
      <c r="D76" s="21" t="str">
        <f>IMAGE("https://assets.tcgdex.net/de/sv/sv09/092/low.jpg", 1)</f>
        <v/>
      </c>
      <c r="E76" s="22"/>
      <c r="F76" s="20"/>
      <c r="G76" s="21" t="str">
        <f>IMAGE("https://assets.tcgdex.net/de/sv/sv09/093/low.jpg", 1)</f>
        <v/>
      </c>
      <c r="H76" s="22"/>
      <c r="I76" s="20"/>
      <c r="J76" s="21" t="str">
        <f>IMAGE("https://assets.tcgdex.net/de/sv/sv09/094/low.jpg", 1)</f>
        <v/>
      </c>
      <c r="K76" s="22"/>
      <c r="L76" s="20"/>
      <c r="M76" s="21" t="str">
        <f>IMAGE("https://assets.tcgdex.net/de/sv/sv09/095/low.jpg", 1)</f>
        <v/>
      </c>
      <c r="N76" s="22"/>
      <c r="O76" s="20"/>
    </row>
    <row r="77" ht="22.5" customHeight="1">
      <c r="A77" s="23" t="b">
        <v>0</v>
      </c>
      <c r="B77" s="24" t="b">
        <v>0</v>
      </c>
      <c r="C77" s="25" t="str">
        <f>HYPERLINK("https://www.cardmarket.com/en/Pokemon/Products/Singles?idCategory=1&amp;idProduct=sv9-91", "CM")</f>
        <v>CM</v>
      </c>
      <c r="D77" s="23" t="b">
        <v>0</v>
      </c>
      <c r="E77" s="24" t="b">
        <v>0</v>
      </c>
      <c r="F77" s="25" t="str">
        <f>HYPERLINK("https://www.cardmarket.com/en/Pokemon/Products/Singles?idCategory=1&amp;idProduct=sv9-92", "CM")</f>
        <v>CM</v>
      </c>
      <c r="G77" s="23" t="b">
        <v>0</v>
      </c>
      <c r="H77" s="24" t="b">
        <v>0</v>
      </c>
      <c r="I77" s="25" t="str">
        <f>HYPERLINK("https://www.cardmarket.com/en/Pokemon/Products/Singles?idCategory=1&amp;idProduct=sv9-93", "CM")</f>
        <v>CM</v>
      </c>
      <c r="J77" s="23" t="b">
        <v>0</v>
      </c>
      <c r="K77" s="24" t="b">
        <v>0</v>
      </c>
      <c r="L77" s="25" t="str">
        <f>HYPERLINK("https://www.cardmarket.com/en/Pokemon/Products/Singles?idCategory=1&amp;idProduct=sv9-94", "CM")</f>
        <v>CM</v>
      </c>
      <c r="M77" s="23" t="b">
        <v>0</v>
      </c>
      <c r="N77" s="24" t="b">
        <v>0</v>
      </c>
      <c r="O77" s="25" t="str">
        <f>HYPERLINK("https://www.cardmarket.com/en/Pokemon/Products/Singles?idCategory=1&amp;idProduct=sv9-95", "CM")</f>
        <v>CM</v>
      </c>
    </row>
    <row r="78" ht="7.5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</row>
    <row r="79" ht="18.75" customHeight="1">
      <c r="A79" s="18" t="s">
        <v>813</v>
      </c>
      <c r="B79" s="19" t="s">
        <v>2214</v>
      </c>
      <c r="C79" s="20"/>
      <c r="D79" s="18" t="s">
        <v>815</v>
      </c>
      <c r="E79" s="19" t="s">
        <v>897</v>
      </c>
      <c r="F79" s="20"/>
      <c r="G79" s="18" t="s">
        <v>817</v>
      </c>
      <c r="H79" s="19" t="s">
        <v>2215</v>
      </c>
      <c r="I79" s="20"/>
      <c r="J79" s="18" t="s">
        <v>819</v>
      </c>
      <c r="K79" s="19" t="s">
        <v>932</v>
      </c>
      <c r="L79" s="20"/>
      <c r="M79" s="18" t="s">
        <v>821</v>
      </c>
      <c r="N79" s="19" t="s">
        <v>1667</v>
      </c>
      <c r="O79" s="20"/>
    </row>
    <row r="80" ht="180.0" customHeight="1">
      <c r="A80" s="21" t="str">
        <f>IMAGE("https://assets.tcgdex.net/de/sv/sv09/096/low.jpg", 1)</f>
        <v/>
      </c>
      <c r="B80" s="22"/>
      <c r="C80" s="20"/>
      <c r="D80" s="21" t="str">
        <f>IMAGE("https://assets.tcgdex.net/de/sv/sv09/097/low.jpg", 1)</f>
        <v/>
      </c>
      <c r="E80" s="22"/>
      <c r="F80" s="20"/>
      <c r="G80" s="21" t="str">
        <f>IMAGE("https://assets.tcgdex.net/de/sv/sv09/098/low.jpg", 1)</f>
        <v/>
      </c>
      <c r="H80" s="22"/>
      <c r="I80" s="20"/>
      <c r="J80" s="21" t="str">
        <f>IMAGE("https://assets.tcgdex.net/de/sv/sv09/099/low.jpg", 1)</f>
        <v/>
      </c>
      <c r="K80" s="22"/>
      <c r="L80" s="20"/>
      <c r="M80" s="21" t="str">
        <f>IMAGE("https://assets.tcgdex.net/de/sv/sv09/100/low.jpg", 1)</f>
        <v/>
      </c>
      <c r="N80" s="22"/>
      <c r="O80" s="20"/>
    </row>
    <row r="81" ht="22.5" customHeight="1">
      <c r="A81" s="23" t="b">
        <v>0</v>
      </c>
      <c r="B81" s="24" t="b">
        <v>0</v>
      </c>
      <c r="C81" s="25" t="str">
        <f>HYPERLINK("https://www.cardmarket.com/en/Pokemon/Products/Singles?idCategory=1&amp;idProduct=sv9-96", "CM")</f>
        <v>CM</v>
      </c>
      <c r="D81" s="23" t="b">
        <v>0</v>
      </c>
      <c r="E81" s="24" t="b">
        <v>0</v>
      </c>
      <c r="F81" s="25" t="str">
        <f>HYPERLINK("https://www.cardmarket.com/en/Pokemon/Products/Singles?idCategory=1&amp;idProduct=sv9-97", "CM")</f>
        <v>CM</v>
      </c>
      <c r="G81" s="23" t="b">
        <v>0</v>
      </c>
      <c r="H81" s="24" t="b">
        <v>0</v>
      </c>
      <c r="I81" s="25" t="str">
        <f>HYPERLINK("https://www.cardmarket.com/en/Pokemon/Products/Singles?idCategory=1&amp;idProduct=sv9-98", "CM")</f>
        <v>CM</v>
      </c>
      <c r="J81" s="23" t="b">
        <v>0</v>
      </c>
      <c r="K81" s="24" t="b">
        <v>0</v>
      </c>
      <c r="L81" s="25" t="str">
        <f>HYPERLINK("https://www.cardmarket.com/en/Pokemon/Products/Singles?idCategory=1&amp;idProduct=sv9-99", "CM")</f>
        <v>CM</v>
      </c>
      <c r="M81" s="23" t="b">
        <v>0</v>
      </c>
      <c r="N81" s="24" t="b">
        <v>0</v>
      </c>
      <c r="O81" s="25" t="str">
        <f>HYPERLINK("https://www.cardmarket.com/en/Pokemon/Products/Singles?idCategory=1&amp;idProduct=sv9-100", "CM")</f>
        <v>CM</v>
      </c>
    </row>
    <row r="82" ht="7.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</row>
    <row r="83" ht="18.75" customHeight="1">
      <c r="A83" s="18" t="s">
        <v>629</v>
      </c>
      <c r="B83" s="19" t="s">
        <v>1295</v>
      </c>
      <c r="C83" s="20"/>
      <c r="D83" s="18" t="s">
        <v>630</v>
      </c>
      <c r="E83" s="19" t="s">
        <v>2216</v>
      </c>
      <c r="F83" s="20"/>
      <c r="G83" s="18" t="s">
        <v>632</v>
      </c>
      <c r="H83" s="19" t="s">
        <v>2217</v>
      </c>
      <c r="I83" s="20"/>
      <c r="J83" s="18" t="s">
        <v>634</v>
      </c>
      <c r="K83" s="19" t="s">
        <v>2218</v>
      </c>
      <c r="L83" s="20"/>
      <c r="M83" s="18" t="s">
        <v>636</v>
      </c>
      <c r="N83" s="19" t="s">
        <v>2219</v>
      </c>
      <c r="O83" s="20"/>
    </row>
    <row r="84" ht="180.0" customHeight="1">
      <c r="A84" s="21" t="str">
        <f>IMAGE("https://assets.tcgdex.net/de/sv/sv09/101/low.jpg", 1)</f>
        <v/>
      </c>
      <c r="B84" s="22"/>
      <c r="C84" s="20"/>
      <c r="D84" s="21" t="str">
        <f>IMAGE("https://assets.tcgdex.net/de/sv/sv09/102/low.jpg", 1)</f>
        <v/>
      </c>
      <c r="E84" s="22"/>
      <c r="F84" s="20"/>
      <c r="G84" s="21" t="str">
        <f>IMAGE("https://assets.tcgdex.net/de/sv/sv09/103/low.jpg", 1)</f>
        <v/>
      </c>
      <c r="H84" s="22"/>
      <c r="I84" s="20"/>
      <c r="J84" s="21" t="str">
        <f>IMAGE("https://assets.tcgdex.net/de/sv/sv09/104/low.jpg", 1)</f>
        <v/>
      </c>
      <c r="K84" s="22"/>
      <c r="L84" s="20"/>
      <c r="M84" s="21" t="str">
        <f>IMAGE("https://assets.tcgdex.net/de/sv/sv09/105/low.jpg", 1)</f>
        <v/>
      </c>
      <c r="N84" s="22"/>
      <c r="O84" s="20"/>
    </row>
    <row r="85" ht="22.5" customHeight="1">
      <c r="A85" s="23" t="b">
        <v>0</v>
      </c>
      <c r="B85" s="24" t="b">
        <v>0</v>
      </c>
      <c r="C85" s="25" t="str">
        <f>HYPERLINK("https://www.cardmarket.com/en/Pokemon/Products/Singles?idCategory=1&amp;idProduct=sv9-101", "CM")</f>
        <v>CM</v>
      </c>
      <c r="D85" s="23" t="b">
        <v>0</v>
      </c>
      <c r="E85" s="24" t="b">
        <v>0</v>
      </c>
      <c r="F85" s="25" t="str">
        <f>HYPERLINK("https://www.cardmarket.com/en/Pokemon/Products/Singles?idCategory=1&amp;idProduct=sv9-102", "CM")</f>
        <v>CM</v>
      </c>
      <c r="G85" s="23" t="b">
        <v>0</v>
      </c>
      <c r="H85" s="24" t="b">
        <v>0</v>
      </c>
      <c r="I85" s="25" t="str">
        <f>HYPERLINK("https://www.cardmarket.com/en/Pokemon/Products/Singles?idCategory=1&amp;idProduct=sv9-103", "CM")</f>
        <v>CM</v>
      </c>
      <c r="J85" s="23" t="b">
        <v>0</v>
      </c>
      <c r="K85" s="24" t="b">
        <v>0</v>
      </c>
      <c r="L85" s="25" t="str">
        <f>HYPERLINK("https://www.cardmarket.com/en/Pokemon/Products/Singles?idCategory=1&amp;idProduct=sv9-104", "CM")</f>
        <v>CM</v>
      </c>
      <c r="M85" s="23" t="b">
        <v>0</v>
      </c>
      <c r="N85" s="24" t="b">
        <v>0</v>
      </c>
      <c r="O85" s="25" t="str">
        <f>HYPERLINK("https://www.cardmarket.com/en/Pokemon/Products/Singles?idCategory=1&amp;idProduct=sv9-105", "CM")</f>
        <v>CM</v>
      </c>
    </row>
    <row r="86" ht="7.5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</row>
    <row r="87" ht="18.75" customHeight="1">
      <c r="A87" s="18" t="s">
        <v>638</v>
      </c>
      <c r="B87" s="19" t="s">
        <v>2220</v>
      </c>
      <c r="C87" s="20"/>
      <c r="D87" s="18" t="s">
        <v>640</v>
      </c>
      <c r="E87" s="19" t="s">
        <v>2221</v>
      </c>
      <c r="F87" s="20"/>
      <c r="G87" s="18" t="s">
        <v>642</v>
      </c>
      <c r="H87" s="19" t="s">
        <v>2222</v>
      </c>
      <c r="I87" s="20"/>
      <c r="J87" s="18" t="s">
        <v>643</v>
      </c>
      <c r="K87" s="19" t="s">
        <v>1968</v>
      </c>
      <c r="L87" s="20"/>
      <c r="M87" s="18" t="s">
        <v>645</v>
      </c>
      <c r="N87" s="19" t="s">
        <v>1969</v>
      </c>
      <c r="O87" s="20"/>
    </row>
    <row r="88" ht="180.0" customHeight="1">
      <c r="A88" s="21" t="str">
        <f>IMAGE("https://assets.tcgdex.net/de/sv/sv09/106/low.jpg", 1)</f>
        <v/>
      </c>
      <c r="B88" s="22"/>
      <c r="C88" s="20"/>
      <c r="D88" s="21" t="str">
        <f>IMAGE("https://assets.tcgdex.net/de/sv/sv09/107/low.jpg", 1)</f>
        <v/>
      </c>
      <c r="E88" s="22"/>
      <c r="F88" s="20"/>
      <c r="G88" s="21" t="str">
        <f>IMAGE("https://assets.tcgdex.net/de/sv/sv09/108/low.jpg", 1)</f>
        <v/>
      </c>
      <c r="H88" s="22"/>
      <c r="I88" s="20"/>
      <c r="J88" s="21" t="str">
        <f>IMAGE("https://assets.tcgdex.net/de/sv/sv09/109/low.jpg", 1)</f>
        <v/>
      </c>
      <c r="K88" s="22"/>
      <c r="L88" s="20"/>
      <c r="M88" s="21" t="str">
        <f>IMAGE("https://assets.tcgdex.net/de/sv/sv09/110/low.jpg", 1)</f>
        <v/>
      </c>
      <c r="N88" s="22"/>
      <c r="O88" s="20"/>
    </row>
    <row r="89" ht="22.5" customHeight="1">
      <c r="A89" s="23" t="b">
        <v>0</v>
      </c>
      <c r="B89" s="24" t="b">
        <v>0</v>
      </c>
      <c r="C89" s="25" t="str">
        <f>HYPERLINK("https://www.cardmarket.com/en/Pokemon/Products/Singles?idCategory=1&amp;idProduct=sv9-106", "CM")</f>
        <v>CM</v>
      </c>
      <c r="D89" s="23" t="b">
        <v>0</v>
      </c>
      <c r="E89" s="24" t="b">
        <v>0</v>
      </c>
      <c r="F89" s="25" t="str">
        <f>HYPERLINK("https://www.cardmarket.com/en/Pokemon/Products/Singles?idCategory=1&amp;idProduct=sv9-107", "CM")</f>
        <v>CM</v>
      </c>
      <c r="G89" s="23" t="b">
        <v>0</v>
      </c>
      <c r="H89" s="24" t="b">
        <v>0</v>
      </c>
      <c r="I89" s="25" t="str">
        <f>HYPERLINK("https://www.cardmarket.com/en/Pokemon/Products/Singles?idCategory=1&amp;idProduct=sv9-108", "CM")</f>
        <v>CM</v>
      </c>
      <c r="J89" s="23" t="b">
        <v>0</v>
      </c>
      <c r="K89" s="24" t="b">
        <v>0</v>
      </c>
      <c r="L89" s="25" t="str">
        <f>HYPERLINK("https://www.cardmarket.com/en/Pokemon/Products/Singles?idCategory=1&amp;idProduct=sv9-109", "CM")</f>
        <v>CM</v>
      </c>
      <c r="M89" s="23" t="b">
        <v>0</v>
      </c>
      <c r="N89" s="24" t="b">
        <v>0</v>
      </c>
      <c r="O89" s="25" t="str">
        <f>HYPERLINK("https://www.cardmarket.com/en/Pokemon/Products/Singles?idCategory=1&amp;idProduct=sv9-110", "CM")</f>
        <v>CM</v>
      </c>
    </row>
    <row r="90" ht="7.5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</row>
    <row r="91" ht="18.75" customHeight="1">
      <c r="A91" s="18" t="s">
        <v>647</v>
      </c>
      <c r="B91" s="19" t="s">
        <v>899</v>
      </c>
      <c r="C91" s="20"/>
      <c r="D91" s="18" t="s">
        <v>649</v>
      </c>
      <c r="E91" s="19" t="s">
        <v>2223</v>
      </c>
      <c r="F91" s="20"/>
      <c r="G91" s="18" t="s">
        <v>651</v>
      </c>
      <c r="H91" s="19" t="s">
        <v>2224</v>
      </c>
      <c r="I91" s="20"/>
      <c r="J91" s="18" t="s">
        <v>823</v>
      </c>
      <c r="K91" s="19" t="s">
        <v>2225</v>
      </c>
      <c r="L91" s="20"/>
      <c r="M91" s="18" t="s">
        <v>653</v>
      </c>
      <c r="N91" s="19" t="s">
        <v>2226</v>
      </c>
      <c r="O91" s="20"/>
    </row>
    <row r="92" ht="180.0" customHeight="1">
      <c r="A92" s="21" t="str">
        <f>IMAGE("https://assets.tcgdex.net/de/sv/sv09/111/low.jpg", 1)</f>
        <v/>
      </c>
      <c r="B92" s="22"/>
      <c r="C92" s="20"/>
      <c r="D92" s="21" t="str">
        <f>IMAGE("https://assets.tcgdex.net/de/sv/sv09/112/low.jpg", 1)</f>
        <v/>
      </c>
      <c r="E92" s="22"/>
      <c r="F92" s="20"/>
      <c r="G92" s="21" t="str">
        <f>IMAGE("https://assets.tcgdex.net/de/sv/sv09/113/low.jpg", 1)</f>
        <v/>
      </c>
      <c r="H92" s="22"/>
      <c r="I92" s="20"/>
      <c r="J92" s="21" t="str">
        <f>IMAGE("https://assets.tcgdex.net/de/sv/sv09/114/low.jpg", 1)</f>
        <v/>
      </c>
      <c r="K92" s="22"/>
      <c r="L92" s="20"/>
      <c r="M92" s="21" t="str">
        <f>IMAGE("https://assets.tcgdex.net/de/sv/sv09/115/low.jpg", 1)</f>
        <v/>
      </c>
      <c r="N92" s="22"/>
      <c r="O92" s="20"/>
    </row>
    <row r="93" ht="22.5" customHeight="1">
      <c r="A93" s="23" t="b">
        <v>0</v>
      </c>
      <c r="B93" s="24" t="b">
        <v>0</v>
      </c>
      <c r="C93" s="25" t="str">
        <f>HYPERLINK("https://www.cardmarket.com/en/Pokemon/Products/Singles?idCategory=1&amp;idProduct=sv9-111", "CM")</f>
        <v>CM</v>
      </c>
      <c r="D93" s="23" t="b">
        <v>0</v>
      </c>
      <c r="E93" s="24" t="b">
        <v>0</v>
      </c>
      <c r="F93" s="25" t="str">
        <f>HYPERLINK("https://www.cardmarket.com/en/Pokemon/Products/Singles?idCategory=1&amp;idProduct=sv9-112", "CM")</f>
        <v>CM</v>
      </c>
      <c r="G93" s="23" t="b">
        <v>0</v>
      </c>
      <c r="H93" s="24" t="b">
        <v>0</v>
      </c>
      <c r="I93" s="25" t="str">
        <f>HYPERLINK("https://www.cardmarket.com/en/Pokemon/Products/Singles?idCategory=1&amp;idProduct=sv9-113", "CM")</f>
        <v>CM</v>
      </c>
      <c r="J93" s="23" t="b">
        <v>0</v>
      </c>
      <c r="K93" s="24" t="b">
        <v>0</v>
      </c>
      <c r="L93" s="25" t="str">
        <f>HYPERLINK("https://www.cardmarket.com/en/Pokemon/Products/Singles?idCategory=1&amp;idProduct=sv9-114", "CM")</f>
        <v>CM</v>
      </c>
      <c r="M93" s="23" t="b">
        <v>0</v>
      </c>
      <c r="N93" s="24" t="b">
        <v>0</v>
      </c>
      <c r="O93" s="25" t="str">
        <f>HYPERLINK("https://www.cardmarket.com/en/Pokemon/Products/Singles?idCategory=1&amp;idProduct=sv9-115", "CM")</f>
        <v>CM</v>
      </c>
    </row>
    <row r="94" ht="7.5" customHeigh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</row>
    <row r="95" ht="18.75" customHeight="1">
      <c r="A95" s="18" t="s">
        <v>825</v>
      </c>
      <c r="B95" s="19" t="s">
        <v>2227</v>
      </c>
      <c r="C95" s="20"/>
      <c r="D95" s="18" t="s">
        <v>655</v>
      </c>
      <c r="E95" s="19" t="s">
        <v>708</v>
      </c>
      <c r="F95" s="20"/>
      <c r="G95" s="18" t="s">
        <v>827</v>
      </c>
      <c r="H95" s="19" t="s">
        <v>2228</v>
      </c>
      <c r="I95" s="20"/>
      <c r="J95" s="18" t="s">
        <v>657</v>
      </c>
      <c r="K95" s="19" t="s">
        <v>2229</v>
      </c>
      <c r="L95" s="20"/>
      <c r="M95" s="18" t="s">
        <v>659</v>
      </c>
      <c r="N95" s="19" t="s">
        <v>1840</v>
      </c>
      <c r="O95" s="20"/>
    </row>
    <row r="96" ht="180.0" customHeight="1">
      <c r="A96" s="21" t="str">
        <f>IMAGE("https://assets.tcgdex.net/de/sv/sv09/116/low.jpg", 1)</f>
        <v/>
      </c>
      <c r="B96" s="22"/>
      <c r="C96" s="20"/>
      <c r="D96" s="21" t="str">
        <f>IMAGE("https://assets.tcgdex.net/de/sv/sv09/117/low.jpg", 1)</f>
        <v/>
      </c>
      <c r="E96" s="22"/>
      <c r="F96" s="20"/>
      <c r="G96" s="21" t="str">
        <f>IMAGE("https://assets.tcgdex.net/de/sv/sv09/118/low.jpg", 1)</f>
        <v/>
      </c>
      <c r="H96" s="22"/>
      <c r="I96" s="20"/>
      <c r="J96" s="21" t="str">
        <f>IMAGE("https://assets.tcgdex.net/de/sv/sv09/119/low.jpg", 1)</f>
        <v/>
      </c>
      <c r="K96" s="22"/>
      <c r="L96" s="20"/>
      <c r="M96" s="21" t="str">
        <f>IMAGE("https://assets.tcgdex.net/de/sv/sv09/120/low.jpg", 1)</f>
        <v/>
      </c>
      <c r="N96" s="22"/>
      <c r="O96" s="20"/>
    </row>
    <row r="97" ht="22.5" customHeight="1">
      <c r="A97" s="23" t="b">
        <v>0</v>
      </c>
      <c r="B97" s="24" t="b">
        <v>0</v>
      </c>
      <c r="C97" s="25" t="str">
        <f>HYPERLINK("https://www.cardmarket.com/en/Pokemon/Products/Singles?idCategory=1&amp;idProduct=sv9-116", "CM")</f>
        <v>CM</v>
      </c>
      <c r="D97" s="23" t="b">
        <v>0</v>
      </c>
      <c r="E97" s="24" t="b">
        <v>0</v>
      </c>
      <c r="F97" s="25" t="str">
        <f>HYPERLINK("https://www.cardmarket.com/en/Pokemon/Products/Singles?idCategory=1&amp;idProduct=sv9-117", "CM")</f>
        <v>CM</v>
      </c>
      <c r="G97" s="23" t="b">
        <v>0</v>
      </c>
      <c r="H97" s="24" t="b">
        <v>0</v>
      </c>
      <c r="I97" s="25" t="str">
        <f>HYPERLINK("https://www.cardmarket.com/en/Pokemon/Products/Singles?idCategory=1&amp;idProduct=sv9-118", "CM")</f>
        <v>CM</v>
      </c>
      <c r="J97" s="23" t="b">
        <v>0</v>
      </c>
      <c r="K97" s="24" t="b">
        <v>0</v>
      </c>
      <c r="L97" s="25" t="str">
        <f>HYPERLINK("https://www.cardmarket.com/en/Pokemon/Products/Singles?idCategory=1&amp;idProduct=sv9-119", "CM")</f>
        <v>CM</v>
      </c>
      <c r="M97" s="23" t="b">
        <v>0</v>
      </c>
      <c r="N97" s="24" t="b">
        <v>0</v>
      </c>
      <c r="O97" s="25" t="str">
        <f>HYPERLINK("https://www.cardmarket.com/en/Pokemon/Products/Singles?idCategory=1&amp;idProduct=sv9-120", "CM")</f>
        <v>CM</v>
      </c>
    </row>
    <row r="98" ht="7.5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</row>
    <row r="99" ht="18.75" customHeight="1">
      <c r="A99" s="18" t="s">
        <v>829</v>
      </c>
      <c r="B99" s="19" t="s">
        <v>2230</v>
      </c>
      <c r="C99" s="20"/>
      <c r="D99" s="18" t="s">
        <v>830</v>
      </c>
      <c r="E99" s="19" t="s">
        <v>2106</v>
      </c>
      <c r="F99" s="20"/>
      <c r="G99" s="18" t="s">
        <v>831</v>
      </c>
      <c r="H99" s="19" t="s">
        <v>1206</v>
      </c>
      <c r="I99" s="20"/>
      <c r="J99" s="18" t="s">
        <v>833</v>
      </c>
      <c r="K99" s="19" t="s">
        <v>1459</v>
      </c>
      <c r="L99" s="20"/>
      <c r="M99" s="18" t="s">
        <v>661</v>
      </c>
      <c r="N99" s="19" t="s">
        <v>1847</v>
      </c>
      <c r="O99" s="20"/>
    </row>
    <row r="100" ht="180.0" customHeight="1">
      <c r="A100" s="21" t="str">
        <f>IMAGE("https://assets.tcgdex.net/de/sv/sv09/121/low.jpg", 1)</f>
        <v/>
      </c>
      <c r="B100" s="22"/>
      <c r="C100" s="20"/>
      <c r="D100" s="21" t="str">
        <f>IMAGE("https://assets.tcgdex.net/de/sv/sv09/122/low.jpg", 1)</f>
        <v/>
      </c>
      <c r="E100" s="22"/>
      <c r="F100" s="20"/>
      <c r="G100" s="21" t="str">
        <f>IMAGE("https://assets.tcgdex.net/de/sv/sv09/123/low.jpg", 1)</f>
        <v/>
      </c>
      <c r="H100" s="22"/>
      <c r="I100" s="20"/>
      <c r="J100" s="21" t="str">
        <f>IMAGE("https://assets.tcgdex.net/de/sv/sv09/124/low.jpg", 1)</f>
        <v/>
      </c>
      <c r="K100" s="22"/>
      <c r="L100" s="20"/>
      <c r="M100" s="21" t="str">
        <f>IMAGE("https://assets.tcgdex.net/de/sv/sv09/125/low.jpg", 1)</f>
        <v/>
      </c>
      <c r="N100" s="22"/>
      <c r="O100" s="20"/>
    </row>
    <row r="101" ht="22.5" customHeight="1">
      <c r="A101" s="23" t="b">
        <v>0</v>
      </c>
      <c r="B101" s="24" t="b">
        <v>0</v>
      </c>
      <c r="C101" s="25" t="str">
        <f>HYPERLINK("https://www.cardmarket.com/en/Pokemon/Products/Singles?idCategory=1&amp;idProduct=sv9-121", "CM")</f>
        <v>CM</v>
      </c>
      <c r="D101" s="23" t="b">
        <v>0</v>
      </c>
      <c r="E101" s="24" t="b">
        <v>0</v>
      </c>
      <c r="F101" s="25" t="str">
        <f>HYPERLINK("https://www.cardmarket.com/en/Pokemon/Products/Singles?idCategory=1&amp;idProduct=sv9-122", "CM")</f>
        <v>CM</v>
      </c>
      <c r="G101" s="23" t="b">
        <v>0</v>
      </c>
      <c r="H101" s="24" t="b">
        <v>0</v>
      </c>
      <c r="I101" s="25" t="str">
        <f>HYPERLINK("https://www.cardmarket.com/en/Pokemon/Products/Singles?idCategory=1&amp;idProduct=sv9-123", "CM")</f>
        <v>CM</v>
      </c>
      <c r="J101" s="23" t="b">
        <v>0</v>
      </c>
      <c r="K101" s="24" t="b">
        <v>0</v>
      </c>
      <c r="L101" s="25" t="str">
        <f>HYPERLINK("https://www.cardmarket.com/en/Pokemon/Products/Singles?idCategory=1&amp;idProduct=sv9-124", "CM")</f>
        <v>CM</v>
      </c>
      <c r="M101" s="23" t="b">
        <v>0</v>
      </c>
      <c r="N101" s="24" t="b">
        <v>0</v>
      </c>
      <c r="O101" s="25" t="str">
        <f>HYPERLINK("https://www.cardmarket.com/en/Pokemon/Products/Singles?idCategory=1&amp;idProduct=sv9-125", "CM")</f>
        <v>CM</v>
      </c>
    </row>
    <row r="102" ht="7.5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</row>
    <row r="103" ht="18.75" customHeight="1">
      <c r="A103" s="18" t="s">
        <v>835</v>
      </c>
      <c r="B103" s="19" t="s">
        <v>1848</v>
      </c>
      <c r="C103" s="20"/>
      <c r="D103" s="18" t="s">
        <v>662</v>
      </c>
      <c r="E103" s="19" t="s">
        <v>1746</v>
      </c>
      <c r="F103" s="20"/>
      <c r="G103" s="18" t="s">
        <v>837</v>
      </c>
      <c r="H103" s="19" t="s">
        <v>2231</v>
      </c>
      <c r="I103" s="20"/>
      <c r="J103" s="18" t="s">
        <v>839</v>
      </c>
      <c r="K103" s="19" t="s">
        <v>2232</v>
      </c>
      <c r="L103" s="20"/>
      <c r="M103" s="18" t="s">
        <v>841</v>
      </c>
      <c r="N103" s="19" t="s">
        <v>1448</v>
      </c>
      <c r="O103" s="20"/>
    </row>
    <row r="104" ht="180.0" customHeight="1">
      <c r="A104" s="21" t="str">
        <f>IMAGE("https://assets.tcgdex.net/de/sv/sv09/126/low.jpg", 1)</f>
        <v/>
      </c>
      <c r="B104" s="22"/>
      <c r="C104" s="20"/>
      <c r="D104" s="21" t="str">
        <f>IMAGE("https://assets.tcgdex.net/de/sv/sv09/127/low.jpg", 1)</f>
        <v/>
      </c>
      <c r="E104" s="22"/>
      <c r="F104" s="20"/>
      <c r="G104" s="21" t="str">
        <f>IMAGE("https://assets.tcgdex.net/de/sv/sv09/128/low.jpg", 1)</f>
        <v/>
      </c>
      <c r="H104" s="22"/>
      <c r="I104" s="20"/>
      <c r="J104" s="21" t="str">
        <f>IMAGE("https://assets.tcgdex.net/de/sv/sv09/129/low.jpg", 1)</f>
        <v/>
      </c>
      <c r="K104" s="22"/>
      <c r="L104" s="20"/>
      <c r="M104" s="21" t="str">
        <f>IMAGE("https://assets.tcgdex.net/de/sv/sv09/130/low.jpg", 1)</f>
        <v/>
      </c>
      <c r="N104" s="22"/>
      <c r="O104" s="20"/>
    </row>
    <row r="105" ht="22.5" customHeight="1">
      <c r="A105" s="23" t="b">
        <v>0</v>
      </c>
      <c r="B105" s="24" t="b">
        <v>0</v>
      </c>
      <c r="C105" s="25" t="str">
        <f>HYPERLINK("https://www.cardmarket.com/en/Pokemon/Products/Singles?idCategory=1&amp;idProduct=sv9-126", "CM")</f>
        <v>CM</v>
      </c>
      <c r="D105" s="23" t="b">
        <v>0</v>
      </c>
      <c r="E105" s="24" t="b">
        <v>0</v>
      </c>
      <c r="F105" s="25" t="str">
        <f>HYPERLINK("https://www.cardmarket.com/en/Pokemon/Products/Singles?idCategory=1&amp;idProduct=sv9-127", "CM")</f>
        <v>CM</v>
      </c>
      <c r="G105" s="23" t="b">
        <v>0</v>
      </c>
      <c r="H105" s="24" t="b">
        <v>0</v>
      </c>
      <c r="I105" s="25" t="str">
        <f>HYPERLINK("https://www.cardmarket.com/en/Pokemon/Products/Singles?idCategory=1&amp;idProduct=sv9-128", "CM")</f>
        <v>CM</v>
      </c>
      <c r="J105" s="23" t="b">
        <v>0</v>
      </c>
      <c r="K105" s="24" t="b">
        <v>0</v>
      </c>
      <c r="L105" s="25" t="str">
        <f>HYPERLINK("https://www.cardmarket.com/en/Pokemon/Products/Singles?idCategory=1&amp;idProduct=sv9-129", "CM")</f>
        <v>CM</v>
      </c>
      <c r="M105" s="23" t="b">
        <v>0</v>
      </c>
      <c r="N105" s="24" t="b">
        <v>0</v>
      </c>
      <c r="O105" s="25" t="str">
        <f>HYPERLINK("https://www.cardmarket.com/en/Pokemon/Products/Singles?idCategory=1&amp;idProduct=sv9-130", "CM")</f>
        <v>CM</v>
      </c>
    </row>
    <row r="106" ht="7.5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</row>
    <row r="107" ht="18.75" customHeight="1">
      <c r="A107" s="18" t="s">
        <v>842</v>
      </c>
      <c r="B107" s="19" t="s">
        <v>1188</v>
      </c>
      <c r="C107" s="20"/>
      <c r="D107" s="18" t="s">
        <v>844</v>
      </c>
      <c r="E107" s="19" t="s">
        <v>1300</v>
      </c>
      <c r="F107" s="20"/>
      <c r="G107" s="18" t="s">
        <v>664</v>
      </c>
      <c r="H107" s="19" t="s">
        <v>2233</v>
      </c>
      <c r="I107" s="20"/>
      <c r="J107" s="18" t="s">
        <v>666</v>
      </c>
      <c r="K107" s="19" t="s">
        <v>2234</v>
      </c>
      <c r="L107" s="20"/>
      <c r="M107" s="18" t="s">
        <v>845</v>
      </c>
      <c r="N107" s="19" t="s">
        <v>2235</v>
      </c>
      <c r="O107" s="20"/>
    </row>
    <row r="108" ht="180.0" customHeight="1">
      <c r="A108" s="21" t="str">
        <f>IMAGE("https://assets.tcgdex.net/de/sv/sv09/131/low.jpg", 1)</f>
        <v/>
      </c>
      <c r="B108" s="22"/>
      <c r="C108" s="20"/>
      <c r="D108" s="21" t="str">
        <f>IMAGE("https://assets.tcgdex.net/de/sv/sv09/132/low.jpg", 1)</f>
        <v/>
      </c>
      <c r="E108" s="22"/>
      <c r="F108" s="20"/>
      <c r="G108" s="21" t="str">
        <f>IMAGE("https://assets.tcgdex.net/de/sv/sv09/133/low.jpg", 1)</f>
        <v/>
      </c>
      <c r="H108" s="22"/>
      <c r="I108" s="20"/>
      <c r="J108" s="21" t="str">
        <f>IMAGE("https://assets.tcgdex.net/de/sv/sv09/134/low.jpg", 1)</f>
        <v/>
      </c>
      <c r="K108" s="22"/>
      <c r="L108" s="20"/>
      <c r="M108" s="21" t="str">
        <f>IMAGE("https://assets.tcgdex.net/de/sv/sv09/135/low.jpg", 1)</f>
        <v/>
      </c>
      <c r="N108" s="22"/>
      <c r="O108" s="20"/>
    </row>
    <row r="109" ht="22.5" customHeight="1">
      <c r="A109" s="23" t="b">
        <v>0</v>
      </c>
      <c r="B109" s="24" t="b">
        <v>0</v>
      </c>
      <c r="C109" s="25" t="str">
        <f>HYPERLINK("https://www.cardmarket.com/en/Pokemon/Products/Singles?idCategory=1&amp;idProduct=sv9-131", "CM")</f>
        <v>CM</v>
      </c>
      <c r="D109" s="23" t="b">
        <v>0</v>
      </c>
      <c r="E109" s="24" t="b">
        <v>0</v>
      </c>
      <c r="F109" s="25" t="str">
        <f>HYPERLINK("https://www.cardmarket.com/en/Pokemon/Products/Singles?idCategory=1&amp;idProduct=sv9-132", "CM")</f>
        <v>CM</v>
      </c>
      <c r="G109" s="23" t="b">
        <v>0</v>
      </c>
      <c r="H109" s="24" t="b">
        <v>0</v>
      </c>
      <c r="I109" s="25" t="str">
        <f>HYPERLINK("https://www.cardmarket.com/en/Pokemon/Products/Singles?idCategory=1&amp;idProduct=sv9-133", "CM")</f>
        <v>CM</v>
      </c>
      <c r="J109" s="23" t="b">
        <v>0</v>
      </c>
      <c r="K109" s="24" t="b">
        <v>0</v>
      </c>
      <c r="L109" s="25" t="str">
        <f>HYPERLINK("https://www.cardmarket.com/en/Pokemon/Products/Singles?idCategory=1&amp;idProduct=sv9-134", "CM")</f>
        <v>CM</v>
      </c>
      <c r="M109" s="23" t="b">
        <v>0</v>
      </c>
      <c r="N109" s="24" t="b">
        <v>0</v>
      </c>
      <c r="O109" s="25" t="str">
        <f>HYPERLINK("https://www.cardmarket.com/en/Pokemon/Products/Singles?idCategory=1&amp;idProduct=sv9-135", "CM")</f>
        <v>CM</v>
      </c>
    </row>
    <row r="110" ht="7.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</row>
    <row r="111" ht="18.75" customHeight="1">
      <c r="A111" s="18" t="s">
        <v>668</v>
      </c>
      <c r="B111" s="19" t="s">
        <v>2236</v>
      </c>
      <c r="C111" s="20"/>
      <c r="D111" s="18" t="s">
        <v>670</v>
      </c>
      <c r="E111" s="19" t="s">
        <v>1893</v>
      </c>
      <c r="F111" s="20"/>
      <c r="G111" s="18" t="s">
        <v>672</v>
      </c>
      <c r="H111" s="19" t="s">
        <v>2237</v>
      </c>
      <c r="I111" s="20"/>
      <c r="J111" s="18" t="s">
        <v>674</v>
      </c>
      <c r="K111" s="19" t="s">
        <v>1228</v>
      </c>
      <c r="L111" s="20"/>
      <c r="M111" s="18" t="s">
        <v>847</v>
      </c>
      <c r="N111" s="19" t="s">
        <v>1229</v>
      </c>
      <c r="O111" s="20"/>
    </row>
    <row r="112" ht="180.0" customHeight="1">
      <c r="A112" s="21" t="str">
        <f>IMAGE("https://assets.tcgdex.net/de/sv/sv09/136/low.jpg", 1)</f>
        <v/>
      </c>
      <c r="B112" s="22"/>
      <c r="C112" s="20"/>
      <c r="D112" s="21" t="str">
        <f>IMAGE("https://assets.tcgdex.net/de/sv/sv09/137/low.jpg", 1)</f>
        <v/>
      </c>
      <c r="E112" s="22"/>
      <c r="F112" s="20"/>
      <c r="G112" s="21" t="str">
        <f>IMAGE("https://assets.tcgdex.net/de/sv/sv09/138/low.jpg", 1)</f>
        <v/>
      </c>
      <c r="H112" s="22"/>
      <c r="I112" s="20"/>
      <c r="J112" s="21" t="str">
        <f>IMAGE("https://assets.tcgdex.net/de/sv/sv09/139/low.jpg", 1)</f>
        <v/>
      </c>
      <c r="K112" s="22"/>
      <c r="L112" s="20"/>
      <c r="M112" s="21" t="str">
        <f>IMAGE("https://assets.tcgdex.net/de/sv/sv09/140/low.jpg", 1)</f>
        <v/>
      </c>
      <c r="N112" s="22"/>
      <c r="O112" s="20"/>
    </row>
    <row r="113" ht="22.5" customHeight="1">
      <c r="A113" s="23" t="b">
        <v>0</v>
      </c>
      <c r="B113" s="24" t="b">
        <v>0</v>
      </c>
      <c r="C113" s="25" t="str">
        <f>HYPERLINK("https://www.cardmarket.com/en/Pokemon/Products/Singles?idCategory=1&amp;idProduct=sv9-136", "CM")</f>
        <v>CM</v>
      </c>
      <c r="D113" s="23" t="b">
        <v>0</v>
      </c>
      <c r="E113" s="24" t="b">
        <v>0</v>
      </c>
      <c r="F113" s="25" t="str">
        <f>HYPERLINK("https://www.cardmarket.com/en/Pokemon/Products/Singles?idCategory=1&amp;idProduct=sv9-137", "CM")</f>
        <v>CM</v>
      </c>
      <c r="G113" s="23" t="b">
        <v>0</v>
      </c>
      <c r="H113" s="24" t="b">
        <v>0</v>
      </c>
      <c r="I113" s="25" t="str">
        <f>HYPERLINK("https://www.cardmarket.com/en/Pokemon/Products/Singles?idCategory=1&amp;idProduct=sv9-138", "CM")</f>
        <v>CM</v>
      </c>
      <c r="J113" s="23" t="b">
        <v>0</v>
      </c>
      <c r="K113" s="24" t="b">
        <v>0</v>
      </c>
      <c r="L113" s="25" t="str">
        <f>HYPERLINK("https://www.cardmarket.com/en/Pokemon/Products/Singles?idCategory=1&amp;idProduct=sv9-139", "CM")</f>
        <v>CM</v>
      </c>
      <c r="M113" s="23" t="b">
        <v>0</v>
      </c>
      <c r="N113" s="24" t="b">
        <v>0</v>
      </c>
      <c r="O113" s="25" t="str">
        <f>HYPERLINK("https://www.cardmarket.com/en/Pokemon/Products/Singles?idCategory=1&amp;idProduct=sv9-140", "CM")</f>
        <v>CM</v>
      </c>
    </row>
    <row r="114" ht="7.5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</row>
    <row r="115" ht="18.75" customHeight="1">
      <c r="A115" s="18" t="s">
        <v>848</v>
      </c>
      <c r="B115" s="19" t="s">
        <v>1232</v>
      </c>
      <c r="C115" s="20"/>
      <c r="D115" s="18" t="s">
        <v>676</v>
      </c>
      <c r="E115" s="19" t="s">
        <v>2238</v>
      </c>
      <c r="F115" s="20"/>
      <c r="G115" s="18" t="s">
        <v>678</v>
      </c>
      <c r="H115" s="19" t="s">
        <v>2165</v>
      </c>
      <c r="I115" s="20"/>
      <c r="J115" s="18" t="s">
        <v>679</v>
      </c>
      <c r="K115" s="19" t="s">
        <v>2165</v>
      </c>
      <c r="L115" s="20"/>
      <c r="M115" s="18" t="s">
        <v>850</v>
      </c>
      <c r="N115" s="19" t="s">
        <v>2165</v>
      </c>
      <c r="O115" s="20"/>
    </row>
    <row r="116" ht="180.0" customHeight="1">
      <c r="A116" s="21" t="str">
        <f>IMAGE("https://assets.tcgdex.net/de/sv/sv09/141/low.jpg", 1)</f>
        <v/>
      </c>
      <c r="B116" s="22"/>
      <c r="C116" s="20"/>
      <c r="D116" s="21" t="str">
        <f>IMAGE("https://assets.tcgdex.net/de/sv/sv09/142/low.jpg", 1)</f>
        <v/>
      </c>
      <c r="E116" s="22"/>
      <c r="F116" s="20"/>
      <c r="G116" s="21" t="str">
        <f>IMAGE("https://assets.tcgdex.net/de/sv/sv09/143/low.jpg", 1)</f>
        <v/>
      </c>
      <c r="H116" s="22"/>
      <c r="I116" s="20"/>
      <c r="J116" s="21" t="str">
        <f>IMAGE("https://assets.tcgdex.net/de/sv/sv09/144/low.jpg", 1)</f>
        <v/>
      </c>
      <c r="K116" s="22"/>
      <c r="L116" s="20"/>
      <c r="M116" s="21" t="str">
        <f>IMAGE("https://assets.tcgdex.net/de/sv/sv09/145/low.jpg", 1)</f>
        <v/>
      </c>
      <c r="N116" s="22"/>
      <c r="O116" s="20"/>
    </row>
    <row r="117" ht="22.5" customHeight="1">
      <c r="A117" s="23" t="b">
        <v>0</v>
      </c>
      <c r="B117" s="24" t="b">
        <v>0</v>
      </c>
      <c r="C117" s="25" t="str">
        <f>HYPERLINK("https://www.cardmarket.com/en/Pokemon/Products/Singles?idCategory=1&amp;idProduct=sv9-141", "CM")</f>
        <v>CM</v>
      </c>
      <c r="D117" s="23" t="b">
        <v>0</v>
      </c>
      <c r="E117" s="24" t="b">
        <v>0</v>
      </c>
      <c r="F117" s="25" t="str">
        <f>HYPERLINK("https://www.cardmarket.com/en/Pokemon/Products/Singles?idCategory=1&amp;idProduct=sv9-142", "CM")</f>
        <v>CM</v>
      </c>
      <c r="G117" s="23" t="b">
        <v>0</v>
      </c>
      <c r="H117" s="24" t="b">
        <v>0</v>
      </c>
      <c r="I117" s="25" t="str">
        <f>HYPERLINK("https://www.cardmarket.com/en/Pokemon/Products/Singles?idCategory=1&amp;idProduct=sv9-143", "CM")</f>
        <v>CM</v>
      </c>
      <c r="J117" s="23" t="b">
        <v>0</v>
      </c>
      <c r="K117" s="24" t="b">
        <v>0</v>
      </c>
      <c r="L117" s="25" t="str">
        <f>HYPERLINK("https://www.cardmarket.com/en/Pokemon/Products/Singles?idCategory=1&amp;idProduct=sv9-144", "CM")</f>
        <v>CM</v>
      </c>
      <c r="M117" s="23" t="b">
        <v>0</v>
      </c>
      <c r="N117" s="24" t="b">
        <v>0</v>
      </c>
      <c r="O117" s="25" t="str">
        <f>HYPERLINK("https://www.cardmarket.com/en/Pokemon/Products/Singles?idCategory=1&amp;idProduct=sv9-145", "CM")</f>
        <v>CM</v>
      </c>
    </row>
    <row r="118" ht="7.5" customHeigh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</row>
    <row r="119" ht="18.75" customHeight="1">
      <c r="A119" s="18" t="s">
        <v>681</v>
      </c>
      <c r="B119" s="19" t="s">
        <v>2239</v>
      </c>
      <c r="C119" s="20"/>
      <c r="D119" s="18" t="s">
        <v>683</v>
      </c>
      <c r="E119" s="19" t="s">
        <v>2240</v>
      </c>
      <c r="F119" s="20"/>
      <c r="G119" s="18" t="s">
        <v>685</v>
      </c>
      <c r="H119" s="19" t="s">
        <v>2241</v>
      </c>
      <c r="I119" s="20"/>
      <c r="J119" s="18" t="s">
        <v>852</v>
      </c>
      <c r="K119" s="19" t="s">
        <v>2242</v>
      </c>
      <c r="L119" s="20"/>
      <c r="M119" s="18" t="s">
        <v>686</v>
      </c>
      <c r="N119" s="19" t="s">
        <v>2243</v>
      </c>
      <c r="O119" s="20"/>
    </row>
    <row r="120" ht="180.0" customHeight="1">
      <c r="A120" s="21" t="str">
        <f>IMAGE("https://assets.tcgdex.net/de/sv/sv09/146/low.jpg", 1)</f>
        <v/>
      </c>
      <c r="B120" s="22"/>
      <c r="C120" s="20"/>
      <c r="D120" s="21" t="str">
        <f>IMAGE("https://assets.tcgdex.net/de/sv/sv09/147/low.jpg", 1)</f>
        <v/>
      </c>
      <c r="E120" s="22"/>
      <c r="F120" s="20"/>
      <c r="G120" s="21" t="str">
        <f>IMAGE("https://assets.tcgdex.net/de/sv/sv09/148/low.jpg", 1)</f>
        <v/>
      </c>
      <c r="H120" s="22"/>
      <c r="I120" s="20"/>
      <c r="J120" s="21" t="str">
        <f>IMAGE("https://assets.tcgdex.net/de/sv/sv09/149/low.jpg", 1)</f>
        <v/>
      </c>
      <c r="K120" s="22"/>
      <c r="L120" s="20"/>
      <c r="M120" s="21" t="str">
        <f>IMAGE("https://assets.tcgdex.net/de/sv/sv09/150/low.jpg", 1)</f>
        <v/>
      </c>
      <c r="N120" s="22"/>
      <c r="O120" s="20"/>
    </row>
    <row r="121" ht="22.5" customHeight="1">
      <c r="A121" s="23" t="b">
        <v>0</v>
      </c>
      <c r="B121" s="24" t="b">
        <v>0</v>
      </c>
      <c r="C121" s="25" t="str">
        <f>HYPERLINK("https://www.cardmarket.com/en/Pokemon/Products/Singles?idCategory=1&amp;idProduct=sv9-146", "CM")</f>
        <v>CM</v>
      </c>
      <c r="D121" s="23" t="b">
        <v>0</v>
      </c>
      <c r="E121" s="24" t="b">
        <v>0</v>
      </c>
      <c r="F121" s="25" t="str">
        <f>HYPERLINK("https://www.cardmarket.com/en/Pokemon/Products/Singles?idCategory=1&amp;idProduct=sv9-147", "CM")</f>
        <v>CM</v>
      </c>
      <c r="G121" s="23" t="b">
        <v>0</v>
      </c>
      <c r="H121" s="24" t="b">
        <v>0</v>
      </c>
      <c r="I121" s="25" t="str">
        <f>HYPERLINK("https://www.cardmarket.com/en/Pokemon/Products/Singles?idCategory=1&amp;idProduct=sv9-148", "CM")</f>
        <v>CM</v>
      </c>
      <c r="J121" s="23" t="b">
        <v>0</v>
      </c>
      <c r="K121" s="24" t="b">
        <v>0</v>
      </c>
      <c r="L121" s="25" t="str">
        <f>HYPERLINK("https://www.cardmarket.com/en/Pokemon/Products/Singles?idCategory=1&amp;idProduct=sv9-149", "CM")</f>
        <v>CM</v>
      </c>
      <c r="M121" s="23" t="b">
        <v>0</v>
      </c>
      <c r="N121" s="24" t="b">
        <v>0</v>
      </c>
      <c r="O121" s="25" t="str">
        <f>HYPERLINK("https://www.cardmarket.com/en/Pokemon/Products/Singles?idCategory=1&amp;idProduct=sv9-150", "CM")</f>
        <v>CM</v>
      </c>
    </row>
    <row r="122" ht="7.5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</row>
    <row r="123" ht="18.75" customHeight="1">
      <c r="A123" s="18" t="s">
        <v>853</v>
      </c>
      <c r="B123" s="19" t="s">
        <v>2244</v>
      </c>
      <c r="C123" s="20"/>
      <c r="D123" s="18" t="s">
        <v>855</v>
      </c>
      <c r="E123" s="19" t="s">
        <v>2245</v>
      </c>
      <c r="F123" s="20"/>
      <c r="G123" s="18" t="s">
        <v>687</v>
      </c>
      <c r="H123" s="19" t="s">
        <v>2246</v>
      </c>
      <c r="I123" s="20"/>
      <c r="J123" s="18" t="s">
        <v>689</v>
      </c>
      <c r="K123" s="19" t="s">
        <v>2247</v>
      </c>
      <c r="L123" s="20"/>
      <c r="M123" s="18" t="s">
        <v>691</v>
      </c>
      <c r="N123" s="19" t="s">
        <v>1040</v>
      </c>
      <c r="O123" s="20"/>
    </row>
    <row r="124" ht="180.0" customHeight="1">
      <c r="A124" s="21" t="str">
        <f>IMAGE("https://assets.tcgdex.net/de/sv/sv09/151/low.jpg", 1)</f>
        <v/>
      </c>
      <c r="B124" s="22"/>
      <c r="C124" s="20"/>
      <c r="D124" s="21" t="str">
        <f>IMAGE("https://assets.tcgdex.net/de/sv/sv09/152/low.jpg", 1)</f>
        <v/>
      </c>
      <c r="E124" s="22"/>
      <c r="F124" s="20"/>
      <c r="G124" s="21" t="str">
        <f>IMAGE("https://assets.tcgdex.net/de/sv/sv09/153/low.jpg", 1)</f>
        <v/>
      </c>
      <c r="H124" s="22"/>
      <c r="I124" s="20"/>
      <c r="J124" s="21" t="str">
        <f>IMAGE("https://assets.tcgdex.net/de/sv/sv09/154/low.jpg", 1)</f>
        <v/>
      </c>
      <c r="K124" s="22"/>
      <c r="L124" s="20"/>
      <c r="M124" s="21" t="str">
        <f>IMAGE("https://assets.tcgdex.net/de/sv/sv09/155/low.jpg", 1)</f>
        <v/>
      </c>
      <c r="N124" s="22"/>
      <c r="O124" s="20"/>
    </row>
    <row r="125" ht="22.5" customHeight="1">
      <c r="A125" s="23" t="b">
        <v>0</v>
      </c>
      <c r="B125" s="24" t="b">
        <v>0</v>
      </c>
      <c r="C125" s="25" t="str">
        <f>HYPERLINK("https://www.cardmarket.com/en/Pokemon/Products/Singles?idCategory=1&amp;idProduct=sv9-151", "CM")</f>
        <v>CM</v>
      </c>
      <c r="D125" s="23" t="b">
        <v>0</v>
      </c>
      <c r="E125" s="24" t="b">
        <v>0</v>
      </c>
      <c r="F125" s="25" t="str">
        <f>HYPERLINK("https://www.cardmarket.com/en/Pokemon/Products/Singles?idCategory=1&amp;idProduct=sv9-152", "CM")</f>
        <v>CM</v>
      </c>
      <c r="G125" s="23" t="b">
        <v>0</v>
      </c>
      <c r="H125" s="24" t="b">
        <v>0</v>
      </c>
      <c r="I125" s="25" t="str">
        <f>HYPERLINK("https://www.cardmarket.com/en/Pokemon/Products/Singles?idCategory=1&amp;idProduct=sv9-153", "CM")</f>
        <v>CM</v>
      </c>
      <c r="J125" s="23" t="b">
        <v>0</v>
      </c>
      <c r="K125" s="24" t="b">
        <v>0</v>
      </c>
      <c r="L125" s="25" t="str">
        <f>HYPERLINK("https://www.cardmarket.com/en/Pokemon/Products/Singles?idCategory=1&amp;idProduct=sv9-154", "CM")</f>
        <v>CM</v>
      </c>
      <c r="M125" s="23" t="b">
        <v>0</v>
      </c>
      <c r="N125" s="24" t="b">
        <v>0</v>
      </c>
      <c r="O125" s="25" t="str">
        <f>HYPERLINK("https://www.cardmarket.com/en/Pokemon/Products/Singles?idCategory=1&amp;idProduct=sv9-155", "CM")</f>
        <v>CM</v>
      </c>
    </row>
    <row r="126" ht="7.5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</row>
    <row r="127" ht="18.75" customHeight="1">
      <c r="A127" s="18" t="s">
        <v>857</v>
      </c>
      <c r="B127" s="19" t="s">
        <v>2248</v>
      </c>
      <c r="C127" s="20"/>
      <c r="D127" s="18" t="s">
        <v>859</v>
      </c>
      <c r="E127" s="19" t="s">
        <v>2249</v>
      </c>
      <c r="F127" s="20"/>
      <c r="G127" s="18" t="s">
        <v>693</v>
      </c>
      <c r="H127" s="19" t="s">
        <v>2250</v>
      </c>
      <c r="I127" s="20"/>
      <c r="J127" s="18" t="s">
        <v>861</v>
      </c>
      <c r="K127" s="19" t="s">
        <v>2251</v>
      </c>
      <c r="L127" s="20"/>
      <c r="M127" s="18" t="s">
        <v>695</v>
      </c>
      <c r="N127" s="19" t="s">
        <v>1726</v>
      </c>
      <c r="O127" s="20"/>
    </row>
    <row r="128" ht="180.0" customHeight="1">
      <c r="A128" s="21" t="str">
        <f>IMAGE("https://assets.tcgdex.net/de/sv/sv09/156/low.jpg", 1)</f>
        <v/>
      </c>
      <c r="B128" s="22"/>
      <c r="C128" s="20"/>
      <c r="D128" s="21" t="str">
        <f>IMAGE("https://assets.tcgdex.net/de/sv/sv09/157/low.jpg", 1)</f>
        <v/>
      </c>
      <c r="E128" s="22"/>
      <c r="F128" s="20"/>
      <c r="G128" s="21" t="str">
        <f>IMAGE("https://assets.tcgdex.net/de/sv/sv09/158/low.jpg", 1)</f>
        <v/>
      </c>
      <c r="H128" s="22"/>
      <c r="I128" s="20"/>
      <c r="J128" s="21" t="str">
        <f>IMAGE("https://assets.tcgdex.net/de/sv/sv09/159/low.jpg", 1)</f>
        <v/>
      </c>
      <c r="K128" s="22"/>
      <c r="L128" s="20"/>
      <c r="M128" s="21" t="str">
        <f>IMAGE("https://assets.tcgdex.net/de/sv/sv09/160/low.jpg", 1)</f>
        <v/>
      </c>
      <c r="N128" s="22"/>
      <c r="O128" s="20"/>
    </row>
    <row r="129" ht="22.5" customHeight="1">
      <c r="A129" s="23" t="b">
        <v>0</v>
      </c>
      <c r="B129" s="24" t="b">
        <v>0</v>
      </c>
      <c r="C129" s="25" t="str">
        <f>HYPERLINK("https://www.cardmarket.com/en/Pokemon/Products/Singles?idCategory=1&amp;idProduct=sv9-156", "CM")</f>
        <v>CM</v>
      </c>
      <c r="D129" s="23" t="b">
        <v>0</v>
      </c>
      <c r="E129" s="24" t="b">
        <v>0</v>
      </c>
      <c r="F129" s="25" t="str">
        <f>HYPERLINK("https://www.cardmarket.com/en/Pokemon/Products/Singles?idCategory=1&amp;idProduct=sv9-157", "CM")</f>
        <v>CM</v>
      </c>
      <c r="G129" s="23" t="b">
        <v>0</v>
      </c>
      <c r="H129" s="24" t="b">
        <v>0</v>
      </c>
      <c r="I129" s="25" t="str">
        <f>HYPERLINK("https://www.cardmarket.com/en/Pokemon/Products/Singles?idCategory=1&amp;idProduct=sv9-158", "CM")</f>
        <v>CM</v>
      </c>
      <c r="J129" s="23" t="b">
        <v>0</v>
      </c>
      <c r="K129" s="24" t="b">
        <v>0</v>
      </c>
      <c r="L129" s="25" t="str">
        <f>HYPERLINK("https://www.cardmarket.com/en/Pokemon/Products/Singles?idCategory=1&amp;idProduct=sv9-159", "CM")</f>
        <v>CM</v>
      </c>
      <c r="M129" s="23" t="b">
        <v>0</v>
      </c>
      <c r="N129" s="24" t="b">
        <v>0</v>
      </c>
      <c r="O129" s="25" t="str">
        <f>HYPERLINK("https://www.cardmarket.com/en/Pokemon/Products/Singles?idCategory=1&amp;idProduct=sv9-160", "CM")</f>
        <v>CM</v>
      </c>
    </row>
    <row r="130" ht="7.5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</row>
    <row r="131" ht="18.75" customHeight="1">
      <c r="A131" s="18" t="s">
        <v>862</v>
      </c>
      <c r="B131" s="19" t="s">
        <v>1572</v>
      </c>
      <c r="C131" s="20"/>
      <c r="D131" s="18" t="s">
        <v>697</v>
      </c>
      <c r="E131" s="19" t="s">
        <v>919</v>
      </c>
      <c r="F131" s="20"/>
      <c r="G131" s="18" t="s">
        <v>863</v>
      </c>
      <c r="H131" s="19" t="s">
        <v>706</v>
      </c>
      <c r="I131" s="20"/>
      <c r="J131" s="18" t="s">
        <v>865</v>
      </c>
      <c r="K131" s="19" t="s">
        <v>891</v>
      </c>
      <c r="L131" s="20"/>
      <c r="M131" s="18" t="s">
        <v>867</v>
      </c>
      <c r="N131" s="19" t="s">
        <v>2207</v>
      </c>
      <c r="O131" s="20"/>
    </row>
    <row r="132" ht="180.0" customHeight="1">
      <c r="A132" s="21" t="str">
        <f>IMAGE("https://assets.tcgdex.net/de/sv/sv09/161/low.jpg", 1)</f>
        <v/>
      </c>
      <c r="B132" s="22"/>
      <c r="C132" s="20"/>
      <c r="D132" s="21" t="str">
        <f>IMAGE("https://assets.tcgdex.net/de/sv/sv09/162/low.jpg", 1)</f>
        <v/>
      </c>
      <c r="E132" s="22"/>
      <c r="F132" s="20"/>
      <c r="G132" s="21" t="str">
        <f>IMAGE("https://assets.tcgdex.net/de/sv/sv09/163/low.jpg", 1)</f>
        <v/>
      </c>
      <c r="H132" s="22"/>
      <c r="I132" s="20"/>
      <c r="J132" s="21" t="str">
        <f>IMAGE("https://assets.tcgdex.net/de/sv/sv09/164/low.jpg", 1)</f>
        <v/>
      </c>
      <c r="K132" s="22"/>
      <c r="L132" s="20"/>
      <c r="M132" s="21" t="str">
        <f>IMAGE("https://assets.tcgdex.net/de/sv/sv09/165/low.jpg", 1)</f>
        <v/>
      </c>
      <c r="N132" s="22"/>
      <c r="O132" s="20"/>
    </row>
    <row r="133" ht="22.5" customHeight="1">
      <c r="A133" s="23" t="b">
        <v>0</v>
      </c>
      <c r="B133" s="24" t="b">
        <v>0</v>
      </c>
      <c r="C133" s="25" t="str">
        <f>HYPERLINK("https://www.cardmarket.com/en/Pokemon/Products/Singles?idCategory=1&amp;idProduct=sv9-161", "CM")</f>
        <v>CM</v>
      </c>
      <c r="D133" s="23" t="b">
        <v>0</v>
      </c>
      <c r="E133" s="24" t="b">
        <v>0</v>
      </c>
      <c r="F133" s="25" t="str">
        <f>HYPERLINK("https://www.cardmarket.com/en/Pokemon/Products/Singles?idCategory=1&amp;idProduct=sv9-162", "CM")</f>
        <v>CM</v>
      </c>
      <c r="G133" s="23" t="b">
        <v>0</v>
      </c>
      <c r="H133" s="24" t="b">
        <v>0</v>
      </c>
      <c r="I133" s="25" t="str">
        <f>HYPERLINK("https://www.cardmarket.com/en/Pokemon/Products/Singles?idCategory=1&amp;idProduct=sv9-163", "CM")</f>
        <v>CM</v>
      </c>
      <c r="J133" s="23" t="b">
        <v>0</v>
      </c>
      <c r="K133" s="24" t="b">
        <v>0</v>
      </c>
      <c r="L133" s="25" t="str">
        <f>HYPERLINK("https://www.cardmarket.com/en/Pokemon/Products/Singles?idCategory=1&amp;idProduct=sv9-164", "CM")</f>
        <v>CM</v>
      </c>
      <c r="M133" s="23" t="b">
        <v>0</v>
      </c>
      <c r="N133" s="24" t="b">
        <v>0</v>
      </c>
      <c r="O133" s="25" t="str">
        <f>HYPERLINK("https://www.cardmarket.com/en/Pokemon/Products/Singles?idCategory=1&amp;idProduct=sv9-165", "CM")</f>
        <v>CM</v>
      </c>
    </row>
    <row r="134" ht="7.5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</row>
    <row r="135" ht="18.75" customHeight="1">
      <c r="A135" s="18" t="s">
        <v>869</v>
      </c>
      <c r="B135" s="19" t="s">
        <v>1001</v>
      </c>
      <c r="C135" s="20"/>
      <c r="D135" s="18" t="s">
        <v>871</v>
      </c>
      <c r="E135" s="19" t="s">
        <v>2227</v>
      </c>
      <c r="F135" s="20"/>
      <c r="G135" s="18" t="s">
        <v>873</v>
      </c>
      <c r="H135" s="19" t="s">
        <v>2229</v>
      </c>
      <c r="I135" s="20"/>
      <c r="J135" s="18" t="s">
        <v>875</v>
      </c>
      <c r="K135" s="19" t="s">
        <v>1746</v>
      </c>
      <c r="L135" s="20"/>
      <c r="M135" s="18" t="s">
        <v>877</v>
      </c>
      <c r="N135" s="19" t="s">
        <v>2235</v>
      </c>
      <c r="O135" s="20"/>
    </row>
    <row r="136" ht="180.0" customHeight="1">
      <c r="A136" s="21" t="str">
        <f>IMAGE("https://assets.tcgdex.net/de/sv/sv09/166/low.jpg", 1)</f>
        <v/>
      </c>
      <c r="B136" s="22"/>
      <c r="C136" s="20"/>
      <c r="D136" s="21" t="str">
        <f>IMAGE("https://assets.tcgdex.net/de/sv/sv09/167/low.jpg", 1)</f>
        <v/>
      </c>
      <c r="E136" s="22"/>
      <c r="F136" s="20"/>
      <c r="G136" s="21" t="str">
        <f>IMAGE("https://assets.tcgdex.net/de/sv/sv09/168/low.jpg", 1)</f>
        <v/>
      </c>
      <c r="H136" s="22"/>
      <c r="I136" s="20"/>
      <c r="J136" s="21" t="str">
        <f>IMAGE("https://assets.tcgdex.net/de/sv/sv09/169/low.jpg", 1)</f>
        <v/>
      </c>
      <c r="K136" s="22"/>
      <c r="L136" s="20"/>
      <c r="M136" s="21" t="str">
        <f>IMAGE("https://assets.tcgdex.net/de/sv/sv09/170/low.jpg", 1)</f>
        <v/>
      </c>
      <c r="N136" s="22"/>
      <c r="O136" s="20"/>
    </row>
    <row r="137" ht="22.5" customHeight="1">
      <c r="A137" s="23" t="b">
        <v>0</v>
      </c>
      <c r="B137" s="24" t="b">
        <v>0</v>
      </c>
      <c r="C137" s="25" t="str">
        <f>HYPERLINK("https://www.cardmarket.com/en/Pokemon/Products/Singles?idCategory=1&amp;idProduct=sv9-166", "CM")</f>
        <v>CM</v>
      </c>
      <c r="D137" s="23" t="b">
        <v>0</v>
      </c>
      <c r="E137" s="24" t="b">
        <v>0</v>
      </c>
      <c r="F137" s="25" t="str">
        <f>HYPERLINK("https://www.cardmarket.com/en/Pokemon/Products/Singles?idCategory=1&amp;idProduct=sv9-167", "CM")</f>
        <v>CM</v>
      </c>
      <c r="G137" s="23" t="b">
        <v>0</v>
      </c>
      <c r="H137" s="24" t="b">
        <v>0</v>
      </c>
      <c r="I137" s="25" t="str">
        <f>HYPERLINK("https://www.cardmarket.com/en/Pokemon/Products/Singles?idCategory=1&amp;idProduct=sv9-168", "CM")</f>
        <v>CM</v>
      </c>
      <c r="J137" s="23" t="b">
        <v>0</v>
      </c>
      <c r="K137" s="24" t="b">
        <v>0</v>
      </c>
      <c r="L137" s="25" t="str">
        <f>HYPERLINK("https://www.cardmarket.com/en/Pokemon/Products/Singles?idCategory=1&amp;idProduct=sv9-169", "CM")</f>
        <v>CM</v>
      </c>
      <c r="M137" s="23" t="b">
        <v>0</v>
      </c>
      <c r="N137" s="24" t="b">
        <v>0</v>
      </c>
      <c r="O137" s="25" t="str">
        <f>HYPERLINK("https://www.cardmarket.com/en/Pokemon/Products/Singles?idCategory=1&amp;idProduct=sv9-170", "CM")</f>
        <v>CM</v>
      </c>
    </row>
    <row r="138" ht="7.5" customHeight="1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</row>
    <row r="139" ht="18.75" customHeight="1">
      <c r="A139" s="18" t="s">
        <v>879</v>
      </c>
      <c r="B139" s="19" t="s">
        <v>2187</v>
      </c>
      <c r="C139" s="20"/>
      <c r="D139" s="18" t="s">
        <v>881</v>
      </c>
      <c r="E139" s="19" t="s">
        <v>714</v>
      </c>
      <c r="F139" s="20"/>
      <c r="G139" s="18" t="s">
        <v>883</v>
      </c>
      <c r="H139" s="19" t="s">
        <v>716</v>
      </c>
      <c r="I139" s="20"/>
      <c r="J139" s="18" t="s">
        <v>699</v>
      </c>
      <c r="K139" s="19" t="s">
        <v>2209</v>
      </c>
      <c r="L139" s="20"/>
      <c r="M139" s="18" t="s">
        <v>1304</v>
      </c>
      <c r="N139" s="19" t="s">
        <v>2215</v>
      </c>
      <c r="O139" s="20"/>
    </row>
    <row r="140" ht="180.0" customHeight="1">
      <c r="A140" s="21" t="str">
        <f>IMAGE("https://assets.tcgdex.net/de/sv/sv09/171/low.jpg", 1)</f>
        <v/>
      </c>
      <c r="B140" s="22"/>
      <c r="C140" s="20"/>
      <c r="D140" s="21" t="str">
        <f>IMAGE("https://assets.tcgdex.net/de/sv/sv09/172/low.jpg", 1)</f>
        <v/>
      </c>
      <c r="E140" s="22"/>
      <c r="F140" s="20"/>
      <c r="G140" s="21" t="str">
        <f>IMAGE("https://assets.tcgdex.net/de/sv/sv09/173/low.jpg", 1)</f>
        <v/>
      </c>
      <c r="H140" s="22"/>
      <c r="I140" s="20"/>
      <c r="J140" s="21" t="str">
        <f>IMAGE("https://assets.tcgdex.net/de/sv/sv09/174/low.jpg", 1)</f>
        <v/>
      </c>
      <c r="K140" s="22"/>
      <c r="L140" s="20"/>
      <c r="M140" s="21" t="str">
        <f>IMAGE("https://assets.tcgdex.net/de/sv/sv09/175/low.jpg", 1)</f>
        <v/>
      </c>
      <c r="N140" s="22"/>
      <c r="O140" s="20"/>
    </row>
    <row r="141" ht="22.5" customHeight="1">
      <c r="A141" s="23" t="b">
        <v>0</v>
      </c>
      <c r="B141" s="24" t="b">
        <v>0</v>
      </c>
      <c r="C141" s="25" t="str">
        <f>HYPERLINK("https://www.cardmarket.com/en/Pokemon/Products/Singles?idCategory=1&amp;idProduct=sv9-171", "CM")</f>
        <v>CM</v>
      </c>
      <c r="D141" s="23" t="b">
        <v>0</v>
      </c>
      <c r="E141" s="24" t="b">
        <v>0</v>
      </c>
      <c r="F141" s="25" t="str">
        <f>HYPERLINK("https://www.cardmarket.com/en/Pokemon/Products/Singles?idCategory=1&amp;idProduct=sv9-172", "CM")</f>
        <v>CM</v>
      </c>
      <c r="G141" s="23" t="b">
        <v>0</v>
      </c>
      <c r="H141" s="24" t="b">
        <v>0</v>
      </c>
      <c r="I141" s="25" t="str">
        <f>HYPERLINK("https://www.cardmarket.com/en/Pokemon/Products/Singles?idCategory=1&amp;idProduct=sv9-173", "CM")</f>
        <v>CM</v>
      </c>
      <c r="J141" s="23" t="b">
        <v>0</v>
      </c>
      <c r="K141" s="24" t="b">
        <v>0</v>
      </c>
      <c r="L141" s="25" t="str">
        <f>HYPERLINK("https://www.cardmarket.com/en/Pokemon/Products/Singles?idCategory=1&amp;idProduct=sv9-174", "CM")</f>
        <v>CM</v>
      </c>
      <c r="M141" s="23" t="b">
        <v>0</v>
      </c>
      <c r="N141" s="24" t="b">
        <v>0</v>
      </c>
      <c r="O141" s="25" t="str">
        <f>HYPERLINK("https://www.cardmarket.com/en/Pokemon/Products/Singles?idCategory=1&amp;idProduct=sv9-175", "CM")</f>
        <v>CM</v>
      </c>
    </row>
    <row r="142" ht="7.5" customHeight="1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</row>
    <row r="143" ht="18.75" customHeight="1">
      <c r="A143" s="18" t="s">
        <v>1306</v>
      </c>
      <c r="B143" s="19" t="s">
        <v>899</v>
      </c>
      <c r="C143" s="20"/>
      <c r="D143" s="18" t="s">
        <v>884</v>
      </c>
      <c r="E143" s="19" t="s">
        <v>2225</v>
      </c>
      <c r="F143" s="20"/>
      <c r="G143" s="18" t="s">
        <v>701</v>
      </c>
      <c r="H143" s="19" t="s">
        <v>2230</v>
      </c>
      <c r="I143" s="20"/>
      <c r="J143" s="18" t="s">
        <v>703</v>
      </c>
      <c r="K143" s="19" t="s">
        <v>2239</v>
      </c>
      <c r="L143" s="20"/>
      <c r="M143" s="18" t="s">
        <v>886</v>
      </c>
      <c r="N143" s="19" t="s">
        <v>2242</v>
      </c>
      <c r="O143" s="20"/>
    </row>
    <row r="144" ht="180.0" customHeight="1">
      <c r="A144" s="21" t="str">
        <f>IMAGE("https://assets.tcgdex.net/de/sv/sv09/176/low.jpg", 1)</f>
        <v/>
      </c>
      <c r="B144" s="22"/>
      <c r="C144" s="20"/>
      <c r="D144" s="21" t="str">
        <f>IMAGE("https://assets.tcgdex.net/de/sv/sv09/177/low.jpg", 1)</f>
        <v/>
      </c>
      <c r="E144" s="22"/>
      <c r="F144" s="20"/>
      <c r="G144" s="21" t="str">
        <f>IMAGE("https://assets.tcgdex.net/de/sv/sv09/178/low.jpg", 1)</f>
        <v/>
      </c>
      <c r="H144" s="22"/>
      <c r="I144" s="20"/>
      <c r="J144" s="21" t="str">
        <f>IMAGE("https://assets.tcgdex.net/de/sv/sv09/179/low.jpg", 1)</f>
        <v/>
      </c>
      <c r="K144" s="22"/>
      <c r="L144" s="20"/>
      <c r="M144" s="21" t="str">
        <f>IMAGE("https://assets.tcgdex.net/de/sv/sv09/180/low.jpg", 1)</f>
        <v/>
      </c>
      <c r="N144" s="22"/>
      <c r="O144" s="20"/>
    </row>
    <row r="145" ht="22.5" customHeight="1">
      <c r="A145" s="23" t="b">
        <v>0</v>
      </c>
      <c r="B145" s="24" t="b">
        <v>0</v>
      </c>
      <c r="C145" s="25" t="str">
        <f>HYPERLINK("https://www.cardmarket.com/en/Pokemon/Products/Singles?idCategory=1&amp;idProduct=sv9-176", "CM")</f>
        <v>CM</v>
      </c>
      <c r="D145" s="23" t="b">
        <v>0</v>
      </c>
      <c r="E145" s="24" t="b">
        <v>0</v>
      </c>
      <c r="F145" s="25" t="str">
        <f>HYPERLINK("https://www.cardmarket.com/en/Pokemon/Products/Singles?idCategory=1&amp;idProduct=sv9-177", "CM")</f>
        <v>CM</v>
      </c>
      <c r="G145" s="23" t="b">
        <v>0</v>
      </c>
      <c r="H145" s="24" t="b">
        <v>0</v>
      </c>
      <c r="I145" s="25" t="str">
        <f>HYPERLINK("https://www.cardmarket.com/en/Pokemon/Products/Singles?idCategory=1&amp;idProduct=sv9-178", "CM")</f>
        <v>CM</v>
      </c>
      <c r="J145" s="23" t="b">
        <v>0</v>
      </c>
      <c r="K145" s="24" t="b">
        <v>0</v>
      </c>
      <c r="L145" s="25" t="str">
        <f>HYPERLINK("https://www.cardmarket.com/en/Pokemon/Products/Singles?idCategory=1&amp;idProduct=sv9-179", "CM")</f>
        <v>CM</v>
      </c>
      <c r="M145" s="23" t="b">
        <v>0</v>
      </c>
      <c r="N145" s="24" t="b">
        <v>0</v>
      </c>
      <c r="O145" s="25" t="str">
        <f>HYPERLINK("https://www.cardmarket.com/en/Pokemon/Products/Singles?idCategory=1&amp;idProduct=sv9-180", "CM")</f>
        <v>CM</v>
      </c>
    </row>
    <row r="146" ht="7.5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</row>
    <row r="147" ht="18.75" customHeight="1">
      <c r="A147" s="18" t="s">
        <v>888</v>
      </c>
      <c r="B147" s="19" t="s">
        <v>2249</v>
      </c>
      <c r="C147" s="20"/>
      <c r="D147" s="18" t="s">
        <v>705</v>
      </c>
      <c r="E147" s="19" t="s">
        <v>2187</v>
      </c>
      <c r="F147" s="20"/>
      <c r="G147" s="18" t="s">
        <v>890</v>
      </c>
      <c r="H147" s="19" t="s">
        <v>714</v>
      </c>
      <c r="I147" s="20"/>
      <c r="J147" s="18" t="s">
        <v>707</v>
      </c>
      <c r="K147" s="19" t="s">
        <v>716</v>
      </c>
      <c r="L147" s="20"/>
      <c r="M147" s="18" t="s">
        <v>709</v>
      </c>
      <c r="N147" s="19" t="s">
        <v>2215</v>
      </c>
      <c r="O147" s="20"/>
    </row>
    <row r="148" ht="180.0" customHeight="1">
      <c r="A148" s="21" t="str">
        <f>IMAGE("https://assets.tcgdex.net/de/sv/sv09/181/low.jpg", 1)</f>
        <v/>
      </c>
      <c r="B148" s="22"/>
      <c r="C148" s="20"/>
      <c r="D148" s="21" t="str">
        <f>IMAGE("https://assets.tcgdex.net/de/sv/sv09/182/low.jpg", 1)</f>
        <v/>
      </c>
      <c r="E148" s="22"/>
      <c r="F148" s="20"/>
      <c r="G148" s="21" t="str">
        <f>IMAGE("https://assets.tcgdex.net/de/sv/sv09/183/low.jpg", 1)</f>
        <v/>
      </c>
      <c r="H148" s="22"/>
      <c r="I148" s="20"/>
      <c r="J148" s="21" t="str">
        <f>IMAGE("https://assets.tcgdex.net/de/sv/sv09/184/low.jpg", 1)</f>
        <v/>
      </c>
      <c r="K148" s="22"/>
      <c r="L148" s="20"/>
      <c r="M148" s="21" t="str">
        <f>IMAGE("https://assets.tcgdex.net/de/sv/sv09/185/low.jpg", 1)</f>
        <v/>
      </c>
      <c r="N148" s="22"/>
      <c r="O148" s="20"/>
    </row>
    <row r="149" ht="22.5" customHeight="1">
      <c r="A149" s="23" t="b">
        <v>0</v>
      </c>
      <c r="B149" s="24" t="b">
        <v>0</v>
      </c>
      <c r="C149" s="25" t="str">
        <f>HYPERLINK("https://www.cardmarket.com/en/Pokemon/Products/Singles?idCategory=1&amp;idProduct=sv9-181", "CM")</f>
        <v>CM</v>
      </c>
      <c r="D149" s="23" t="b">
        <v>0</v>
      </c>
      <c r="E149" s="24" t="b">
        <v>0</v>
      </c>
      <c r="F149" s="25" t="str">
        <f>HYPERLINK("https://www.cardmarket.com/en/Pokemon/Products/Singles?idCategory=1&amp;idProduct=sv9-182", "CM")</f>
        <v>CM</v>
      </c>
      <c r="G149" s="23" t="b">
        <v>0</v>
      </c>
      <c r="H149" s="24" t="b">
        <v>0</v>
      </c>
      <c r="I149" s="25" t="str">
        <f>HYPERLINK("https://www.cardmarket.com/en/Pokemon/Products/Singles?idCategory=1&amp;idProduct=sv9-183", "CM")</f>
        <v>CM</v>
      </c>
      <c r="J149" s="23" t="b">
        <v>0</v>
      </c>
      <c r="K149" s="24" t="b">
        <v>0</v>
      </c>
      <c r="L149" s="25" t="str">
        <f>HYPERLINK("https://www.cardmarket.com/en/Pokemon/Products/Singles?idCategory=1&amp;idProduct=sv9-184", "CM")</f>
        <v>CM</v>
      </c>
      <c r="M149" s="23" t="b">
        <v>0</v>
      </c>
      <c r="N149" s="24" t="b">
        <v>0</v>
      </c>
      <c r="O149" s="25" t="str">
        <f>HYPERLINK("https://www.cardmarket.com/en/Pokemon/Products/Singles?idCategory=1&amp;idProduct=sv9-185", "CM")</f>
        <v>CM</v>
      </c>
    </row>
    <row r="150" ht="7.5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</row>
    <row r="151" ht="18.75" customHeight="1">
      <c r="A151" s="18" t="s">
        <v>711</v>
      </c>
      <c r="B151" s="19" t="s">
        <v>899</v>
      </c>
      <c r="C151" s="20"/>
      <c r="D151" s="18" t="s">
        <v>892</v>
      </c>
      <c r="E151" s="19" t="s">
        <v>2225</v>
      </c>
      <c r="F151" s="20"/>
      <c r="G151" s="18" t="s">
        <v>894</v>
      </c>
      <c r="H151" s="19" t="s">
        <v>714</v>
      </c>
      <c r="I151" s="20"/>
      <c r="J151" s="18" t="s">
        <v>896</v>
      </c>
      <c r="K151" s="19" t="s">
        <v>2215</v>
      </c>
      <c r="L151" s="20"/>
      <c r="M151" s="18" t="s">
        <v>1312</v>
      </c>
      <c r="N151" s="19" t="s">
        <v>2251</v>
      </c>
      <c r="O151" s="20"/>
    </row>
    <row r="152" ht="180.0" customHeight="1">
      <c r="A152" s="21" t="str">
        <f>IMAGE("https://assets.tcgdex.net/de/sv/sv09/186/low.jpg", 1)</f>
        <v/>
      </c>
      <c r="B152" s="22"/>
      <c r="C152" s="20"/>
      <c r="D152" s="21" t="str">
        <f>IMAGE("https://assets.tcgdex.net/de/sv/sv09/187/low.jpg", 1)</f>
        <v/>
      </c>
      <c r="E152" s="22"/>
      <c r="F152" s="20"/>
      <c r="G152" s="21" t="str">
        <f>IMAGE("https://assets.tcgdex.net/de/sv/sv09/188/low.jpg", 1)</f>
        <v/>
      </c>
      <c r="H152" s="22"/>
      <c r="I152" s="20"/>
      <c r="J152" s="21" t="str">
        <f>IMAGE("https://assets.tcgdex.net/de/sv/sv09/189/low.jpg", 1)</f>
        <v/>
      </c>
      <c r="K152" s="22"/>
      <c r="L152" s="20"/>
      <c r="M152" s="21" t="str">
        <f>IMAGE("https://assets.tcgdex.net/de/sv/sv09/190/low.jpg", 1)</f>
        <v/>
      </c>
      <c r="N152" s="22"/>
      <c r="O152" s="20"/>
    </row>
    <row r="153" ht="22.5" customHeight="1">
      <c r="A153" s="23" t="b">
        <v>0</v>
      </c>
      <c r="B153" s="24" t="b">
        <v>0</v>
      </c>
      <c r="C153" s="25" t="str">
        <f>HYPERLINK("https://www.cardmarket.com/en/Pokemon/Products/Singles?idCategory=1&amp;idProduct=sv9-186", "CM")</f>
        <v>CM</v>
      </c>
      <c r="D153" s="23" t="b">
        <v>0</v>
      </c>
      <c r="E153" s="24" t="b">
        <v>0</v>
      </c>
      <c r="F153" s="25" t="str">
        <f>HYPERLINK("https://www.cardmarket.com/en/Pokemon/Products/Singles?idCategory=1&amp;idProduct=sv9-187", "CM")</f>
        <v>CM</v>
      </c>
      <c r="G153" s="23" t="b">
        <v>0</v>
      </c>
      <c r="H153" s="24" t="b">
        <v>0</v>
      </c>
      <c r="I153" s="25" t="str">
        <f>HYPERLINK("https://www.cardmarket.com/en/Pokemon/Products/Singles?idCategory=1&amp;idProduct=sv9-188", "CM")</f>
        <v>CM</v>
      </c>
      <c r="J153" s="23" t="b">
        <v>0</v>
      </c>
      <c r="K153" s="24" t="b">
        <v>0</v>
      </c>
      <c r="L153" s="25" t="str">
        <f>HYPERLINK("https://www.cardmarket.com/en/Pokemon/Products/Singles?idCategory=1&amp;idProduct=sv9-189", "CM")</f>
        <v>CM</v>
      </c>
      <c r="M153" s="23" t="b">
        <v>0</v>
      </c>
      <c r="N153" s="24" t="b">
        <v>0</v>
      </c>
      <c r="O153" s="25" t="str">
        <f>HYPERLINK("https://www.cardmarket.com/en/Pokemon/Products/Singles?idCategory=1&amp;idProduct=sv9-190", "CM")</f>
        <v>CM</v>
      </c>
    </row>
    <row r="154" ht="7.5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</row>
  </sheetData>
  <mergeCells count="382">
    <mergeCell ref="H3:I3"/>
    <mergeCell ref="K3:L3"/>
    <mergeCell ref="J4:L4"/>
    <mergeCell ref="N3:O3"/>
    <mergeCell ref="M4:O4"/>
    <mergeCell ref="A1:N1"/>
    <mergeCell ref="A2:O2"/>
    <mergeCell ref="B3:C3"/>
    <mergeCell ref="A4:C4"/>
    <mergeCell ref="E3:F3"/>
    <mergeCell ref="D4:F4"/>
    <mergeCell ref="G4:I4"/>
    <mergeCell ref="K7:L7"/>
    <mergeCell ref="N7:O7"/>
    <mergeCell ref="M8:O8"/>
    <mergeCell ref="B7:C7"/>
    <mergeCell ref="A8:C8"/>
    <mergeCell ref="E7:F7"/>
    <mergeCell ref="D8:F8"/>
    <mergeCell ref="H7:I7"/>
    <mergeCell ref="G8:I8"/>
    <mergeCell ref="J8:L8"/>
    <mergeCell ref="K11:L11"/>
    <mergeCell ref="N11:O11"/>
    <mergeCell ref="M12:O12"/>
    <mergeCell ref="B11:C11"/>
    <mergeCell ref="A12:C12"/>
    <mergeCell ref="E11:F11"/>
    <mergeCell ref="D12:F12"/>
    <mergeCell ref="H11:I11"/>
    <mergeCell ref="G12:I12"/>
    <mergeCell ref="J12:L12"/>
    <mergeCell ref="K27:L27"/>
    <mergeCell ref="N27:O27"/>
    <mergeCell ref="M28:O28"/>
    <mergeCell ref="B27:C27"/>
    <mergeCell ref="A28:C28"/>
    <mergeCell ref="E27:F27"/>
    <mergeCell ref="D28:F28"/>
    <mergeCell ref="H27:I27"/>
    <mergeCell ref="G28:I28"/>
    <mergeCell ref="J28:L28"/>
    <mergeCell ref="K31:L31"/>
    <mergeCell ref="N31:O31"/>
    <mergeCell ref="M32:O32"/>
    <mergeCell ref="B31:C31"/>
    <mergeCell ref="A32:C32"/>
    <mergeCell ref="E31:F31"/>
    <mergeCell ref="D32:F32"/>
    <mergeCell ref="H31:I31"/>
    <mergeCell ref="G32:I32"/>
    <mergeCell ref="J32:L32"/>
    <mergeCell ref="K35:L35"/>
    <mergeCell ref="N35:O35"/>
    <mergeCell ref="M36:O36"/>
    <mergeCell ref="B35:C35"/>
    <mergeCell ref="A36:C36"/>
    <mergeCell ref="E35:F35"/>
    <mergeCell ref="D36:F36"/>
    <mergeCell ref="H35:I35"/>
    <mergeCell ref="G36:I36"/>
    <mergeCell ref="J36:L36"/>
    <mergeCell ref="K39:L39"/>
    <mergeCell ref="N39:O39"/>
    <mergeCell ref="M40:O40"/>
    <mergeCell ref="B39:C39"/>
    <mergeCell ref="A40:C40"/>
    <mergeCell ref="E39:F39"/>
    <mergeCell ref="D40:F40"/>
    <mergeCell ref="H39:I39"/>
    <mergeCell ref="G40:I40"/>
    <mergeCell ref="J40:L40"/>
    <mergeCell ref="K43:L43"/>
    <mergeCell ref="N43:O43"/>
    <mergeCell ref="M44:O44"/>
    <mergeCell ref="B43:C43"/>
    <mergeCell ref="A44:C44"/>
    <mergeCell ref="E43:F43"/>
    <mergeCell ref="D44:F44"/>
    <mergeCell ref="H43:I43"/>
    <mergeCell ref="G44:I44"/>
    <mergeCell ref="J44:L44"/>
    <mergeCell ref="K47:L47"/>
    <mergeCell ref="N47:O47"/>
    <mergeCell ref="M48:O48"/>
    <mergeCell ref="B47:C47"/>
    <mergeCell ref="A48:C48"/>
    <mergeCell ref="E47:F47"/>
    <mergeCell ref="D48:F48"/>
    <mergeCell ref="H47:I47"/>
    <mergeCell ref="G48:I48"/>
    <mergeCell ref="J48:L48"/>
    <mergeCell ref="K51:L51"/>
    <mergeCell ref="N51:O51"/>
    <mergeCell ref="M52:O52"/>
    <mergeCell ref="B51:C51"/>
    <mergeCell ref="A52:C52"/>
    <mergeCell ref="E51:F51"/>
    <mergeCell ref="D52:F52"/>
    <mergeCell ref="H51:I51"/>
    <mergeCell ref="G52:I52"/>
    <mergeCell ref="J52:L52"/>
    <mergeCell ref="K55:L55"/>
    <mergeCell ref="N55:O55"/>
    <mergeCell ref="M56:O56"/>
    <mergeCell ref="B55:C55"/>
    <mergeCell ref="A56:C56"/>
    <mergeCell ref="E55:F55"/>
    <mergeCell ref="D56:F56"/>
    <mergeCell ref="H55:I55"/>
    <mergeCell ref="G56:I56"/>
    <mergeCell ref="J56:L56"/>
    <mergeCell ref="K59:L59"/>
    <mergeCell ref="N59:O59"/>
    <mergeCell ref="M60:O60"/>
    <mergeCell ref="B59:C59"/>
    <mergeCell ref="A60:C60"/>
    <mergeCell ref="E59:F59"/>
    <mergeCell ref="D60:F60"/>
    <mergeCell ref="H59:I59"/>
    <mergeCell ref="G60:I60"/>
    <mergeCell ref="J60:L60"/>
    <mergeCell ref="K63:L63"/>
    <mergeCell ref="N63:O63"/>
    <mergeCell ref="M64:O64"/>
    <mergeCell ref="B63:C63"/>
    <mergeCell ref="A64:C64"/>
    <mergeCell ref="E63:F63"/>
    <mergeCell ref="D64:F64"/>
    <mergeCell ref="H63:I63"/>
    <mergeCell ref="G64:I64"/>
    <mergeCell ref="J64:L64"/>
    <mergeCell ref="K67:L67"/>
    <mergeCell ref="N67:O67"/>
    <mergeCell ref="M68:O68"/>
    <mergeCell ref="B67:C67"/>
    <mergeCell ref="A68:C68"/>
    <mergeCell ref="E67:F67"/>
    <mergeCell ref="D68:F68"/>
    <mergeCell ref="H67:I67"/>
    <mergeCell ref="G68:I68"/>
    <mergeCell ref="J68:L68"/>
    <mergeCell ref="K71:L71"/>
    <mergeCell ref="N71:O71"/>
    <mergeCell ref="M72:O72"/>
    <mergeCell ref="B71:C71"/>
    <mergeCell ref="A72:C72"/>
    <mergeCell ref="E71:F71"/>
    <mergeCell ref="D72:F72"/>
    <mergeCell ref="H71:I71"/>
    <mergeCell ref="G72:I72"/>
    <mergeCell ref="J72:L72"/>
    <mergeCell ref="K75:L75"/>
    <mergeCell ref="N75:O75"/>
    <mergeCell ref="M76:O76"/>
    <mergeCell ref="B75:C75"/>
    <mergeCell ref="A76:C76"/>
    <mergeCell ref="E75:F75"/>
    <mergeCell ref="D76:F76"/>
    <mergeCell ref="H75:I75"/>
    <mergeCell ref="G76:I76"/>
    <mergeCell ref="J76:L76"/>
    <mergeCell ref="K79:L79"/>
    <mergeCell ref="N79:O79"/>
    <mergeCell ref="M80:O80"/>
    <mergeCell ref="B79:C79"/>
    <mergeCell ref="A80:C80"/>
    <mergeCell ref="E79:F79"/>
    <mergeCell ref="D80:F80"/>
    <mergeCell ref="H79:I79"/>
    <mergeCell ref="G80:I80"/>
    <mergeCell ref="J80:L80"/>
    <mergeCell ref="K83:L83"/>
    <mergeCell ref="N83:O83"/>
    <mergeCell ref="M84:O84"/>
    <mergeCell ref="B83:C83"/>
    <mergeCell ref="A84:C84"/>
    <mergeCell ref="E83:F83"/>
    <mergeCell ref="D84:F84"/>
    <mergeCell ref="H83:I83"/>
    <mergeCell ref="G84:I84"/>
    <mergeCell ref="J84:L84"/>
    <mergeCell ref="K87:L87"/>
    <mergeCell ref="N87:O87"/>
    <mergeCell ref="M88:O88"/>
    <mergeCell ref="B87:C87"/>
    <mergeCell ref="A88:C88"/>
    <mergeCell ref="E87:F87"/>
    <mergeCell ref="D88:F88"/>
    <mergeCell ref="H87:I87"/>
    <mergeCell ref="G88:I88"/>
    <mergeCell ref="J88:L88"/>
    <mergeCell ref="K91:L91"/>
    <mergeCell ref="N91:O91"/>
    <mergeCell ref="M92:O92"/>
    <mergeCell ref="B91:C91"/>
    <mergeCell ref="A92:C92"/>
    <mergeCell ref="E91:F91"/>
    <mergeCell ref="D92:F92"/>
    <mergeCell ref="H91:I91"/>
    <mergeCell ref="G92:I92"/>
    <mergeCell ref="J92:L92"/>
    <mergeCell ref="K95:L95"/>
    <mergeCell ref="N95:O95"/>
    <mergeCell ref="M96:O96"/>
    <mergeCell ref="B95:C95"/>
    <mergeCell ref="A96:C96"/>
    <mergeCell ref="E95:F95"/>
    <mergeCell ref="D96:F96"/>
    <mergeCell ref="H95:I95"/>
    <mergeCell ref="G96:I96"/>
    <mergeCell ref="J96:L96"/>
    <mergeCell ref="K99:L99"/>
    <mergeCell ref="N99:O99"/>
    <mergeCell ref="M100:O100"/>
    <mergeCell ref="B99:C99"/>
    <mergeCell ref="A100:C100"/>
    <mergeCell ref="E99:F99"/>
    <mergeCell ref="D100:F100"/>
    <mergeCell ref="H99:I99"/>
    <mergeCell ref="G100:I100"/>
    <mergeCell ref="J100:L100"/>
    <mergeCell ref="K103:L103"/>
    <mergeCell ref="N103:O103"/>
    <mergeCell ref="M104:O104"/>
    <mergeCell ref="B103:C103"/>
    <mergeCell ref="A104:C104"/>
    <mergeCell ref="E103:F103"/>
    <mergeCell ref="D104:F104"/>
    <mergeCell ref="H103:I103"/>
    <mergeCell ref="G104:I104"/>
    <mergeCell ref="J104:L104"/>
    <mergeCell ref="K135:L135"/>
    <mergeCell ref="N135:O135"/>
    <mergeCell ref="M136:O136"/>
    <mergeCell ref="B135:C135"/>
    <mergeCell ref="A136:C136"/>
    <mergeCell ref="E135:F135"/>
    <mergeCell ref="D136:F136"/>
    <mergeCell ref="H135:I135"/>
    <mergeCell ref="G136:I136"/>
    <mergeCell ref="J136:L136"/>
    <mergeCell ref="K139:L139"/>
    <mergeCell ref="N139:O139"/>
    <mergeCell ref="M140:O140"/>
    <mergeCell ref="B139:C139"/>
    <mergeCell ref="A140:C140"/>
    <mergeCell ref="E139:F139"/>
    <mergeCell ref="D140:F140"/>
    <mergeCell ref="H139:I139"/>
    <mergeCell ref="G140:I140"/>
    <mergeCell ref="J140:L140"/>
    <mergeCell ref="K143:L143"/>
    <mergeCell ref="N143:O143"/>
    <mergeCell ref="M144:O144"/>
    <mergeCell ref="B143:C143"/>
    <mergeCell ref="A144:C144"/>
    <mergeCell ref="E143:F143"/>
    <mergeCell ref="D144:F144"/>
    <mergeCell ref="H143:I143"/>
    <mergeCell ref="G144:I144"/>
    <mergeCell ref="J144:L144"/>
    <mergeCell ref="K147:L147"/>
    <mergeCell ref="N147:O147"/>
    <mergeCell ref="M148:O148"/>
    <mergeCell ref="B147:C147"/>
    <mergeCell ref="A148:C148"/>
    <mergeCell ref="E147:F147"/>
    <mergeCell ref="D148:F148"/>
    <mergeCell ref="H147:I147"/>
    <mergeCell ref="G148:I148"/>
    <mergeCell ref="J148:L148"/>
    <mergeCell ref="K15:L15"/>
    <mergeCell ref="N15:O15"/>
    <mergeCell ref="M16:O16"/>
    <mergeCell ref="B15:C15"/>
    <mergeCell ref="A16:C16"/>
    <mergeCell ref="E15:F15"/>
    <mergeCell ref="D16:F16"/>
    <mergeCell ref="H15:I15"/>
    <mergeCell ref="G16:I16"/>
    <mergeCell ref="J16:L16"/>
    <mergeCell ref="K19:L19"/>
    <mergeCell ref="N19:O19"/>
    <mergeCell ref="M20:O20"/>
    <mergeCell ref="B19:C19"/>
    <mergeCell ref="A20:C20"/>
    <mergeCell ref="E19:F19"/>
    <mergeCell ref="D20:F20"/>
    <mergeCell ref="H19:I19"/>
    <mergeCell ref="G20:I20"/>
    <mergeCell ref="J20:L20"/>
    <mergeCell ref="K23:L23"/>
    <mergeCell ref="N23:O23"/>
    <mergeCell ref="M24:O24"/>
    <mergeCell ref="B23:C23"/>
    <mergeCell ref="A24:C24"/>
    <mergeCell ref="E23:F23"/>
    <mergeCell ref="D24:F24"/>
    <mergeCell ref="H23:I23"/>
    <mergeCell ref="G24:I24"/>
    <mergeCell ref="J24:L24"/>
    <mergeCell ref="K151:L151"/>
    <mergeCell ref="N151:O151"/>
    <mergeCell ref="M152:O152"/>
    <mergeCell ref="B151:C151"/>
    <mergeCell ref="A152:C152"/>
    <mergeCell ref="E151:F151"/>
    <mergeCell ref="D152:F152"/>
    <mergeCell ref="H151:I151"/>
    <mergeCell ref="G152:I152"/>
    <mergeCell ref="J152:L152"/>
    <mergeCell ref="K107:L107"/>
    <mergeCell ref="N107:O107"/>
    <mergeCell ref="M108:O108"/>
    <mergeCell ref="B107:C107"/>
    <mergeCell ref="A108:C108"/>
    <mergeCell ref="E107:F107"/>
    <mergeCell ref="D108:F108"/>
    <mergeCell ref="H107:I107"/>
    <mergeCell ref="G108:I108"/>
    <mergeCell ref="J108:L108"/>
    <mergeCell ref="K111:L111"/>
    <mergeCell ref="N111:O111"/>
    <mergeCell ref="M112:O112"/>
    <mergeCell ref="B111:C111"/>
    <mergeCell ref="A112:C112"/>
    <mergeCell ref="E111:F111"/>
    <mergeCell ref="D112:F112"/>
    <mergeCell ref="H111:I111"/>
    <mergeCell ref="G112:I112"/>
    <mergeCell ref="J112:L112"/>
    <mergeCell ref="K115:L115"/>
    <mergeCell ref="N115:O115"/>
    <mergeCell ref="M116:O116"/>
    <mergeCell ref="B115:C115"/>
    <mergeCell ref="A116:C116"/>
    <mergeCell ref="E115:F115"/>
    <mergeCell ref="D116:F116"/>
    <mergeCell ref="H115:I115"/>
    <mergeCell ref="G116:I116"/>
    <mergeCell ref="J116:L116"/>
    <mergeCell ref="K119:L119"/>
    <mergeCell ref="N119:O119"/>
    <mergeCell ref="M120:O120"/>
    <mergeCell ref="B119:C119"/>
    <mergeCell ref="A120:C120"/>
    <mergeCell ref="E119:F119"/>
    <mergeCell ref="D120:F120"/>
    <mergeCell ref="H119:I119"/>
    <mergeCell ref="G120:I120"/>
    <mergeCell ref="J120:L120"/>
    <mergeCell ref="K123:L123"/>
    <mergeCell ref="N123:O123"/>
    <mergeCell ref="M124:O124"/>
    <mergeCell ref="B123:C123"/>
    <mergeCell ref="A124:C124"/>
    <mergeCell ref="E123:F123"/>
    <mergeCell ref="D124:F124"/>
    <mergeCell ref="H123:I123"/>
    <mergeCell ref="G124:I124"/>
    <mergeCell ref="J124:L124"/>
    <mergeCell ref="K127:L127"/>
    <mergeCell ref="N127:O127"/>
    <mergeCell ref="M128:O128"/>
    <mergeCell ref="B127:C127"/>
    <mergeCell ref="A128:C128"/>
    <mergeCell ref="E127:F127"/>
    <mergeCell ref="D128:F128"/>
    <mergeCell ref="H127:I127"/>
    <mergeCell ref="G128:I128"/>
    <mergeCell ref="J128:L128"/>
    <mergeCell ref="K131:L131"/>
    <mergeCell ref="N131:O131"/>
    <mergeCell ref="M132:O132"/>
    <mergeCell ref="B131:C131"/>
    <mergeCell ref="A132:C132"/>
    <mergeCell ref="E131:F131"/>
    <mergeCell ref="D132:F132"/>
    <mergeCell ref="H131:I131"/>
    <mergeCell ref="G132:I132"/>
    <mergeCell ref="J132:L132"/>
  </mergeCells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.13"/>
    <col customWidth="1" min="3" max="3" width="12.63"/>
    <col customWidth="1" min="4" max="5" width="5.13"/>
    <col customWidth="1" min="6" max="6" width="12.63"/>
    <col customWidth="1" min="7" max="8" width="5.13"/>
    <col customWidth="1" min="9" max="9" width="12.63"/>
    <col customWidth="1" min="10" max="11" width="5.13"/>
    <col customWidth="1" min="12" max="12" width="12.63"/>
    <col customWidth="1" min="13" max="14" width="5.13"/>
    <col customWidth="1" min="15" max="15" width="12.63"/>
  </cols>
  <sheetData>
    <row r="1" ht="18.75" customHeight="1">
      <c r="A1" s="16" t="s">
        <v>2252</v>
      </c>
      <c r="O1" s="17" t="b">
        <v>0</v>
      </c>
    </row>
    <row r="2" ht="18.75" customHeight="1">
      <c r="A2" s="3" t="s">
        <v>2253</v>
      </c>
    </row>
    <row r="3" ht="18.75" customHeight="1">
      <c r="A3" s="18" t="s">
        <v>736</v>
      </c>
      <c r="B3" s="19" t="s">
        <v>2254</v>
      </c>
      <c r="C3" s="20"/>
      <c r="D3" s="18" t="s">
        <v>738</v>
      </c>
      <c r="E3" s="19" t="s">
        <v>710</v>
      </c>
      <c r="F3" s="20"/>
      <c r="G3" s="18" t="s">
        <v>739</v>
      </c>
      <c r="H3" s="19" t="s">
        <v>2255</v>
      </c>
      <c r="I3" s="20"/>
      <c r="J3" s="18" t="s">
        <v>740</v>
      </c>
      <c r="K3" s="19" t="s">
        <v>596</v>
      </c>
      <c r="L3" s="20"/>
      <c r="M3" s="18" t="s">
        <v>742</v>
      </c>
      <c r="N3" s="19" t="s">
        <v>1243</v>
      </c>
      <c r="O3" s="20"/>
    </row>
    <row r="4" ht="180.0" customHeight="1">
      <c r="A4" s="21" t="str">
        <f>IMAGE("https://assets.tcgdex.net/de/sv/sv10/001/low.jpg", 1)</f>
        <v/>
      </c>
      <c r="B4" s="22"/>
      <c r="C4" s="20"/>
      <c r="D4" s="21" t="str">
        <f>IMAGE("https://assets.tcgdex.net/de/sv/sv10/002/low.jpg", 1)</f>
        <v/>
      </c>
      <c r="E4" s="22"/>
      <c r="F4" s="20"/>
      <c r="G4" s="21" t="str">
        <f>IMAGE("https://assets.tcgdex.net/de/sv/sv10/003/low.jpg", 1)</f>
        <v/>
      </c>
      <c r="H4" s="22"/>
      <c r="I4" s="20"/>
      <c r="J4" s="21" t="str">
        <f>IMAGE("https://assets.tcgdex.net/de/sv/sv10/004/low.jpg", 1)</f>
        <v/>
      </c>
      <c r="K4" s="22"/>
      <c r="L4" s="20"/>
      <c r="M4" s="21" t="str">
        <f>IMAGE("https://assets.tcgdex.net/de/sv/sv10/005/low.jpg", 1)</f>
        <v/>
      </c>
      <c r="N4" s="22"/>
      <c r="O4" s="20"/>
    </row>
    <row r="5" ht="22.5" customHeight="1">
      <c r="A5" s="23" t="b">
        <v>0</v>
      </c>
      <c r="B5" s="24" t="b">
        <v>0</v>
      </c>
      <c r="C5" s="25" t="str">
        <f>HYPERLINK("https://www.cardmarket.com/en/Pokemon/Products/Singles?idCategory=1&amp;idProduct=sv10-1", "CM")</f>
        <v>CM</v>
      </c>
      <c r="D5" s="23" t="b">
        <v>0</v>
      </c>
      <c r="E5" s="24" t="b">
        <v>0</v>
      </c>
      <c r="F5" s="25" t="str">
        <f>HYPERLINK("https://www.cardmarket.com/en/Pokemon/Products/Singles?idCategory=1&amp;idProduct=sv10-2", "CM")</f>
        <v>CM</v>
      </c>
      <c r="G5" s="23" t="b">
        <v>0</v>
      </c>
      <c r="H5" s="24" t="b">
        <v>0</v>
      </c>
      <c r="I5" s="25" t="str">
        <f>HYPERLINK("https://www.cardmarket.com/en/Pokemon/Products/Singles?idCategory=1&amp;idProduct=sv10-3", "CM")</f>
        <v>CM</v>
      </c>
      <c r="J5" s="23" t="b">
        <v>0</v>
      </c>
      <c r="K5" s="24" t="b">
        <v>0</v>
      </c>
      <c r="L5" s="25" t="str">
        <f>HYPERLINK("https://www.cardmarket.com/en/Pokemon/Products/Singles?idCategory=1&amp;idProduct=sv10-4", "CM")</f>
        <v>CM</v>
      </c>
      <c r="M5" s="23" t="b">
        <v>0</v>
      </c>
      <c r="N5" s="24" t="b">
        <v>0</v>
      </c>
      <c r="O5" s="25" t="str">
        <f>HYPERLINK("https://www.cardmarket.com/en/Pokemon/Products/Singles?idCategory=1&amp;idProduct=sv10-5", "CM")</f>
        <v>CM</v>
      </c>
    </row>
    <row r="6" ht="7.5" customHeight="1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</row>
    <row r="7" ht="18.75" customHeight="1">
      <c r="A7" s="18" t="s">
        <v>529</v>
      </c>
      <c r="B7" s="19" t="s">
        <v>1244</v>
      </c>
      <c r="C7" s="20"/>
      <c r="D7" s="18" t="s">
        <v>744</v>
      </c>
      <c r="E7" s="19" t="s">
        <v>2256</v>
      </c>
      <c r="F7" s="20"/>
      <c r="G7" s="18" t="s">
        <v>531</v>
      </c>
      <c r="H7" s="19" t="s">
        <v>2257</v>
      </c>
      <c r="I7" s="20"/>
      <c r="J7" s="18" t="s">
        <v>746</v>
      </c>
      <c r="K7" s="19" t="s">
        <v>1996</v>
      </c>
      <c r="L7" s="20"/>
      <c r="M7" s="18" t="s">
        <v>748</v>
      </c>
      <c r="N7" s="19" t="s">
        <v>1024</v>
      </c>
      <c r="O7" s="20"/>
    </row>
    <row r="8" ht="180.0" customHeight="1">
      <c r="A8" s="21" t="str">
        <f>IMAGE("https://assets.tcgdex.net/de/sv/sv10/006/low.jpg", 1)</f>
        <v/>
      </c>
      <c r="B8" s="22"/>
      <c r="C8" s="20"/>
      <c r="D8" s="21" t="str">
        <f>IMAGE("https://assets.tcgdex.net/de/sv/sv10/007/low.jpg", 1)</f>
        <v/>
      </c>
      <c r="E8" s="22"/>
      <c r="F8" s="20"/>
      <c r="G8" s="21" t="str">
        <f>IMAGE("https://assets.tcgdex.net/de/sv/sv10/008/low.jpg", 1)</f>
        <v/>
      </c>
      <c r="H8" s="22"/>
      <c r="I8" s="20"/>
      <c r="J8" s="21" t="str">
        <f>IMAGE("https://assets.tcgdex.net/de/sv/sv10/009/low.jpg", 1)</f>
        <v/>
      </c>
      <c r="K8" s="22"/>
      <c r="L8" s="20"/>
      <c r="M8" s="21" t="str">
        <f>IMAGE("https://assets.tcgdex.net/de/sv/sv10/010/low.jpg", 1)</f>
        <v/>
      </c>
      <c r="N8" s="22"/>
      <c r="O8" s="20"/>
    </row>
    <row r="9" ht="22.5" customHeight="1">
      <c r="A9" s="23" t="b">
        <v>0</v>
      </c>
      <c r="B9" s="24" t="b">
        <v>0</v>
      </c>
      <c r="C9" s="25" t="str">
        <f>HYPERLINK("https://www.cardmarket.com/en/Pokemon/Products/Singles?idCategory=1&amp;idProduct=sv10-6", "CM")</f>
        <v>CM</v>
      </c>
      <c r="D9" s="23" t="b">
        <v>0</v>
      </c>
      <c r="E9" s="24" t="b">
        <v>0</v>
      </c>
      <c r="F9" s="25" t="str">
        <f>HYPERLINK("https://www.cardmarket.com/en/Pokemon/Products/Singles?idCategory=1&amp;idProduct=sv10-7", "CM")</f>
        <v>CM</v>
      </c>
      <c r="G9" s="23" t="b">
        <v>0</v>
      </c>
      <c r="H9" s="24" t="b">
        <v>0</v>
      </c>
      <c r="I9" s="25" t="str">
        <f>HYPERLINK("https://www.cardmarket.com/en/Pokemon/Products/Singles?idCategory=1&amp;idProduct=sv10-8", "CM")</f>
        <v>CM</v>
      </c>
      <c r="J9" s="23" t="b">
        <v>0</v>
      </c>
      <c r="K9" s="24" t="b">
        <v>0</v>
      </c>
      <c r="L9" s="25" t="str">
        <f>HYPERLINK("https://www.cardmarket.com/en/Pokemon/Products/Singles?idCategory=1&amp;idProduct=sv10-9", "CM")</f>
        <v>CM</v>
      </c>
      <c r="M9" s="23" t="b">
        <v>0</v>
      </c>
      <c r="N9" s="24" t="b">
        <v>0</v>
      </c>
      <c r="O9" s="25" t="str">
        <f>HYPERLINK("https://www.cardmarket.com/en/Pokemon/Products/Singles?idCategory=1&amp;idProduct=sv10-10", "CM")</f>
        <v>CM</v>
      </c>
    </row>
    <row r="10" ht="7.5" customHeight="1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</row>
    <row r="11" ht="18.75" customHeight="1">
      <c r="A11" s="18" t="s">
        <v>750</v>
      </c>
      <c r="B11" s="19" t="s">
        <v>1595</v>
      </c>
      <c r="C11" s="20"/>
      <c r="D11" s="18" t="s">
        <v>752</v>
      </c>
      <c r="E11" s="19" t="s">
        <v>1596</v>
      </c>
      <c r="F11" s="20"/>
      <c r="G11" s="18" t="s">
        <v>754</v>
      </c>
      <c r="H11" s="19" t="s">
        <v>2258</v>
      </c>
      <c r="I11" s="20"/>
      <c r="J11" s="18" t="s">
        <v>755</v>
      </c>
      <c r="K11" s="19" t="s">
        <v>2259</v>
      </c>
      <c r="L11" s="20"/>
      <c r="M11" s="18" t="s">
        <v>533</v>
      </c>
      <c r="N11" s="19" t="s">
        <v>2260</v>
      </c>
      <c r="O11" s="20"/>
    </row>
    <row r="12" ht="180.0" customHeight="1">
      <c r="A12" s="21" t="str">
        <f>IMAGE("https://assets.tcgdex.net/de/sv/sv10/011/low.jpg", 1)</f>
        <v/>
      </c>
      <c r="B12" s="22"/>
      <c r="C12" s="20"/>
      <c r="D12" s="21" t="str">
        <f>IMAGE("https://assets.tcgdex.net/de/sv/sv10/012/low.jpg", 1)</f>
        <v/>
      </c>
      <c r="E12" s="22"/>
      <c r="F12" s="20"/>
      <c r="G12" s="21" t="str">
        <f>IMAGE("https://assets.tcgdex.net/de/sv/sv10/013/low.jpg", 1)</f>
        <v/>
      </c>
      <c r="H12" s="22"/>
      <c r="I12" s="20"/>
      <c r="J12" s="21" t="str">
        <f>IMAGE("https://assets.tcgdex.net/de/sv/sv10/014/low.jpg", 1)</f>
        <v/>
      </c>
      <c r="K12" s="22"/>
      <c r="L12" s="20"/>
      <c r="M12" s="21" t="str">
        <f>IMAGE("https://assets.tcgdex.net/de/sv/sv10/015/low.jpg", 1)</f>
        <v/>
      </c>
      <c r="N12" s="22"/>
      <c r="O12" s="20"/>
    </row>
    <row r="13" ht="22.5" customHeight="1">
      <c r="A13" s="23" t="b">
        <v>0</v>
      </c>
      <c r="B13" s="24" t="b">
        <v>0</v>
      </c>
      <c r="C13" s="25" t="str">
        <f>HYPERLINK("https://www.cardmarket.com/en/Pokemon/Products/Singles?idCategory=1&amp;idProduct=sv10-11", "CM")</f>
        <v>CM</v>
      </c>
      <c r="D13" s="23" t="b">
        <v>0</v>
      </c>
      <c r="E13" s="24" t="b">
        <v>0</v>
      </c>
      <c r="F13" s="25" t="str">
        <f>HYPERLINK("https://www.cardmarket.com/en/Pokemon/Products/Singles?idCategory=1&amp;idProduct=sv10-12", "CM")</f>
        <v>CM</v>
      </c>
      <c r="G13" s="23" t="b">
        <v>0</v>
      </c>
      <c r="H13" s="24" t="b">
        <v>0</v>
      </c>
      <c r="I13" s="25" t="str">
        <f>HYPERLINK("https://www.cardmarket.com/en/Pokemon/Products/Singles?idCategory=1&amp;idProduct=sv10-13", "CM")</f>
        <v>CM</v>
      </c>
      <c r="J13" s="23" t="b">
        <v>0</v>
      </c>
      <c r="K13" s="24" t="b">
        <v>0</v>
      </c>
      <c r="L13" s="25" t="str">
        <f>HYPERLINK("https://www.cardmarket.com/en/Pokemon/Products/Singles?idCategory=1&amp;idProduct=sv10-14", "CM")</f>
        <v>CM</v>
      </c>
      <c r="M13" s="23" t="b">
        <v>0</v>
      </c>
      <c r="N13" s="24" t="b">
        <v>0</v>
      </c>
      <c r="O13" s="25" t="str">
        <f>HYPERLINK("https://www.cardmarket.com/en/Pokemon/Products/Singles?idCategory=1&amp;idProduct=sv10-15", "CM")</f>
        <v>CM</v>
      </c>
    </row>
    <row r="14" ht="7.5" customHeight="1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</row>
    <row r="15" ht="18.75" customHeight="1">
      <c r="A15" s="18" t="s">
        <v>535</v>
      </c>
      <c r="B15" s="19" t="s">
        <v>1879</v>
      </c>
      <c r="C15" s="20"/>
      <c r="D15" s="18" t="s">
        <v>537</v>
      </c>
      <c r="E15" s="19" t="s">
        <v>1880</v>
      </c>
      <c r="F15" s="20"/>
      <c r="G15" s="18" t="s">
        <v>756</v>
      </c>
      <c r="H15" s="19" t="s">
        <v>2261</v>
      </c>
      <c r="I15" s="20"/>
      <c r="J15" s="18" t="s">
        <v>539</v>
      </c>
      <c r="K15" s="19" t="s">
        <v>2262</v>
      </c>
      <c r="L15" s="20"/>
      <c r="M15" s="18" t="s">
        <v>541</v>
      </c>
      <c r="N15" s="19" t="s">
        <v>2263</v>
      </c>
      <c r="O15" s="20"/>
    </row>
    <row r="16" ht="180.0" customHeight="1">
      <c r="A16" s="21" t="str">
        <f>IMAGE("https://assets.tcgdex.net/de/sv/sv10/016/low.jpg", 1)</f>
        <v/>
      </c>
      <c r="B16" s="22"/>
      <c r="C16" s="20"/>
      <c r="D16" s="21" t="str">
        <f>IMAGE("https://assets.tcgdex.net/de/sv/sv10/017/low.jpg", 1)</f>
        <v/>
      </c>
      <c r="E16" s="22"/>
      <c r="F16" s="20"/>
      <c r="G16" s="21" t="str">
        <f>IMAGE("https://assets.tcgdex.net/de/sv/sv10/018/low.jpg", 1)</f>
        <v/>
      </c>
      <c r="H16" s="22"/>
      <c r="I16" s="20"/>
      <c r="J16" s="21" t="str">
        <f>IMAGE("https://assets.tcgdex.net/de/sv/sv10/019/low.jpg", 1)</f>
        <v/>
      </c>
      <c r="K16" s="22"/>
      <c r="L16" s="20"/>
      <c r="M16" s="21" t="str">
        <f>IMAGE("https://assets.tcgdex.net/de/sv/sv10/020/low.jpg", 1)</f>
        <v/>
      </c>
      <c r="N16" s="22"/>
      <c r="O16" s="20"/>
    </row>
    <row r="17" ht="22.5" customHeight="1">
      <c r="A17" s="23" t="b">
        <v>0</v>
      </c>
      <c r="B17" s="24" t="b">
        <v>0</v>
      </c>
      <c r="C17" s="25" t="str">
        <f>HYPERLINK("https://www.cardmarket.com/en/Pokemon/Products/Singles?idCategory=1&amp;idProduct=sv10-16", "CM")</f>
        <v>CM</v>
      </c>
      <c r="D17" s="23" t="b">
        <v>0</v>
      </c>
      <c r="E17" s="24" t="b">
        <v>0</v>
      </c>
      <c r="F17" s="25" t="str">
        <f>HYPERLINK("https://www.cardmarket.com/en/Pokemon/Products/Singles?idCategory=1&amp;idProduct=sv10-17", "CM")</f>
        <v>CM</v>
      </c>
      <c r="G17" s="23" t="b">
        <v>0</v>
      </c>
      <c r="H17" s="24" t="b">
        <v>0</v>
      </c>
      <c r="I17" s="25" t="str">
        <f>HYPERLINK("https://www.cardmarket.com/en/Pokemon/Products/Singles?idCategory=1&amp;idProduct=sv10-18", "CM")</f>
        <v>CM</v>
      </c>
      <c r="J17" s="23" t="b">
        <v>0</v>
      </c>
      <c r="K17" s="24" t="b">
        <v>0</v>
      </c>
      <c r="L17" s="25" t="str">
        <f>HYPERLINK("https://www.cardmarket.com/en/Pokemon/Products/Singles?idCategory=1&amp;idProduct=sv10-19", "CM")</f>
        <v>CM</v>
      </c>
      <c r="M17" s="23" t="b">
        <v>0</v>
      </c>
      <c r="N17" s="24" t="b">
        <v>0</v>
      </c>
      <c r="O17" s="25" t="str">
        <f>HYPERLINK("https://www.cardmarket.com/en/Pokemon/Products/Singles?idCategory=1&amp;idProduct=sv10-20", "CM")</f>
        <v>CM</v>
      </c>
    </row>
    <row r="18" ht="7.5" customHeight="1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</row>
    <row r="19" ht="18.75" customHeight="1">
      <c r="A19" s="18" t="s">
        <v>543</v>
      </c>
      <c r="B19" s="19" t="s">
        <v>548</v>
      </c>
      <c r="C19" s="20"/>
      <c r="D19" s="18" t="s">
        <v>545</v>
      </c>
      <c r="E19" s="19" t="s">
        <v>1209</v>
      </c>
      <c r="F19" s="20"/>
      <c r="G19" s="18" t="s">
        <v>547</v>
      </c>
      <c r="H19" s="19" t="s">
        <v>2264</v>
      </c>
      <c r="I19" s="20"/>
      <c r="J19" s="18" t="s">
        <v>549</v>
      </c>
      <c r="K19" s="19" t="s">
        <v>1759</v>
      </c>
      <c r="L19" s="20"/>
      <c r="M19" s="18" t="s">
        <v>758</v>
      </c>
      <c r="N19" s="19" t="s">
        <v>2265</v>
      </c>
      <c r="O19" s="20"/>
    </row>
    <row r="20" ht="180.0" customHeight="1">
      <c r="A20" s="21" t="str">
        <f>IMAGE("https://assets.tcgdex.net/de/sv/sv10/021/low.jpg", 1)</f>
        <v/>
      </c>
      <c r="B20" s="22"/>
      <c r="C20" s="20"/>
      <c r="D20" s="21" t="str">
        <f>IMAGE("https://assets.tcgdex.net/de/sv/sv10/022/low.jpg", 1)</f>
        <v/>
      </c>
      <c r="E20" s="22"/>
      <c r="F20" s="20"/>
      <c r="G20" s="21" t="str">
        <f>IMAGE("https://assets.tcgdex.net/de/sv/sv10/023/low.jpg", 1)</f>
        <v/>
      </c>
      <c r="H20" s="22"/>
      <c r="I20" s="20"/>
      <c r="J20" s="21" t="str">
        <f>IMAGE("https://assets.tcgdex.net/de/sv/sv10/024/low.jpg", 1)</f>
        <v/>
      </c>
      <c r="K20" s="22"/>
      <c r="L20" s="20"/>
      <c r="M20" s="21" t="str">
        <f>IMAGE("https://assets.tcgdex.net/de/sv/sv10/025/low.jpg", 1)</f>
        <v/>
      </c>
      <c r="N20" s="22"/>
      <c r="O20" s="20"/>
    </row>
    <row r="21" ht="22.5" customHeight="1">
      <c r="A21" s="23" t="b">
        <v>0</v>
      </c>
      <c r="B21" s="24" t="b">
        <v>0</v>
      </c>
      <c r="C21" s="25" t="str">
        <f>HYPERLINK("https://www.cardmarket.com/en/Pokemon/Products/Singles?idCategory=1&amp;idProduct=sv10-21", "CM")</f>
        <v>CM</v>
      </c>
      <c r="D21" s="23" t="b">
        <v>0</v>
      </c>
      <c r="E21" s="24" t="b">
        <v>0</v>
      </c>
      <c r="F21" s="25" t="str">
        <f>HYPERLINK("https://www.cardmarket.com/en/Pokemon/Products/Singles?idCategory=1&amp;idProduct=sv10-22", "CM")</f>
        <v>CM</v>
      </c>
      <c r="G21" s="23" t="b">
        <v>0</v>
      </c>
      <c r="H21" s="24" t="b">
        <v>0</v>
      </c>
      <c r="I21" s="25" t="str">
        <f>HYPERLINK("https://www.cardmarket.com/en/Pokemon/Products/Singles?idCategory=1&amp;idProduct=sv10-23", "CM")</f>
        <v>CM</v>
      </c>
      <c r="J21" s="23" t="b">
        <v>0</v>
      </c>
      <c r="K21" s="24" t="b">
        <v>0</v>
      </c>
      <c r="L21" s="25" t="str">
        <f>HYPERLINK("https://www.cardmarket.com/en/Pokemon/Products/Singles?idCategory=1&amp;idProduct=sv10-24", "CM")</f>
        <v>CM</v>
      </c>
      <c r="M21" s="23" t="b">
        <v>0</v>
      </c>
      <c r="N21" s="24" t="b">
        <v>0</v>
      </c>
      <c r="O21" s="25" t="str">
        <f>HYPERLINK("https://www.cardmarket.com/en/Pokemon/Products/Singles?idCategory=1&amp;idProduct=sv10-25", "CM")</f>
        <v>CM</v>
      </c>
    </row>
    <row r="22" ht="7.5" customHeight="1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</row>
    <row r="23" ht="18.75" customHeight="1">
      <c r="A23" s="18" t="s">
        <v>760</v>
      </c>
      <c r="B23" s="19" t="s">
        <v>832</v>
      </c>
      <c r="C23" s="20"/>
      <c r="D23" s="18" t="s">
        <v>762</v>
      </c>
      <c r="E23" s="19" t="s">
        <v>550</v>
      </c>
      <c r="F23" s="20"/>
      <c r="G23" s="18" t="s">
        <v>551</v>
      </c>
      <c r="H23" s="19" t="s">
        <v>751</v>
      </c>
      <c r="I23" s="20"/>
      <c r="J23" s="18" t="s">
        <v>553</v>
      </c>
      <c r="K23" s="19" t="s">
        <v>1531</v>
      </c>
      <c r="L23" s="20"/>
      <c r="M23" s="18" t="s">
        <v>555</v>
      </c>
      <c r="N23" s="19" t="s">
        <v>1532</v>
      </c>
      <c r="O23" s="20"/>
    </row>
    <row r="24" ht="180.0" customHeight="1">
      <c r="A24" s="21" t="str">
        <f>IMAGE("https://assets.tcgdex.net/de/sv/sv10/026/low.jpg", 1)</f>
        <v/>
      </c>
      <c r="B24" s="22"/>
      <c r="C24" s="20"/>
      <c r="D24" s="21" t="str">
        <f>IMAGE("https://assets.tcgdex.net/de/sv/sv10/027/low.jpg", 1)</f>
        <v/>
      </c>
      <c r="E24" s="22"/>
      <c r="F24" s="20"/>
      <c r="G24" s="21" t="str">
        <f>IMAGE("https://assets.tcgdex.net/de/sv/sv10/028/low.jpg", 1)</f>
        <v/>
      </c>
      <c r="H24" s="22"/>
      <c r="I24" s="20"/>
      <c r="J24" s="21" t="str">
        <f>IMAGE("https://assets.tcgdex.net/de/sv/sv10/029/low.jpg", 1)</f>
        <v/>
      </c>
      <c r="K24" s="22"/>
      <c r="L24" s="20"/>
      <c r="M24" s="21" t="str">
        <f>IMAGE("https://assets.tcgdex.net/de/sv/sv10/030/low.jpg", 1)</f>
        <v/>
      </c>
      <c r="N24" s="22"/>
      <c r="O24" s="20"/>
    </row>
    <row r="25" ht="22.5" customHeight="1">
      <c r="A25" s="23" t="b">
        <v>0</v>
      </c>
      <c r="B25" s="24" t="b">
        <v>0</v>
      </c>
      <c r="C25" s="25" t="str">
        <f>HYPERLINK("https://www.cardmarket.com/en/Pokemon/Products/Singles?idCategory=1&amp;idProduct=sv10-26", "CM")</f>
        <v>CM</v>
      </c>
      <c r="D25" s="23" t="b">
        <v>0</v>
      </c>
      <c r="E25" s="24" t="b">
        <v>0</v>
      </c>
      <c r="F25" s="25" t="str">
        <f>HYPERLINK("https://www.cardmarket.com/en/Pokemon/Products/Singles?idCategory=1&amp;idProduct=sv10-27", "CM")</f>
        <v>CM</v>
      </c>
      <c r="G25" s="23" t="b">
        <v>0</v>
      </c>
      <c r="H25" s="24" t="b">
        <v>0</v>
      </c>
      <c r="I25" s="25" t="str">
        <f>HYPERLINK("https://www.cardmarket.com/en/Pokemon/Products/Singles?idCategory=1&amp;idProduct=sv10-28", "CM")</f>
        <v>CM</v>
      </c>
      <c r="J25" s="23" t="b">
        <v>0</v>
      </c>
      <c r="K25" s="24" t="b">
        <v>0</v>
      </c>
      <c r="L25" s="25" t="str">
        <f>HYPERLINK("https://www.cardmarket.com/en/Pokemon/Products/Singles?idCategory=1&amp;idProduct=sv10-29", "CM")</f>
        <v>CM</v>
      </c>
      <c r="M25" s="23" t="b">
        <v>0</v>
      </c>
      <c r="N25" s="24" t="b">
        <v>0</v>
      </c>
      <c r="O25" s="25" t="str">
        <f>HYPERLINK("https://www.cardmarket.com/en/Pokemon/Products/Singles?idCategory=1&amp;idProduct=sv10-30", "CM")</f>
        <v>CM</v>
      </c>
    </row>
    <row r="26" ht="7.5" customHeight="1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</row>
    <row r="27" ht="18.75" customHeight="1">
      <c r="A27" s="18" t="s">
        <v>557</v>
      </c>
      <c r="B27" s="19" t="s">
        <v>2266</v>
      </c>
      <c r="C27" s="20"/>
      <c r="D27" s="18" t="s">
        <v>559</v>
      </c>
      <c r="E27" s="19" t="s">
        <v>2267</v>
      </c>
      <c r="F27" s="20"/>
      <c r="G27" s="18" t="s">
        <v>561</v>
      </c>
      <c r="H27" s="19" t="s">
        <v>2268</v>
      </c>
      <c r="I27" s="20"/>
      <c r="J27" s="18" t="s">
        <v>563</v>
      </c>
      <c r="K27" s="19" t="s">
        <v>2269</v>
      </c>
      <c r="L27" s="20"/>
      <c r="M27" s="18" t="s">
        <v>565</v>
      </c>
      <c r="N27" s="19" t="s">
        <v>2270</v>
      </c>
      <c r="O27" s="20"/>
    </row>
    <row r="28" ht="180.0" customHeight="1">
      <c r="A28" s="21" t="str">
        <f>IMAGE("https://assets.tcgdex.net/de/sv/sv10/031/low.jpg", 1)</f>
        <v/>
      </c>
      <c r="B28" s="22"/>
      <c r="C28" s="20"/>
      <c r="D28" s="21" t="str">
        <f>IMAGE("https://assets.tcgdex.net/de/sv/sv10/032/low.jpg", 1)</f>
        <v/>
      </c>
      <c r="E28" s="22"/>
      <c r="F28" s="20"/>
      <c r="G28" s="21" t="str">
        <f>IMAGE("https://assets.tcgdex.net/de/sv/sv10/033/low.jpg", 1)</f>
        <v/>
      </c>
      <c r="H28" s="22"/>
      <c r="I28" s="20"/>
      <c r="J28" s="21" t="str">
        <f>IMAGE("https://assets.tcgdex.net/de/sv/sv10/034/low.jpg", 1)</f>
        <v/>
      </c>
      <c r="K28" s="22"/>
      <c r="L28" s="20"/>
      <c r="M28" s="21" t="str">
        <f>IMAGE("https://assets.tcgdex.net/de/sv/sv10/035/low.jpg", 1)</f>
        <v/>
      </c>
      <c r="N28" s="22"/>
      <c r="O28" s="20"/>
    </row>
    <row r="29" ht="22.5" customHeight="1">
      <c r="A29" s="23" t="b">
        <v>0</v>
      </c>
      <c r="B29" s="24" t="b">
        <v>0</v>
      </c>
      <c r="C29" s="25" t="str">
        <f>HYPERLINK("https://www.cardmarket.com/en/Pokemon/Products/Singles?idCategory=1&amp;idProduct=sv10-31", "CM")</f>
        <v>CM</v>
      </c>
      <c r="D29" s="23" t="b">
        <v>0</v>
      </c>
      <c r="E29" s="24" t="b">
        <v>0</v>
      </c>
      <c r="F29" s="25" t="str">
        <f>HYPERLINK("https://www.cardmarket.com/en/Pokemon/Products/Singles?idCategory=1&amp;idProduct=sv10-32", "CM")</f>
        <v>CM</v>
      </c>
      <c r="G29" s="23" t="b">
        <v>0</v>
      </c>
      <c r="H29" s="24" t="b">
        <v>0</v>
      </c>
      <c r="I29" s="25" t="str">
        <f>HYPERLINK("https://www.cardmarket.com/en/Pokemon/Products/Singles?idCategory=1&amp;idProduct=sv10-33", "CM")</f>
        <v>CM</v>
      </c>
      <c r="J29" s="23" t="b">
        <v>0</v>
      </c>
      <c r="K29" s="24" t="b">
        <v>0</v>
      </c>
      <c r="L29" s="25" t="str">
        <f>HYPERLINK("https://www.cardmarket.com/en/Pokemon/Products/Singles?idCategory=1&amp;idProduct=sv10-34", "CM")</f>
        <v>CM</v>
      </c>
      <c r="M29" s="23" t="b">
        <v>0</v>
      </c>
      <c r="N29" s="24" t="b">
        <v>0</v>
      </c>
      <c r="O29" s="25" t="str">
        <f>HYPERLINK("https://www.cardmarket.com/en/Pokemon/Products/Singles?idCategory=1&amp;idProduct=sv10-35", "CM")</f>
        <v>CM</v>
      </c>
    </row>
    <row r="30" ht="7.5" customHeight="1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</row>
    <row r="31" ht="18.75" customHeight="1">
      <c r="A31" s="18" t="s">
        <v>567</v>
      </c>
      <c r="B31" s="19" t="s">
        <v>2271</v>
      </c>
      <c r="C31" s="20"/>
      <c r="D31" s="18" t="s">
        <v>569</v>
      </c>
      <c r="E31" s="19" t="s">
        <v>2272</v>
      </c>
      <c r="F31" s="20"/>
      <c r="G31" s="18" t="s">
        <v>571</v>
      </c>
      <c r="H31" s="19" t="s">
        <v>2273</v>
      </c>
      <c r="I31" s="20"/>
      <c r="J31" s="18" t="s">
        <v>573</v>
      </c>
      <c r="K31" s="19" t="s">
        <v>2274</v>
      </c>
      <c r="L31" s="20"/>
      <c r="M31" s="18" t="s">
        <v>575</v>
      </c>
      <c r="N31" s="19" t="s">
        <v>2182</v>
      </c>
      <c r="O31" s="20"/>
    </row>
    <row r="32" ht="180.0" customHeight="1">
      <c r="A32" s="21" t="str">
        <f>IMAGE("https://assets.tcgdex.net/de/sv/sv10/036/low.jpg", 1)</f>
        <v/>
      </c>
      <c r="B32" s="22"/>
      <c r="C32" s="20"/>
      <c r="D32" s="21" t="str">
        <f>IMAGE("https://assets.tcgdex.net/de/sv/sv10/037/low.jpg", 1)</f>
        <v/>
      </c>
      <c r="E32" s="22"/>
      <c r="F32" s="20"/>
      <c r="G32" s="21" t="str">
        <f>IMAGE("https://assets.tcgdex.net/de/sv/sv10/038/low.jpg", 1)</f>
        <v/>
      </c>
      <c r="H32" s="22"/>
      <c r="I32" s="20"/>
      <c r="J32" s="21" t="str">
        <f>IMAGE("https://assets.tcgdex.net/de/sv/sv10/039/low.jpg", 1)</f>
        <v/>
      </c>
      <c r="K32" s="22"/>
      <c r="L32" s="20"/>
      <c r="M32" s="21" t="str">
        <f>IMAGE("https://assets.tcgdex.net/de/sv/sv10/040/low.jpg", 1)</f>
        <v/>
      </c>
      <c r="N32" s="22"/>
      <c r="O32" s="20"/>
    </row>
    <row r="33" ht="22.5" customHeight="1">
      <c r="A33" s="23" t="b">
        <v>0</v>
      </c>
      <c r="B33" s="24" t="b">
        <v>0</v>
      </c>
      <c r="C33" s="25" t="str">
        <f>HYPERLINK("https://www.cardmarket.com/en/Pokemon/Products/Singles?idCategory=1&amp;idProduct=sv10-36", "CM")</f>
        <v>CM</v>
      </c>
      <c r="D33" s="23" t="b">
        <v>0</v>
      </c>
      <c r="E33" s="24" t="b">
        <v>0</v>
      </c>
      <c r="F33" s="25" t="str">
        <f>HYPERLINK("https://www.cardmarket.com/en/Pokemon/Products/Singles?idCategory=1&amp;idProduct=sv10-37", "CM")</f>
        <v>CM</v>
      </c>
      <c r="G33" s="23" t="b">
        <v>0</v>
      </c>
      <c r="H33" s="24" t="b">
        <v>0</v>
      </c>
      <c r="I33" s="25" t="str">
        <f>HYPERLINK("https://www.cardmarket.com/en/Pokemon/Products/Singles?idCategory=1&amp;idProduct=sv10-38", "CM")</f>
        <v>CM</v>
      </c>
      <c r="J33" s="23" t="b">
        <v>0</v>
      </c>
      <c r="K33" s="24" t="b">
        <v>0</v>
      </c>
      <c r="L33" s="25" t="str">
        <f>HYPERLINK("https://www.cardmarket.com/en/Pokemon/Products/Singles?idCategory=1&amp;idProduct=sv10-39", "CM")</f>
        <v>CM</v>
      </c>
      <c r="M33" s="23" t="b">
        <v>0</v>
      </c>
      <c r="N33" s="24" t="b">
        <v>0</v>
      </c>
      <c r="O33" s="25" t="str">
        <f>HYPERLINK("https://www.cardmarket.com/en/Pokemon/Products/Singles?idCategory=1&amp;idProduct=sv10-40", "CM")</f>
        <v>CM</v>
      </c>
    </row>
    <row r="34" ht="7.5" customHeight="1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</row>
    <row r="35" ht="18.75" customHeight="1">
      <c r="A35" s="18" t="s">
        <v>577</v>
      </c>
      <c r="B35" s="19" t="s">
        <v>2183</v>
      </c>
      <c r="C35" s="20"/>
      <c r="D35" s="18" t="s">
        <v>579</v>
      </c>
      <c r="E35" s="19" t="s">
        <v>2275</v>
      </c>
      <c r="F35" s="20"/>
      <c r="G35" s="18" t="s">
        <v>763</v>
      </c>
      <c r="H35" s="19" t="s">
        <v>1729</v>
      </c>
      <c r="I35" s="20"/>
      <c r="J35" s="18" t="s">
        <v>765</v>
      </c>
      <c r="K35" s="19" t="s">
        <v>2276</v>
      </c>
      <c r="L35" s="20"/>
      <c r="M35" s="18" t="s">
        <v>581</v>
      </c>
      <c r="N35" s="19" t="s">
        <v>2277</v>
      </c>
      <c r="O35" s="20"/>
    </row>
    <row r="36" ht="180.0" customHeight="1">
      <c r="A36" s="21" t="str">
        <f>IMAGE("https://assets.tcgdex.net/de/sv/sv10/041/low.jpg", 1)</f>
        <v/>
      </c>
      <c r="B36" s="22"/>
      <c r="C36" s="20"/>
      <c r="D36" s="21" t="str">
        <f>IMAGE("https://assets.tcgdex.net/de/sv/sv10/042/low.jpg", 1)</f>
        <v/>
      </c>
      <c r="E36" s="22"/>
      <c r="F36" s="20"/>
      <c r="G36" s="21" t="str">
        <f>IMAGE("https://assets.tcgdex.net/de/sv/sv10/043/low.jpg", 1)</f>
        <v/>
      </c>
      <c r="H36" s="22"/>
      <c r="I36" s="20"/>
      <c r="J36" s="21" t="str">
        <f>IMAGE("https://assets.tcgdex.net/de/sv/sv10/044/low.jpg", 1)</f>
        <v/>
      </c>
      <c r="K36" s="22"/>
      <c r="L36" s="20"/>
      <c r="M36" s="21" t="str">
        <f>IMAGE("https://assets.tcgdex.net/de/sv/sv10/045/low.jpg", 1)</f>
        <v/>
      </c>
      <c r="N36" s="22"/>
      <c r="O36" s="20"/>
    </row>
    <row r="37" ht="22.5" customHeight="1">
      <c r="A37" s="23" t="b">
        <v>0</v>
      </c>
      <c r="B37" s="24" t="b">
        <v>0</v>
      </c>
      <c r="C37" s="25" t="str">
        <f>HYPERLINK("https://www.cardmarket.com/en/Pokemon/Products/Singles?idCategory=1&amp;idProduct=sv10-41", "CM")</f>
        <v>CM</v>
      </c>
      <c r="D37" s="23" t="b">
        <v>0</v>
      </c>
      <c r="E37" s="24" t="b">
        <v>0</v>
      </c>
      <c r="F37" s="25" t="str">
        <f>HYPERLINK("https://www.cardmarket.com/en/Pokemon/Products/Singles?idCategory=1&amp;idProduct=sv10-42", "CM")</f>
        <v>CM</v>
      </c>
      <c r="G37" s="23" t="b">
        <v>0</v>
      </c>
      <c r="H37" s="24" t="b">
        <v>0</v>
      </c>
      <c r="I37" s="25" t="str">
        <f>HYPERLINK("https://www.cardmarket.com/en/Pokemon/Products/Singles?idCategory=1&amp;idProduct=sv10-43", "CM")</f>
        <v>CM</v>
      </c>
      <c r="J37" s="23" t="b">
        <v>0</v>
      </c>
      <c r="K37" s="24" t="b">
        <v>0</v>
      </c>
      <c r="L37" s="25" t="str">
        <f>HYPERLINK("https://www.cardmarket.com/en/Pokemon/Products/Singles?idCategory=1&amp;idProduct=sv10-44", "CM")</f>
        <v>CM</v>
      </c>
      <c r="M37" s="23" t="b">
        <v>0</v>
      </c>
      <c r="N37" s="24" t="b">
        <v>0</v>
      </c>
      <c r="O37" s="25" t="str">
        <f>HYPERLINK("https://www.cardmarket.com/en/Pokemon/Products/Singles?idCategory=1&amp;idProduct=sv10-45", "CM")</f>
        <v>CM</v>
      </c>
    </row>
    <row r="38" ht="7.5" customHeight="1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</row>
    <row r="39" ht="18.75" customHeight="1">
      <c r="A39" s="18" t="s">
        <v>767</v>
      </c>
      <c r="B39" s="19" t="s">
        <v>2278</v>
      </c>
      <c r="C39" s="20"/>
      <c r="D39" s="18" t="s">
        <v>769</v>
      </c>
      <c r="E39" s="19" t="s">
        <v>2279</v>
      </c>
      <c r="F39" s="20"/>
      <c r="G39" s="18" t="s">
        <v>770</v>
      </c>
      <c r="H39" s="19" t="s">
        <v>2280</v>
      </c>
      <c r="I39" s="20"/>
      <c r="J39" s="18" t="s">
        <v>772</v>
      </c>
      <c r="K39" s="19" t="s">
        <v>2281</v>
      </c>
      <c r="L39" s="20"/>
      <c r="M39" s="18" t="s">
        <v>774</v>
      </c>
      <c r="N39" s="19" t="s">
        <v>2282</v>
      </c>
      <c r="O39" s="20"/>
    </row>
    <row r="40" ht="180.0" customHeight="1">
      <c r="A40" s="21" t="str">
        <f>IMAGE("https://assets.tcgdex.net/de/sv/sv10/046/low.jpg", 1)</f>
        <v/>
      </c>
      <c r="B40" s="22"/>
      <c r="C40" s="20"/>
      <c r="D40" s="21" t="str">
        <f>IMAGE("https://assets.tcgdex.net/de/sv/sv10/047/low.jpg", 1)</f>
        <v/>
      </c>
      <c r="E40" s="22"/>
      <c r="F40" s="20"/>
      <c r="G40" s="21" t="str">
        <f>IMAGE("https://assets.tcgdex.net/de/sv/sv10/048/low.jpg", 1)</f>
        <v/>
      </c>
      <c r="H40" s="22"/>
      <c r="I40" s="20"/>
      <c r="J40" s="21" t="str">
        <f>IMAGE("https://assets.tcgdex.net/de/sv/sv10/049/low.jpg", 1)</f>
        <v/>
      </c>
      <c r="K40" s="22"/>
      <c r="L40" s="20"/>
      <c r="M40" s="21" t="str">
        <f>IMAGE("https://assets.tcgdex.net/de/sv/sv10/050/low.jpg", 1)</f>
        <v/>
      </c>
      <c r="N40" s="22"/>
      <c r="O40" s="20"/>
    </row>
    <row r="41" ht="22.5" customHeight="1">
      <c r="A41" s="23" t="b">
        <v>0</v>
      </c>
      <c r="B41" s="24" t="b">
        <v>0</v>
      </c>
      <c r="C41" s="25" t="str">
        <f>HYPERLINK("https://www.cardmarket.com/en/Pokemon/Products/Singles?idCategory=1&amp;idProduct=sv10-46", "CM")</f>
        <v>CM</v>
      </c>
      <c r="D41" s="23" t="b">
        <v>0</v>
      </c>
      <c r="E41" s="24" t="b">
        <v>0</v>
      </c>
      <c r="F41" s="25" t="str">
        <f>HYPERLINK("https://www.cardmarket.com/en/Pokemon/Products/Singles?idCategory=1&amp;idProduct=sv10-47", "CM")</f>
        <v>CM</v>
      </c>
      <c r="G41" s="23" t="b">
        <v>0</v>
      </c>
      <c r="H41" s="24" t="b">
        <v>0</v>
      </c>
      <c r="I41" s="25" t="str">
        <f>HYPERLINK("https://www.cardmarket.com/en/Pokemon/Products/Singles?idCategory=1&amp;idProduct=sv10-48", "CM")</f>
        <v>CM</v>
      </c>
      <c r="J41" s="23" t="b">
        <v>0</v>
      </c>
      <c r="K41" s="24" t="b">
        <v>0</v>
      </c>
      <c r="L41" s="25" t="str">
        <f>HYPERLINK("https://www.cardmarket.com/en/Pokemon/Products/Singles?idCategory=1&amp;idProduct=sv10-49", "CM")</f>
        <v>CM</v>
      </c>
      <c r="M41" s="23" t="b">
        <v>0</v>
      </c>
      <c r="N41" s="24" t="b">
        <v>0</v>
      </c>
      <c r="O41" s="25" t="str">
        <f>HYPERLINK("https://www.cardmarket.com/en/Pokemon/Products/Singles?idCategory=1&amp;idProduct=sv10-50", "CM")</f>
        <v>CM</v>
      </c>
    </row>
    <row r="42" ht="7.5" customHeight="1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</row>
    <row r="43" ht="18.75" customHeight="1">
      <c r="A43" s="18" t="s">
        <v>776</v>
      </c>
      <c r="B43" s="19" t="s">
        <v>2283</v>
      </c>
      <c r="C43" s="20"/>
      <c r="D43" s="18" t="s">
        <v>778</v>
      </c>
      <c r="E43" s="19" t="s">
        <v>2284</v>
      </c>
      <c r="F43" s="20"/>
      <c r="G43" s="18" t="s">
        <v>780</v>
      </c>
      <c r="H43" s="19" t="s">
        <v>2285</v>
      </c>
      <c r="I43" s="20"/>
      <c r="J43" s="18" t="s">
        <v>583</v>
      </c>
      <c r="K43" s="19" t="s">
        <v>2286</v>
      </c>
      <c r="L43" s="20"/>
      <c r="M43" s="18" t="s">
        <v>585</v>
      </c>
      <c r="N43" s="19" t="s">
        <v>2287</v>
      </c>
      <c r="O43" s="20"/>
    </row>
    <row r="44" ht="180.0" customHeight="1">
      <c r="A44" s="21" t="str">
        <f>IMAGE("https://assets.tcgdex.net/de/sv/sv10/051/low.jpg", 1)</f>
        <v/>
      </c>
      <c r="B44" s="22"/>
      <c r="C44" s="20"/>
      <c r="D44" s="21" t="str">
        <f>IMAGE("https://assets.tcgdex.net/de/sv/sv10/052/low.jpg", 1)</f>
        <v/>
      </c>
      <c r="E44" s="22"/>
      <c r="F44" s="20"/>
      <c r="G44" s="21" t="str">
        <f>IMAGE("https://assets.tcgdex.net/de/sv/sv10/053/low.jpg", 1)</f>
        <v/>
      </c>
      <c r="H44" s="22"/>
      <c r="I44" s="20"/>
      <c r="J44" s="21" t="str">
        <f>IMAGE("https://assets.tcgdex.net/de/sv/sv10/054/low.jpg", 1)</f>
        <v/>
      </c>
      <c r="K44" s="22"/>
      <c r="L44" s="20"/>
      <c r="M44" s="21" t="str">
        <f>IMAGE("https://assets.tcgdex.net/de/sv/sv10/055/low.jpg", 1)</f>
        <v/>
      </c>
      <c r="N44" s="22"/>
      <c r="O44" s="20"/>
    </row>
    <row r="45" ht="22.5" customHeight="1">
      <c r="A45" s="23" t="b">
        <v>0</v>
      </c>
      <c r="B45" s="24" t="b">
        <v>0</v>
      </c>
      <c r="C45" s="25" t="str">
        <f>HYPERLINK("https://www.cardmarket.com/en/Pokemon/Products/Singles?idCategory=1&amp;idProduct=sv10-51", "CM")</f>
        <v>CM</v>
      </c>
      <c r="D45" s="23" t="b">
        <v>0</v>
      </c>
      <c r="E45" s="24" t="b">
        <v>0</v>
      </c>
      <c r="F45" s="25" t="str">
        <f>HYPERLINK("https://www.cardmarket.com/en/Pokemon/Products/Singles?idCategory=1&amp;idProduct=sv10-52", "CM")</f>
        <v>CM</v>
      </c>
      <c r="G45" s="23" t="b">
        <v>0</v>
      </c>
      <c r="H45" s="24" t="b">
        <v>0</v>
      </c>
      <c r="I45" s="25" t="str">
        <f>HYPERLINK("https://www.cardmarket.com/en/Pokemon/Products/Singles?idCategory=1&amp;idProduct=sv10-53", "CM")</f>
        <v>CM</v>
      </c>
      <c r="J45" s="23" t="b">
        <v>0</v>
      </c>
      <c r="K45" s="24" t="b">
        <v>0</v>
      </c>
      <c r="L45" s="25" t="str">
        <f>HYPERLINK("https://www.cardmarket.com/en/Pokemon/Products/Singles?idCategory=1&amp;idProduct=sv10-54", "CM")</f>
        <v>CM</v>
      </c>
      <c r="M45" s="23" t="b">
        <v>0</v>
      </c>
      <c r="N45" s="24" t="b">
        <v>0</v>
      </c>
      <c r="O45" s="25" t="str">
        <f>HYPERLINK("https://www.cardmarket.com/en/Pokemon/Products/Singles?idCategory=1&amp;idProduct=sv10-55", "CM")</f>
        <v>CM</v>
      </c>
    </row>
    <row r="46" ht="7.5" customHeight="1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</row>
    <row r="47" ht="18.75" customHeight="1">
      <c r="A47" s="18" t="s">
        <v>782</v>
      </c>
      <c r="B47" s="19" t="s">
        <v>2288</v>
      </c>
      <c r="C47" s="20"/>
      <c r="D47" s="18" t="s">
        <v>587</v>
      </c>
      <c r="E47" s="19" t="s">
        <v>1261</v>
      </c>
      <c r="F47" s="20"/>
      <c r="G47" s="18" t="s">
        <v>589</v>
      </c>
      <c r="H47" s="19" t="s">
        <v>1214</v>
      </c>
      <c r="I47" s="20"/>
      <c r="J47" s="18" t="s">
        <v>591</v>
      </c>
      <c r="K47" s="19" t="s">
        <v>1757</v>
      </c>
      <c r="L47" s="20"/>
      <c r="M47" s="18" t="s">
        <v>593</v>
      </c>
      <c r="N47" s="19" t="s">
        <v>1758</v>
      </c>
      <c r="O47" s="20"/>
    </row>
    <row r="48" ht="180.0" customHeight="1">
      <c r="A48" s="21" t="str">
        <f>IMAGE("https://assets.tcgdex.net/de/sv/sv10/056/low.jpg", 1)</f>
        <v/>
      </c>
      <c r="B48" s="22"/>
      <c r="C48" s="20"/>
      <c r="D48" s="21" t="str">
        <f>IMAGE("https://assets.tcgdex.net/de/sv/sv10/057/low.jpg", 1)</f>
        <v/>
      </c>
      <c r="E48" s="22"/>
      <c r="F48" s="20"/>
      <c r="G48" s="21" t="str">
        <f>IMAGE("https://assets.tcgdex.net/de/sv/sv10/058/low.jpg", 1)</f>
        <v/>
      </c>
      <c r="H48" s="22"/>
      <c r="I48" s="20"/>
      <c r="J48" s="21" t="str">
        <f>IMAGE("https://assets.tcgdex.net/de/sv/sv10/059/low.jpg", 1)</f>
        <v/>
      </c>
      <c r="K48" s="22"/>
      <c r="L48" s="20"/>
      <c r="M48" s="21" t="str">
        <f>IMAGE("https://assets.tcgdex.net/de/sv/sv10/060/low.jpg", 1)</f>
        <v/>
      </c>
      <c r="N48" s="22"/>
      <c r="O48" s="20"/>
    </row>
    <row r="49" ht="22.5" customHeight="1">
      <c r="A49" s="23" t="b">
        <v>0</v>
      </c>
      <c r="B49" s="24" t="b">
        <v>0</v>
      </c>
      <c r="C49" s="25" t="str">
        <f>HYPERLINK("https://www.cardmarket.com/en/Pokemon/Products/Singles?idCategory=1&amp;idProduct=sv10-56", "CM")</f>
        <v>CM</v>
      </c>
      <c r="D49" s="23" t="b">
        <v>0</v>
      </c>
      <c r="E49" s="24" t="b">
        <v>0</v>
      </c>
      <c r="F49" s="25" t="str">
        <f>HYPERLINK("https://www.cardmarket.com/en/Pokemon/Products/Singles?idCategory=1&amp;idProduct=sv10-57", "CM")</f>
        <v>CM</v>
      </c>
      <c r="G49" s="23" t="b">
        <v>0</v>
      </c>
      <c r="H49" s="24" t="b">
        <v>0</v>
      </c>
      <c r="I49" s="25" t="str">
        <f>HYPERLINK("https://www.cardmarket.com/en/Pokemon/Products/Singles?idCategory=1&amp;idProduct=sv10-58", "CM")</f>
        <v>CM</v>
      </c>
      <c r="J49" s="23" t="b">
        <v>0</v>
      </c>
      <c r="K49" s="24" t="b">
        <v>0</v>
      </c>
      <c r="L49" s="25" t="str">
        <f>HYPERLINK("https://www.cardmarket.com/en/Pokemon/Products/Singles?idCategory=1&amp;idProduct=sv10-59", "CM")</f>
        <v>CM</v>
      </c>
      <c r="M49" s="23" t="b">
        <v>0</v>
      </c>
      <c r="N49" s="24" t="b">
        <v>0</v>
      </c>
      <c r="O49" s="25" t="str">
        <f>HYPERLINK("https://www.cardmarket.com/en/Pokemon/Products/Singles?idCategory=1&amp;idProduct=sv10-60", "CM")</f>
        <v>CM</v>
      </c>
    </row>
    <row r="50" ht="7.5" customHeight="1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</row>
    <row r="51" ht="18.75" customHeight="1">
      <c r="A51" s="18" t="s">
        <v>595</v>
      </c>
      <c r="B51" s="19" t="s">
        <v>2289</v>
      </c>
      <c r="C51" s="20"/>
      <c r="D51" s="18" t="s">
        <v>597</v>
      </c>
      <c r="E51" s="19" t="s">
        <v>2290</v>
      </c>
      <c r="F51" s="20"/>
      <c r="G51" s="18" t="s">
        <v>784</v>
      </c>
      <c r="H51" s="19" t="s">
        <v>2291</v>
      </c>
      <c r="I51" s="20"/>
      <c r="J51" s="18" t="s">
        <v>786</v>
      </c>
      <c r="K51" s="19" t="s">
        <v>1267</v>
      </c>
      <c r="L51" s="20"/>
      <c r="M51" s="18" t="s">
        <v>788</v>
      </c>
      <c r="N51" s="19" t="s">
        <v>2292</v>
      </c>
      <c r="O51" s="20"/>
    </row>
    <row r="52" ht="180.0" customHeight="1">
      <c r="A52" s="21" t="str">
        <f>IMAGE("https://assets.tcgdex.net/de/sv/sv10/061/low.jpg", 1)</f>
        <v/>
      </c>
      <c r="B52" s="22"/>
      <c r="C52" s="20"/>
      <c r="D52" s="21" t="str">
        <f>IMAGE("https://assets.tcgdex.net/de/sv/sv10/062/low.jpg", 1)</f>
        <v/>
      </c>
      <c r="E52" s="22"/>
      <c r="F52" s="20"/>
      <c r="G52" s="21" t="str">
        <f>IMAGE("https://assets.tcgdex.net/de/sv/sv10/063/low.jpg", 1)</f>
        <v/>
      </c>
      <c r="H52" s="22"/>
      <c r="I52" s="20"/>
      <c r="J52" s="21" t="str">
        <f>IMAGE("https://assets.tcgdex.net/de/sv/sv10/064/low.jpg", 1)</f>
        <v/>
      </c>
      <c r="K52" s="22"/>
      <c r="L52" s="20"/>
      <c r="M52" s="21" t="str">
        <f>IMAGE("https://assets.tcgdex.net/de/sv/sv10/065/low.jpg", 1)</f>
        <v/>
      </c>
      <c r="N52" s="22"/>
      <c r="O52" s="20"/>
    </row>
    <row r="53" ht="22.5" customHeight="1">
      <c r="A53" s="23" t="b">
        <v>0</v>
      </c>
      <c r="B53" s="24" t="b">
        <v>0</v>
      </c>
      <c r="C53" s="25" t="str">
        <f>HYPERLINK("https://www.cardmarket.com/en/Pokemon/Products/Singles?idCategory=1&amp;idProduct=sv10-61", "CM")</f>
        <v>CM</v>
      </c>
      <c r="D53" s="23" t="b">
        <v>0</v>
      </c>
      <c r="E53" s="24" t="b">
        <v>0</v>
      </c>
      <c r="F53" s="25" t="str">
        <f>HYPERLINK("https://www.cardmarket.com/en/Pokemon/Products/Singles?idCategory=1&amp;idProduct=sv10-62", "CM")</f>
        <v>CM</v>
      </c>
      <c r="G53" s="23" t="b">
        <v>0</v>
      </c>
      <c r="H53" s="24" t="b">
        <v>0</v>
      </c>
      <c r="I53" s="25" t="str">
        <f>HYPERLINK("https://www.cardmarket.com/en/Pokemon/Products/Singles?idCategory=1&amp;idProduct=sv10-63", "CM")</f>
        <v>CM</v>
      </c>
      <c r="J53" s="23" t="b">
        <v>0</v>
      </c>
      <c r="K53" s="24" t="b">
        <v>0</v>
      </c>
      <c r="L53" s="25" t="str">
        <f>HYPERLINK("https://www.cardmarket.com/en/Pokemon/Products/Singles?idCategory=1&amp;idProduct=sv10-64", "CM")</f>
        <v>CM</v>
      </c>
      <c r="M53" s="23" t="b">
        <v>0</v>
      </c>
      <c r="N53" s="24" t="b">
        <v>0</v>
      </c>
      <c r="O53" s="25" t="str">
        <f>HYPERLINK("https://www.cardmarket.com/en/Pokemon/Products/Singles?idCategory=1&amp;idProduct=sv10-65", "CM")</f>
        <v>CM</v>
      </c>
    </row>
    <row r="54" ht="7.5" customHeight="1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</row>
    <row r="55" ht="18.75" customHeight="1">
      <c r="A55" s="18" t="s">
        <v>790</v>
      </c>
      <c r="B55" s="19" t="s">
        <v>2293</v>
      </c>
      <c r="C55" s="20"/>
      <c r="D55" s="18" t="s">
        <v>791</v>
      </c>
      <c r="E55" s="19" t="s">
        <v>2294</v>
      </c>
      <c r="F55" s="20"/>
      <c r="G55" s="18" t="s">
        <v>793</v>
      </c>
      <c r="H55" s="19" t="s">
        <v>1562</v>
      </c>
      <c r="I55" s="20"/>
      <c r="J55" s="18" t="s">
        <v>795</v>
      </c>
      <c r="K55" s="19" t="s">
        <v>2295</v>
      </c>
      <c r="L55" s="20"/>
      <c r="M55" s="18" t="s">
        <v>797</v>
      </c>
      <c r="N55" s="19" t="s">
        <v>2296</v>
      </c>
      <c r="O55" s="20"/>
    </row>
    <row r="56" ht="180.0" customHeight="1">
      <c r="A56" s="21" t="str">
        <f>IMAGE("https://assets.tcgdex.net/de/sv/sv10/066/low.jpg", 1)</f>
        <v/>
      </c>
      <c r="B56" s="22"/>
      <c r="C56" s="20"/>
      <c r="D56" s="21" t="str">
        <f>IMAGE("https://assets.tcgdex.net/de/sv/sv10/067/low.jpg", 1)</f>
        <v/>
      </c>
      <c r="E56" s="22"/>
      <c r="F56" s="20"/>
      <c r="G56" s="21" t="str">
        <f>IMAGE("https://assets.tcgdex.net/de/sv/sv10/068/low.jpg", 1)</f>
        <v/>
      </c>
      <c r="H56" s="22"/>
      <c r="I56" s="20"/>
      <c r="J56" s="21" t="str">
        <f>IMAGE("https://assets.tcgdex.net/de/sv/sv10/069/low.jpg", 1)</f>
        <v/>
      </c>
      <c r="K56" s="22"/>
      <c r="L56" s="20"/>
      <c r="M56" s="21" t="str">
        <f>IMAGE("https://assets.tcgdex.net/de/sv/sv10/070/low.jpg", 1)</f>
        <v/>
      </c>
      <c r="N56" s="22"/>
      <c r="O56" s="20"/>
    </row>
    <row r="57" ht="22.5" customHeight="1">
      <c r="A57" s="23" t="b">
        <v>0</v>
      </c>
      <c r="B57" s="24" t="b">
        <v>0</v>
      </c>
      <c r="C57" s="25" t="str">
        <f>HYPERLINK("https://www.cardmarket.com/en/Pokemon/Products/Singles?idCategory=1&amp;idProduct=sv10-66", "CM")</f>
        <v>CM</v>
      </c>
      <c r="D57" s="23" t="b">
        <v>0</v>
      </c>
      <c r="E57" s="24" t="b">
        <v>0</v>
      </c>
      <c r="F57" s="25" t="str">
        <f>HYPERLINK("https://www.cardmarket.com/en/Pokemon/Products/Singles?idCategory=1&amp;idProduct=sv10-67", "CM")</f>
        <v>CM</v>
      </c>
      <c r="G57" s="23" t="b">
        <v>0</v>
      </c>
      <c r="H57" s="24" t="b">
        <v>0</v>
      </c>
      <c r="I57" s="25" t="str">
        <f>HYPERLINK("https://www.cardmarket.com/en/Pokemon/Products/Singles?idCategory=1&amp;idProduct=sv10-68", "CM")</f>
        <v>CM</v>
      </c>
      <c r="J57" s="23" t="b">
        <v>0</v>
      </c>
      <c r="K57" s="24" t="b">
        <v>0</v>
      </c>
      <c r="L57" s="25" t="str">
        <f>HYPERLINK("https://www.cardmarket.com/en/Pokemon/Products/Singles?idCategory=1&amp;idProduct=sv10-69", "CM")</f>
        <v>CM</v>
      </c>
      <c r="M57" s="23" t="b">
        <v>0</v>
      </c>
      <c r="N57" s="24" t="b">
        <v>0</v>
      </c>
      <c r="O57" s="25" t="str">
        <f>HYPERLINK("https://www.cardmarket.com/en/Pokemon/Products/Singles?idCategory=1&amp;idProduct=sv10-70", "CM")</f>
        <v>CM</v>
      </c>
    </row>
    <row r="58" ht="7.5" customHeight="1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</row>
    <row r="59" ht="18.75" customHeight="1">
      <c r="A59" s="18" t="s">
        <v>799</v>
      </c>
      <c r="B59" s="19" t="s">
        <v>2297</v>
      </c>
      <c r="C59" s="20"/>
      <c r="D59" s="18" t="s">
        <v>801</v>
      </c>
      <c r="E59" s="19" t="s">
        <v>2298</v>
      </c>
      <c r="F59" s="20"/>
      <c r="G59" s="18" t="s">
        <v>803</v>
      </c>
      <c r="H59" s="19" t="s">
        <v>2299</v>
      </c>
      <c r="I59" s="20"/>
      <c r="J59" s="18" t="s">
        <v>805</v>
      </c>
      <c r="K59" s="19" t="s">
        <v>2300</v>
      </c>
      <c r="L59" s="20"/>
      <c r="M59" s="18" t="s">
        <v>806</v>
      </c>
      <c r="N59" s="19" t="s">
        <v>2301</v>
      </c>
      <c r="O59" s="20"/>
    </row>
    <row r="60" ht="180.0" customHeight="1">
      <c r="A60" s="21" t="str">
        <f>IMAGE("https://assets.tcgdex.net/de/sv/sv10/071/low.jpg", 1)</f>
        <v/>
      </c>
      <c r="B60" s="22"/>
      <c r="C60" s="20"/>
      <c r="D60" s="21" t="str">
        <f>IMAGE("https://assets.tcgdex.net/de/sv/sv10/072/low.jpg", 1)</f>
        <v/>
      </c>
      <c r="E60" s="22"/>
      <c r="F60" s="20"/>
      <c r="G60" s="21" t="str">
        <f>IMAGE("https://assets.tcgdex.net/de/sv/sv10/073/low.jpg", 1)</f>
        <v/>
      </c>
      <c r="H60" s="22"/>
      <c r="I60" s="20"/>
      <c r="J60" s="21" t="str">
        <f>IMAGE("https://assets.tcgdex.net/de/sv/sv10/074/low.jpg", 1)</f>
        <v/>
      </c>
      <c r="K60" s="22"/>
      <c r="L60" s="20"/>
      <c r="M60" s="21" t="str">
        <f>IMAGE("https://assets.tcgdex.net/de/sv/sv10/075/low.jpg", 1)</f>
        <v/>
      </c>
      <c r="N60" s="22"/>
      <c r="O60" s="20"/>
    </row>
    <row r="61" ht="22.5" customHeight="1">
      <c r="A61" s="23" t="b">
        <v>0</v>
      </c>
      <c r="B61" s="24" t="b">
        <v>0</v>
      </c>
      <c r="C61" s="25" t="str">
        <f>HYPERLINK("https://www.cardmarket.com/en/Pokemon/Products/Singles?idCategory=1&amp;idProduct=sv10-71", "CM")</f>
        <v>CM</v>
      </c>
      <c r="D61" s="23" t="b">
        <v>0</v>
      </c>
      <c r="E61" s="24" t="b">
        <v>0</v>
      </c>
      <c r="F61" s="25" t="str">
        <f>HYPERLINK("https://www.cardmarket.com/en/Pokemon/Products/Singles?idCategory=1&amp;idProduct=sv10-72", "CM")</f>
        <v>CM</v>
      </c>
      <c r="G61" s="23" t="b">
        <v>0</v>
      </c>
      <c r="H61" s="24" t="b">
        <v>0</v>
      </c>
      <c r="I61" s="25" t="str">
        <f>HYPERLINK("https://www.cardmarket.com/en/Pokemon/Products/Singles?idCategory=1&amp;idProduct=sv10-73", "CM")</f>
        <v>CM</v>
      </c>
      <c r="J61" s="23" t="b">
        <v>0</v>
      </c>
      <c r="K61" s="24" t="b">
        <v>0</v>
      </c>
      <c r="L61" s="25" t="str">
        <f>HYPERLINK("https://www.cardmarket.com/en/Pokemon/Products/Singles?idCategory=1&amp;idProduct=sv10-74", "CM")</f>
        <v>CM</v>
      </c>
      <c r="M61" s="23" t="b">
        <v>0</v>
      </c>
      <c r="N61" s="24" t="b">
        <v>0</v>
      </c>
      <c r="O61" s="25" t="str">
        <f>HYPERLINK("https://www.cardmarket.com/en/Pokemon/Products/Singles?idCategory=1&amp;idProduct=sv10-75", "CM")</f>
        <v>CM</v>
      </c>
    </row>
    <row r="62" ht="7.5" customHeight="1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</row>
    <row r="63" ht="18.75" customHeight="1">
      <c r="A63" s="18" t="s">
        <v>808</v>
      </c>
      <c r="B63" s="19" t="s">
        <v>2302</v>
      </c>
      <c r="C63" s="20"/>
      <c r="D63" s="18" t="s">
        <v>809</v>
      </c>
      <c r="E63" s="19" t="s">
        <v>1215</v>
      </c>
      <c r="F63" s="20"/>
      <c r="G63" s="18" t="s">
        <v>811</v>
      </c>
      <c r="H63" s="19" t="s">
        <v>925</v>
      </c>
      <c r="I63" s="20"/>
      <c r="J63" s="18" t="s">
        <v>599</v>
      </c>
      <c r="K63" s="19" t="s">
        <v>2303</v>
      </c>
      <c r="L63" s="20"/>
      <c r="M63" s="18" t="s">
        <v>601</v>
      </c>
      <c r="N63" s="19" t="s">
        <v>2304</v>
      </c>
      <c r="O63" s="20"/>
    </row>
    <row r="64" ht="180.0" customHeight="1">
      <c r="A64" s="21" t="str">
        <f>IMAGE("https://assets.tcgdex.net/de/sv/sv10/076/low.jpg", 1)</f>
        <v/>
      </c>
      <c r="B64" s="22"/>
      <c r="C64" s="20"/>
      <c r="D64" s="21" t="str">
        <f>IMAGE("https://assets.tcgdex.net/de/sv/sv10/077/low.jpg", 1)</f>
        <v/>
      </c>
      <c r="E64" s="22"/>
      <c r="F64" s="20"/>
      <c r="G64" s="21" t="str">
        <f>IMAGE("https://assets.tcgdex.net/de/sv/sv10/078/low.jpg", 1)</f>
        <v/>
      </c>
      <c r="H64" s="22"/>
      <c r="I64" s="20"/>
      <c r="J64" s="21" t="str">
        <f>IMAGE("https://assets.tcgdex.net/de/sv/sv10/079/low.jpg", 1)</f>
        <v/>
      </c>
      <c r="K64" s="22"/>
      <c r="L64" s="20"/>
      <c r="M64" s="21" t="str">
        <f>IMAGE("https://assets.tcgdex.net/de/sv/sv10/080/low.jpg", 1)</f>
        <v/>
      </c>
      <c r="N64" s="22"/>
      <c r="O64" s="20"/>
    </row>
    <row r="65" ht="22.5" customHeight="1">
      <c r="A65" s="23" t="b">
        <v>0</v>
      </c>
      <c r="B65" s="24" t="b">
        <v>0</v>
      </c>
      <c r="C65" s="25" t="str">
        <f>HYPERLINK("https://www.cardmarket.com/en/Pokemon/Products/Singles?idCategory=1&amp;idProduct=sv10-76", "CM")</f>
        <v>CM</v>
      </c>
      <c r="D65" s="23" t="b">
        <v>0</v>
      </c>
      <c r="E65" s="24" t="b">
        <v>0</v>
      </c>
      <c r="F65" s="25" t="str">
        <f>HYPERLINK("https://www.cardmarket.com/en/Pokemon/Products/Singles?idCategory=1&amp;idProduct=sv10-77", "CM")</f>
        <v>CM</v>
      </c>
      <c r="G65" s="23" t="b">
        <v>0</v>
      </c>
      <c r="H65" s="24" t="b">
        <v>0</v>
      </c>
      <c r="I65" s="25" t="str">
        <f>HYPERLINK("https://www.cardmarket.com/en/Pokemon/Products/Singles?idCategory=1&amp;idProduct=sv10-78", "CM")</f>
        <v>CM</v>
      </c>
      <c r="J65" s="23" t="b">
        <v>0</v>
      </c>
      <c r="K65" s="24" t="b">
        <v>0</v>
      </c>
      <c r="L65" s="25" t="str">
        <f>HYPERLINK("https://www.cardmarket.com/en/Pokemon/Products/Singles?idCategory=1&amp;idProduct=sv10-79", "CM")</f>
        <v>CM</v>
      </c>
      <c r="M65" s="23" t="b">
        <v>0</v>
      </c>
      <c r="N65" s="24" t="b">
        <v>0</v>
      </c>
      <c r="O65" s="25" t="str">
        <f>HYPERLINK("https://www.cardmarket.com/en/Pokemon/Products/Singles?idCategory=1&amp;idProduct=sv10-80", "CM")</f>
        <v>CM</v>
      </c>
    </row>
    <row r="66" ht="7.5" customHeight="1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</row>
    <row r="67" ht="18.75" customHeight="1">
      <c r="A67" s="18" t="s">
        <v>603</v>
      </c>
      <c r="B67" s="19" t="s">
        <v>2305</v>
      </c>
      <c r="C67" s="20"/>
      <c r="D67" s="18" t="s">
        <v>604</v>
      </c>
      <c r="E67" s="19" t="s">
        <v>2306</v>
      </c>
      <c r="F67" s="20"/>
      <c r="G67" s="18" t="s">
        <v>606</v>
      </c>
      <c r="H67" s="19" t="s">
        <v>2307</v>
      </c>
      <c r="I67" s="20"/>
      <c r="J67" s="18" t="s">
        <v>608</v>
      </c>
      <c r="K67" s="19" t="s">
        <v>2308</v>
      </c>
      <c r="L67" s="20"/>
      <c r="M67" s="18" t="s">
        <v>609</v>
      </c>
      <c r="N67" s="19" t="s">
        <v>2309</v>
      </c>
      <c r="O67" s="20"/>
    </row>
    <row r="68" ht="180.0" customHeight="1">
      <c r="A68" s="21" t="str">
        <f>IMAGE("https://assets.tcgdex.net/de/sv/sv10/081/low.jpg", 1)</f>
        <v/>
      </c>
      <c r="B68" s="22"/>
      <c r="C68" s="20"/>
      <c r="D68" s="21" t="str">
        <f>IMAGE("https://assets.tcgdex.net/de/sv/sv10/082/low.jpg", 1)</f>
        <v/>
      </c>
      <c r="E68" s="22"/>
      <c r="F68" s="20"/>
      <c r="G68" s="21" t="str">
        <f>IMAGE("https://assets.tcgdex.net/de/sv/sv10/083/low.jpg", 1)</f>
        <v/>
      </c>
      <c r="H68" s="22"/>
      <c r="I68" s="20"/>
      <c r="J68" s="21" t="str">
        <f>IMAGE("https://assets.tcgdex.net/de/sv/sv10/084/low.jpg", 1)</f>
        <v/>
      </c>
      <c r="K68" s="22"/>
      <c r="L68" s="20"/>
      <c r="M68" s="21" t="str">
        <f>IMAGE("https://assets.tcgdex.net/de/sv/sv10/085/low.jpg", 1)</f>
        <v/>
      </c>
      <c r="N68" s="22"/>
      <c r="O68" s="20"/>
    </row>
    <row r="69" ht="22.5" customHeight="1">
      <c r="A69" s="23" t="b">
        <v>0</v>
      </c>
      <c r="B69" s="24" t="b">
        <v>0</v>
      </c>
      <c r="C69" s="25" t="str">
        <f>HYPERLINK("https://www.cardmarket.com/en/Pokemon/Products/Singles?idCategory=1&amp;idProduct=sv10-81", "CM")</f>
        <v>CM</v>
      </c>
      <c r="D69" s="23" t="b">
        <v>0</v>
      </c>
      <c r="E69" s="24" t="b">
        <v>0</v>
      </c>
      <c r="F69" s="25" t="str">
        <f>HYPERLINK("https://www.cardmarket.com/en/Pokemon/Products/Singles?idCategory=1&amp;idProduct=sv10-82", "CM")</f>
        <v>CM</v>
      </c>
      <c r="G69" s="23" t="b">
        <v>0</v>
      </c>
      <c r="H69" s="24" t="b">
        <v>0</v>
      </c>
      <c r="I69" s="25" t="str">
        <f>HYPERLINK("https://www.cardmarket.com/en/Pokemon/Products/Singles?idCategory=1&amp;idProduct=sv10-83", "CM")</f>
        <v>CM</v>
      </c>
      <c r="J69" s="23" t="b">
        <v>0</v>
      </c>
      <c r="K69" s="24" t="b">
        <v>0</v>
      </c>
      <c r="L69" s="25" t="str">
        <f>HYPERLINK("https://www.cardmarket.com/en/Pokemon/Products/Singles?idCategory=1&amp;idProduct=sv10-84", "CM")</f>
        <v>CM</v>
      </c>
      <c r="M69" s="23" t="b">
        <v>0</v>
      </c>
      <c r="N69" s="24" t="b">
        <v>0</v>
      </c>
      <c r="O69" s="25" t="str">
        <f>HYPERLINK("https://www.cardmarket.com/en/Pokemon/Products/Singles?idCategory=1&amp;idProduct=sv10-85", "CM")</f>
        <v>CM</v>
      </c>
    </row>
    <row r="70" ht="7.5" customHeight="1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</row>
    <row r="71" ht="18.75" customHeight="1">
      <c r="A71" s="18" t="s">
        <v>611</v>
      </c>
      <c r="B71" s="19" t="s">
        <v>2310</v>
      </c>
      <c r="C71" s="20"/>
      <c r="D71" s="18" t="s">
        <v>613</v>
      </c>
      <c r="E71" s="19" t="s">
        <v>2311</v>
      </c>
      <c r="F71" s="20"/>
      <c r="G71" s="18" t="s">
        <v>615</v>
      </c>
      <c r="H71" s="19" t="s">
        <v>2312</v>
      </c>
      <c r="I71" s="20"/>
      <c r="J71" s="18" t="s">
        <v>617</v>
      </c>
      <c r="K71" s="19" t="s">
        <v>2313</v>
      </c>
      <c r="L71" s="20"/>
      <c r="M71" s="18" t="s">
        <v>619</v>
      </c>
      <c r="N71" s="19" t="s">
        <v>1281</v>
      </c>
      <c r="O71" s="20"/>
    </row>
    <row r="72" ht="180.0" customHeight="1">
      <c r="A72" s="21" t="str">
        <f>IMAGE("https://assets.tcgdex.net/de/sv/sv10/086/low.jpg", 1)</f>
        <v/>
      </c>
      <c r="B72" s="22"/>
      <c r="C72" s="20"/>
      <c r="D72" s="21" t="str">
        <f>IMAGE("https://assets.tcgdex.net/de/sv/sv10/087/low.jpg", 1)</f>
        <v/>
      </c>
      <c r="E72" s="22"/>
      <c r="F72" s="20"/>
      <c r="G72" s="21" t="str">
        <f>IMAGE("https://assets.tcgdex.net/de/sv/sv10/088/low.jpg", 1)</f>
        <v/>
      </c>
      <c r="H72" s="22"/>
      <c r="I72" s="20"/>
      <c r="J72" s="21" t="str">
        <f>IMAGE("https://assets.tcgdex.net/de/sv/sv10/089/low.jpg", 1)</f>
        <v/>
      </c>
      <c r="K72" s="22"/>
      <c r="L72" s="20"/>
      <c r="M72" s="21" t="str">
        <f>IMAGE("https://assets.tcgdex.net/de/sv/sv10/090/low.jpg", 1)</f>
        <v/>
      </c>
      <c r="N72" s="22"/>
      <c r="O72" s="20"/>
    </row>
    <row r="73" ht="22.5" customHeight="1">
      <c r="A73" s="23" t="b">
        <v>0</v>
      </c>
      <c r="B73" s="24" t="b">
        <v>0</v>
      </c>
      <c r="C73" s="25" t="str">
        <f>HYPERLINK("https://www.cardmarket.com/en/Pokemon/Products/Singles?idCategory=1&amp;idProduct=sv10-86", "CM")</f>
        <v>CM</v>
      </c>
      <c r="D73" s="23" t="b">
        <v>0</v>
      </c>
      <c r="E73" s="24" t="b">
        <v>0</v>
      </c>
      <c r="F73" s="25" t="str">
        <f>HYPERLINK("https://www.cardmarket.com/en/Pokemon/Products/Singles?idCategory=1&amp;idProduct=sv10-87", "CM")</f>
        <v>CM</v>
      </c>
      <c r="G73" s="23" t="b">
        <v>0</v>
      </c>
      <c r="H73" s="24" t="b">
        <v>0</v>
      </c>
      <c r="I73" s="25" t="str">
        <f>HYPERLINK("https://www.cardmarket.com/en/Pokemon/Products/Singles?idCategory=1&amp;idProduct=sv10-88", "CM")</f>
        <v>CM</v>
      </c>
      <c r="J73" s="23" t="b">
        <v>0</v>
      </c>
      <c r="K73" s="24" t="b">
        <v>0</v>
      </c>
      <c r="L73" s="25" t="str">
        <f>HYPERLINK("https://www.cardmarket.com/en/Pokemon/Products/Singles?idCategory=1&amp;idProduct=sv10-89", "CM")</f>
        <v>CM</v>
      </c>
      <c r="M73" s="23" t="b">
        <v>0</v>
      </c>
      <c r="N73" s="24" t="b">
        <v>0</v>
      </c>
      <c r="O73" s="25" t="str">
        <f>HYPERLINK("https://www.cardmarket.com/en/Pokemon/Products/Singles?idCategory=1&amp;idProduct=sv10-90", "CM")</f>
        <v>CM</v>
      </c>
    </row>
    <row r="74" ht="7.5" customHeight="1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</row>
    <row r="75" ht="18.75" customHeight="1">
      <c r="A75" s="18" t="s">
        <v>621</v>
      </c>
      <c r="B75" s="19" t="s">
        <v>1282</v>
      </c>
      <c r="C75" s="20"/>
      <c r="D75" s="18" t="s">
        <v>623</v>
      </c>
      <c r="E75" s="19" t="s">
        <v>1283</v>
      </c>
      <c r="F75" s="20"/>
      <c r="G75" s="18" t="s">
        <v>625</v>
      </c>
      <c r="H75" s="19" t="s">
        <v>2314</v>
      </c>
      <c r="I75" s="20"/>
      <c r="J75" s="18" t="s">
        <v>627</v>
      </c>
      <c r="K75" s="19" t="s">
        <v>2315</v>
      </c>
      <c r="L75" s="20"/>
      <c r="M75" s="18" t="s">
        <v>812</v>
      </c>
      <c r="N75" s="19" t="s">
        <v>2316</v>
      </c>
      <c r="O75" s="20"/>
    </row>
    <row r="76" ht="180.0" customHeight="1">
      <c r="A76" s="21" t="str">
        <f>IMAGE("https://assets.tcgdex.net/de/sv/sv10/091/low.jpg", 1)</f>
        <v/>
      </c>
      <c r="B76" s="22"/>
      <c r="C76" s="20"/>
      <c r="D76" s="21" t="str">
        <f>IMAGE("https://assets.tcgdex.net/de/sv/sv10/092/low.jpg", 1)</f>
        <v/>
      </c>
      <c r="E76" s="22"/>
      <c r="F76" s="20"/>
      <c r="G76" s="21" t="str">
        <f>IMAGE("https://assets.tcgdex.net/de/sv/sv10/093/low.jpg", 1)</f>
        <v/>
      </c>
      <c r="H76" s="22"/>
      <c r="I76" s="20"/>
      <c r="J76" s="21" t="str">
        <f>IMAGE("https://assets.tcgdex.net/de/sv/sv10/094/low.jpg", 1)</f>
        <v/>
      </c>
      <c r="K76" s="22"/>
      <c r="L76" s="20"/>
      <c r="M76" s="21" t="str">
        <f>IMAGE("https://assets.tcgdex.net/de/sv/sv10/095/low.jpg", 1)</f>
        <v/>
      </c>
      <c r="N76" s="22"/>
      <c r="O76" s="20"/>
    </row>
    <row r="77" ht="22.5" customHeight="1">
      <c r="A77" s="23" t="b">
        <v>0</v>
      </c>
      <c r="B77" s="24" t="b">
        <v>0</v>
      </c>
      <c r="C77" s="25" t="str">
        <f>HYPERLINK("https://www.cardmarket.com/en/Pokemon/Products/Singles?idCategory=1&amp;idProduct=sv10-91", "CM")</f>
        <v>CM</v>
      </c>
      <c r="D77" s="23" t="b">
        <v>0</v>
      </c>
      <c r="E77" s="24" t="b">
        <v>0</v>
      </c>
      <c r="F77" s="25" t="str">
        <f>HYPERLINK("https://www.cardmarket.com/en/Pokemon/Products/Singles?idCategory=1&amp;idProduct=sv10-92", "CM")</f>
        <v>CM</v>
      </c>
      <c r="G77" s="23" t="b">
        <v>0</v>
      </c>
      <c r="H77" s="24" t="b">
        <v>0</v>
      </c>
      <c r="I77" s="25" t="str">
        <f>HYPERLINK("https://www.cardmarket.com/en/Pokemon/Products/Singles?idCategory=1&amp;idProduct=sv10-93", "CM")</f>
        <v>CM</v>
      </c>
      <c r="J77" s="23" t="b">
        <v>0</v>
      </c>
      <c r="K77" s="24" t="b">
        <v>0</v>
      </c>
      <c r="L77" s="25" t="str">
        <f>HYPERLINK("https://www.cardmarket.com/en/Pokemon/Products/Singles?idCategory=1&amp;idProduct=sv10-94", "CM")</f>
        <v>CM</v>
      </c>
      <c r="M77" s="23" t="b">
        <v>0</v>
      </c>
      <c r="N77" s="24" t="b">
        <v>0</v>
      </c>
      <c r="O77" s="25" t="str">
        <f>HYPERLINK("https://www.cardmarket.com/en/Pokemon/Products/Singles?idCategory=1&amp;idProduct=sv10-95", "CM")</f>
        <v>CM</v>
      </c>
    </row>
    <row r="78" ht="7.5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</row>
    <row r="79" ht="18.75" customHeight="1">
      <c r="A79" s="18" t="s">
        <v>813</v>
      </c>
      <c r="B79" s="19" t="s">
        <v>2317</v>
      </c>
      <c r="C79" s="20"/>
      <c r="D79" s="18" t="s">
        <v>815</v>
      </c>
      <c r="E79" s="19" t="s">
        <v>1420</v>
      </c>
      <c r="F79" s="20"/>
      <c r="G79" s="18" t="s">
        <v>817</v>
      </c>
      <c r="H79" s="19" t="s">
        <v>1440</v>
      </c>
      <c r="I79" s="20"/>
      <c r="J79" s="18" t="s">
        <v>819</v>
      </c>
      <c r="K79" s="19" t="s">
        <v>1284</v>
      </c>
      <c r="L79" s="20"/>
      <c r="M79" s="18" t="s">
        <v>821</v>
      </c>
      <c r="N79" s="19" t="s">
        <v>1221</v>
      </c>
      <c r="O79" s="20"/>
    </row>
    <row r="80" ht="180.0" customHeight="1">
      <c r="A80" s="21" t="str">
        <f>IMAGE("https://assets.tcgdex.net/de/sv/sv10/096/low.jpg", 1)</f>
        <v/>
      </c>
      <c r="B80" s="22"/>
      <c r="C80" s="20"/>
      <c r="D80" s="21" t="str">
        <f>IMAGE("https://assets.tcgdex.net/de/sv/sv10/097/low.jpg", 1)</f>
        <v/>
      </c>
      <c r="E80" s="22"/>
      <c r="F80" s="20"/>
      <c r="G80" s="21" t="str">
        <f>IMAGE("https://assets.tcgdex.net/de/sv/sv10/098/low.jpg", 1)</f>
        <v/>
      </c>
      <c r="H80" s="22"/>
      <c r="I80" s="20"/>
      <c r="J80" s="21" t="str">
        <f>IMAGE("https://assets.tcgdex.net/de/sv/sv10/099/low.jpg", 1)</f>
        <v/>
      </c>
      <c r="K80" s="22"/>
      <c r="L80" s="20"/>
      <c r="M80" s="21" t="str">
        <f>IMAGE("https://assets.tcgdex.net/de/sv/sv10/100/low.jpg", 1)</f>
        <v/>
      </c>
      <c r="N80" s="22"/>
      <c r="O80" s="20"/>
    </row>
    <row r="81" ht="22.5" customHeight="1">
      <c r="A81" s="23" t="b">
        <v>0</v>
      </c>
      <c r="B81" s="24" t="b">
        <v>0</v>
      </c>
      <c r="C81" s="25" t="str">
        <f>HYPERLINK("https://www.cardmarket.com/en/Pokemon/Products/Singles?idCategory=1&amp;idProduct=sv10-96", "CM")</f>
        <v>CM</v>
      </c>
      <c r="D81" s="23" t="b">
        <v>0</v>
      </c>
      <c r="E81" s="24" t="b">
        <v>0</v>
      </c>
      <c r="F81" s="25" t="str">
        <f>HYPERLINK("https://www.cardmarket.com/en/Pokemon/Products/Singles?idCategory=1&amp;idProduct=sv10-97", "CM")</f>
        <v>CM</v>
      </c>
      <c r="G81" s="23" t="b">
        <v>0</v>
      </c>
      <c r="H81" s="24" t="b">
        <v>0</v>
      </c>
      <c r="I81" s="25" t="str">
        <f>HYPERLINK("https://www.cardmarket.com/en/Pokemon/Products/Singles?idCategory=1&amp;idProduct=sv10-98", "CM")</f>
        <v>CM</v>
      </c>
      <c r="J81" s="23" t="b">
        <v>0</v>
      </c>
      <c r="K81" s="24" t="b">
        <v>0</v>
      </c>
      <c r="L81" s="25" t="str">
        <f>HYPERLINK("https://www.cardmarket.com/en/Pokemon/Products/Singles?idCategory=1&amp;idProduct=sv10-99", "CM")</f>
        <v>CM</v>
      </c>
      <c r="M81" s="23" t="b">
        <v>0</v>
      </c>
      <c r="N81" s="24" t="b">
        <v>0</v>
      </c>
      <c r="O81" s="25" t="str">
        <f>HYPERLINK("https://www.cardmarket.com/en/Pokemon/Products/Singles?idCategory=1&amp;idProduct=sv10-100", "CM")</f>
        <v>CM</v>
      </c>
    </row>
    <row r="82" ht="7.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</row>
    <row r="83" ht="18.75" customHeight="1">
      <c r="A83" s="18" t="s">
        <v>629</v>
      </c>
      <c r="B83" s="19" t="s">
        <v>2318</v>
      </c>
      <c r="C83" s="20"/>
      <c r="D83" s="18" t="s">
        <v>630</v>
      </c>
      <c r="E83" s="19" t="s">
        <v>2319</v>
      </c>
      <c r="F83" s="20"/>
      <c r="G83" s="18" t="s">
        <v>632</v>
      </c>
      <c r="H83" s="19" t="s">
        <v>2320</v>
      </c>
      <c r="I83" s="20"/>
      <c r="J83" s="18" t="s">
        <v>634</v>
      </c>
      <c r="K83" s="19" t="s">
        <v>2321</v>
      </c>
      <c r="L83" s="20"/>
      <c r="M83" s="18" t="s">
        <v>636</v>
      </c>
      <c r="N83" s="19" t="s">
        <v>2156</v>
      </c>
      <c r="O83" s="20"/>
    </row>
    <row r="84" ht="180.0" customHeight="1">
      <c r="A84" s="21" t="str">
        <f>IMAGE("https://assets.tcgdex.net/de/sv/sv10/101/low.jpg", 1)</f>
        <v/>
      </c>
      <c r="B84" s="22"/>
      <c r="C84" s="20"/>
      <c r="D84" s="21" t="str">
        <f>IMAGE("https://assets.tcgdex.net/de/sv/sv10/102/low.jpg", 1)</f>
        <v/>
      </c>
      <c r="E84" s="22"/>
      <c r="F84" s="20"/>
      <c r="G84" s="21" t="str">
        <f>IMAGE("https://assets.tcgdex.net/de/sv/sv10/103/low.jpg", 1)</f>
        <v/>
      </c>
      <c r="H84" s="22"/>
      <c r="I84" s="20"/>
      <c r="J84" s="21" t="str">
        <f>IMAGE("https://assets.tcgdex.net/de/sv/sv10/104/low.jpg", 1)</f>
        <v/>
      </c>
      <c r="K84" s="22"/>
      <c r="L84" s="20"/>
      <c r="M84" s="21" t="str">
        <f>IMAGE("https://assets.tcgdex.net/de/sv/sv10/105/low.jpg", 1)</f>
        <v/>
      </c>
      <c r="N84" s="22"/>
      <c r="O84" s="20"/>
    </row>
    <row r="85" ht="22.5" customHeight="1">
      <c r="A85" s="23" t="b">
        <v>0</v>
      </c>
      <c r="B85" s="24" t="b">
        <v>0</v>
      </c>
      <c r="C85" s="25" t="str">
        <f>HYPERLINK("https://www.cardmarket.com/en/Pokemon/Products/Singles?idCategory=1&amp;idProduct=sv10-101", "CM")</f>
        <v>CM</v>
      </c>
      <c r="D85" s="23" t="b">
        <v>0</v>
      </c>
      <c r="E85" s="24" t="b">
        <v>0</v>
      </c>
      <c r="F85" s="25" t="str">
        <f>HYPERLINK("https://www.cardmarket.com/en/Pokemon/Products/Singles?idCategory=1&amp;idProduct=sv10-102", "CM")</f>
        <v>CM</v>
      </c>
      <c r="G85" s="23" t="b">
        <v>0</v>
      </c>
      <c r="H85" s="24" t="b">
        <v>0</v>
      </c>
      <c r="I85" s="25" t="str">
        <f>HYPERLINK("https://www.cardmarket.com/en/Pokemon/Products/Singles?idCategory=1&amp;idProduct=sv10-103", "CM")</f>
        <v>CM</v>
      </c>
      <c r="J85" s="23" t="b">
        <v>0</v>
      </c>
      <c r="K85" s="24" t="b">
        <v>0</v>
      </c>
      <c r="L85" s="25" t="str">
        <f>HYPERLINK("https://www.cardmarket.com/en/Pokemon/Products/Singles?idCategory=1&amp;idProduct=sv10-104", "CM")</f>
        <v>CM</v>
      </c>
      <c r="M85" s="23" t="b">
        <v>0</v>
      </c>
      <c r="N85" s="24" t="b">
        <v>0</v>
      </c>
      <c r="O85" s="25" t="str">
        <f>HYPERLINK("https://www.cardmarket.com/en/Pokemon/Products/Singles?idCategory=1&amp;idProduct=sv10-105", "CM")</f>
        <v>CM</v>
      </c>
    </row>
    <row r="86" ht="7.5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</row>
    <row r="87" ht="18.75" customHeight="1">
      <c r="A87" s="18" t="s">
        <v>638</v>
      </c>
      <c r="B87" s="19" t="s">
        <v>2157</v>
      </c>
      <c r="C87" s="20"/>
      <c r="D87" s="18" t="s">
        <v>640</v>
      </c>
      <c r="E87" s="19" t="s">
        <v>1820</v>
      </c>
      <c r="F87" s="20"/>
      <c r="G87" s="18" t="s">
        <v>642</v>
      </c>
      <c r="H87" s="19" t="s">
        <v>1821</v>
      </c>
      <c r="I87" s="20"/>
      <c r="J87" s="18" t="s">
        <v>643</v>
      </c>
      <c r="K87" s="19" t="s">
        <v>2322</v>
      </c>
      <c r="L87" s="20"/>
      <c r="M87" s="18" t="s">
        <v>645</v>
      </c>
      <c r="N87" s="19" t="s">
        <v>2323</v>
      </c>
      <c r="O87" s="20"/>
    </row>
    <row r="88" ht="180.0" customHeight="1">
      <c r="A88" s="21" t="str">
        <f>IMAGE("https://assets.tcgdex.net/de/sv/sv10/106/low.jpg", 1)</f>
        <v/>
      </c>
      <c r="B88" s="22"/>
      <c r="C88" s="20"/>
      <c r="D88" s="21" t="str">
        <f>IMAGE("https://assets.tcgdex.net/de/sv/sv10/107/low.jpg", 1)</f>
        <v/>
      </c>
      <c r="E88" s="22"/>
      <c r="F88" s="20"/>
      <c r="G88" s="21" t="str">
        <f>IMAGE("https://assets.tcgdex.net/de/sv/sv10/108/low.jpg", 1)</f>
        <v/>
      </c>
      <c r="H88" s="22"/>
      <c r="I88" s="20"/>
      <c r="J88" s="21" t="str">
        <f>IMAGE("https://assets.tcgdex.net/de/sv/sv10/109/low.jpg", 1)</f>
        <v/>
      </c>
      <c r="K88" s="22"/>
      <c r="L88" s="20"/>
      <c r="M88" s="21" t="str">
        <f>IMAGE("https://assets.tcgdex.net/de/sv/sv10/110/low.jpg", 1)</f>
        <v/>
      </c>
      <c r="N88" s="22"/>
      <c r="O88" s="20"/>
    </row>
    <row r="89" ht="22.5" customHeight="1">
      <c r="A89" s="23" t="b">
        <v>0</v>
      </c>
      <c r="B89" s="24" t="b">
        <v>0</v>
      </c>
      <c r="C89" s="25" t="str">
        <f>HYPERLINK("https://www.cardmarket.com/en/Pokemon/Products/Singles?idCategory=1&amp;idProduct=sv10-106", "CM")</f>
        <v>CM</v>
      </c>
      <c r="D89" s="23" t="b">
        <v>0</v>
      </c>
      <c r="E89" s="24" t="b">
        <v>0</v>
      </c>
      <c r="F89" s="25" t="str">
        <f>HYPERLINK("https://www.cardmarket.com/en/Pokemon/Products/Singles?idCategory=1&amp;idProduct=sv10-107", "CM")</f>
        <v>CM</v>
      </c>
      <c r="G89" s="23" t="b">
        <v>0</v>
      </c>
      <c r="H89" s="24" t="b">
        <v>0</v>
      </c>
      <c r="I89" s="25" t="str">
        <f>HYPERLINK("https://www.cardmarket.com/en/Pokemon/Products/Singles?idCategory=1&amp;idProduct=sv10-108", "CM")</f>
        <v>CM</v>
      </c>
      <c r="J89" s="23" t="b">
        <v>0</v>
      </c>
      <c r="K89" s="24" t="b">
        <v>0</v>
      </c>
      <c r="L89" s="25" t="str">
        <f>HYPERLINK("https://www.cardmarket.com/en/Pokemon/Products/Singles?idCategory=1&amp;idProduct=sv10-109", "CM")</f>
        <v>CM</v>
      </c>
      <c r="M89" s="23" t="b">
        <v>0</v>
      </c>
      <c r="N89" s="24" t="b">
        <v>0</v>
      </c>
      <c r="O89" s="25" t="str">
        <f>HYPERLINK("https://www.cardmarket.com/en/Pokemon/Products/Singles?idCategory=1&amp;idProduct=sv10-110", "CM")</f>
        <v>CM</v>
      </c>
    </row>
    <row r="90" ht="7.5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</row>
    <row r="91" ht="18.75" customHeight="1">
      <c r="A91" s="18" t="s">
        <v>647</v>
      </c>
      <c r="B91" s="19" t="s">
        <v>2324</v>
      </c>
      <c r="C91" s="20"/>
      <c r="D91" s="18" t="s">
        <v>649</v>
      </c>
      <c r="E91" s="19" t="s">
        <v>2325</v>
      </c>
      <c r="F91" s="20"/>
      <c r="G91" s="18" t="s">
        <v>651</v>
      </c>
      <c r="H91" s="19" t="s">
        <v>2326</v>
      </c>
      <c r="I91" s="20"/>
      <c r="J91" s="18" t="s">
        <v>823</v>
      </c>
      <c r="K91" s="19" t="s">
        <v>2327</v>
      </c>
      <c r="L91" s="20"/>
      <c r="M91" s="18" t="s">
        <v>653</v>
      </c>
      <c r="N91" s="19" t="s">
        <v>2328</v>
      </c>
      <c r="O91" s="20"/>
    </row>
    <row r="92" ht="180.0" customHeight="1">
      <c r="A92" s="21" t="str">
        <f>IMAGE("https://assets.tcgdex.net/de/sv/sv10/111/low.jpg", 1)</f>
        <v/>
      </c>
      <c r="B92" s="22"/>
      <c r="C92" s="20"/>
      <c r="D92" s="21" t="str">
        <f>IMAGE("https://assets.tcgdex.net/de/sv/sv10/112/low.jpg", 1)</f>
        <v/>
      </c>
      <c r="E92" s="22"/>
      <c r="F92" s="20"/>
      <c r="G92" s="21" t="str">
        <f>IMAGE("https://assets.tcgdex.net/de/sv/sv10/113/low.jpg", 1)</f>
        <v/>
      </c>
      <c r="H92" s="22"/>
      <c r="I92" s="20"/>
      <c r="J92" s="21" t="str">
        <f>IMAGE("https://assets.tcgdex.net/de/sv/sv10/114/low.jpg", 1)</f>
        <v/>
      </c>
      <c r="K92" s="22"/>
      <c r="L92" s="20"/>
      <c r="M92" s="21" t="str">
        <f>IMAGE("https://assets.tcgdex.net/de/sv/sv10/115/low.jpg", 1)</f>
        <v/>
      </c>
      <c r="N92" s="22"/>
      <c r="O92" s="20"/>
    </row>
    <row r="93" ht="22.5" customHeight="1">
      <c r="A93" s="23" t="b">
        <v>0</v>
      </c>
      <c r="B93" s="24" t="b">
        <v>0</v>
      </c>
      <c r="C93" s="25" t="str">
        <f>HYPERLINK("https://www.cardmarket.com/en/Pokemon/Products/Singles?idCategory=1&amp;idProduct=sv10-111", "CM")</f>
        <v>CM</v>
      </c>
      <c r="D93" s="23" t="b">
        <v>0</v>
      </c>
      <c r="E93" s="24" t="b">
        <v>0</v>
      </c>
      <c r="F93" s="25" t="str">
        <f>HYPERLINK("https://www.cardmarket.com/en/Pokemon/Products/Singles?idCategory=1&amp;idProduct=sv10-112", "CM")</f>
        <v>CM</v>
      </c>
      <c r="G93" s="23" t="b">
        <v>0</v>
      </c>
      <c r="H93" s="24" t="b">
        <v>0</v>
      </c>
      <c r="I93" s="25" t="str">
        <f>HYPERLINK("https://www.cardmarket.com/en/Pokemon/Products/Singles?idCategory=1&amp;idProduct=sv10-113", "CM")</f>
        <v>CM</v>
      </c>
      <c r="J93" s="23" t="b">
        <v>0</v>
      </c>
      <c r="K93" s="24" t="b">
        <v>0</v>
      </c>
      <c r="L93" s="25" t="str">
        <f>HYPERLINK("https://www.cardmarket.com/en/Pokemon/Products/Singles?idCategory=1&amp;idProduct=sv10-114", "CM")</f>
        <v>CM</v>
      </c>
      <c r="M93" s="23" t="b">
        <v>0</v>
      </c>
      <c r="N93" s="24" t="b">
        <v>0</v>
      </c>
      <c r="O93" s="25" t="str">
        <f>HYPERLINK("https://www.cardmarket.com/en/Pokemon/Products/Singles?idCategory=1&amp;idProduct=sv10-115", "CM")</f>
        <v>CM</v>
      </c>
    </row>
    <row r="94" ht="7.5" customHeigh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</row>
    <row r="95" ht="18.75" customHeight="1">
      <c r="A95" s="18" t="s">
        <v>825</v>
      </c>
      <c r="B95" s="19" t="s">
        <v>2329</v>
      </c>
      <c r="C95" s="20"/>
      <c r="D95" s="18" t="s">
        <v>655</v>
      </c>
      <c r="E95" s="19" t="s">
        <v>2330</v>
      </c>
      <c r="F95" s="20"/>
      <c r="G95" s="18" t="s">
        <v>827</v>
      </c>
      <c r="H95" s="19" t="s">
        <v>2331</v>
      </c>
      <c r="I95" s="20"/>
      <c r="J95" s="18" t="s">
        <v>657</v>
      </c>
      <c r="K95" s="19" t="s">
        <v>2332</v>
      </c>
      <c r="L95" s="20"/>
      <c r="M95" s="18" t="s">
        <v>659</v>
      </c>
      <c r="N95" s="19" t="s">
        <v>2333</v>
      </c>
      <c r="O95" s="20"/>
    </row>
    <row r="96" ht="180.0" customHeight="1">
      <c r="A96" s="21" t="str">
        <f>IMAGE("https://assets.tcgdex.net/de/sv/sv10/116/low.jpg", 1)</f>
        <v/>
      </c>
      <c r="B96" s="22"/>
      <c r="C96" s="20"/>
      <c r="D96" s="21" t="str">
        <f>IMAGE("https://assets.tcgdex.net/de/sv/sv10/117/low.jpg", 1)</f>
        <v/>
      </c>
      <c r="E96" s="22"/>
      <c r="F96" s="20"/>
      <c r="G96" s="21" t="str">
        <f>IMAGE("https://assets.tcgdex.net/de/sv/sv10/118/low.jpg", 1)</f>
        <v/>
      </c>
      <c r="H96" s="22"/>
      <c r="I96" s="20"/>
      <c r="J96" s="21" t="str">
        <f>IMAGE("https://assets.tcgdex.net/de/sv/sv10/119/low.jpg", 1)</f>
        <v/>
      </c>
      <c r="K96" s="22"/>
      <c r="L96" s="20"/>
      <c r="M96" s="21" t="str">
        <f>IMAGE("https://assets.tcgdex.net/de/sv/sv10/120/low.jpg", 1)</f>
        <v/>
      </c>
      <c r="N96" s="22"/>
      <c r="O96" s="20"/>
    </row>
    <row r="97" ht="22.5" customHeight="1">
      <c r="A97" s="23" t="b">
        <v>0</v>
      </c>
      <c r="B97" s="24" t="b">
        <v>0</v>
      </c>
      <c r="C97" s="25" t="str">
        <f>HYPERLINK("https://www.cardmarket.com/en/Pokemon/Products/Singles?idCategory=1&amp;idProduct=sv10-116", "CM")</f>
        <v>CM</v>
      </c>
      <c r="D97" s="23" t="b">
        <v>0</v>
      </c>
      <c r="E97" s="24" t="b">
        <v>0</v>
      </c>
      <c r="F97" s="25" t="str">
        <f>HYPERLINK("https://www.cardmarket.com/en/Pokemon/Products/Singles?idCategory=1&amp;idProduct=sv10-117", "CM")</f>
        <v>CM</v>
      </c>
      <c r="G97" s="23" t="b">
        <v>0</v>
      </c>
      <c r="H97" s="24" t="b">
        <v>0</v>
      </c>
      <c r="I97" s="25" t="str">
        <f>HYPERLINK("https://www.cardmarket.com/en/Pokemon/Products/Singles?idCategory=1&amp;idProduct=sv10-118", "CM")</f>
        <v>CM</v>
      </c>
      <c r="J97" s="23" t="b">
        <v>0</v>
      </c>
      <c r="K97" s="24" t="b">
        <v>0</v>
      </c>
      <c r="L97" s="25" t="str">
        <f>HYPERLINK("https://www.cardmarket.com/en/Pokemon/Products/Singles?idCategory=1&amp;idProduct=sv10-119", "CM")</f>
        <v>CM</v>
      </c>
      <c r="M97" s="23" t="b">
        <v>0</v>
      </c>
      <c r="N97" s="24" t="b">
        <v>0</v>
      </c>
      <c r="O97" s="25" t="str">
        <f>HYPERLINK("https://www.cardmarket.com/en/Pokemon/Products/Singles?idCategory=1&amp;idProduct=sv10-120", "CM")</f>
        <v>CM</v>
      </c>
    </row>
    <row r="98" ht="7.5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</row>
    <row r="99" ht="18.75" customHeight="1">
      <c r="A99" s="18" t="s">
        <v>829</v>
      </c>
      <c r="B99" s="19" t="s">
        <v>2334</v>
      </c>
      <c r="C99" s="20"/>
      <c r="D99" s="18" t="s">
        <v>830</v>
      </c>
      <c r="E99" s="19" t="s">
        <v>2335</v>
      </c>
      <c r="F99" s="20"/>
      <c r="G99" s="18" t="s">
        <v>831</v>
      </c>
      <c r="H99" s="19" t="s">
        <v>2336</v>
      </c>
      <c r="I99" s="20"/>
      <c r="J99" s="18" t="s">
        <v>833</v>
      </c>
      <c r="K99" s="19" t="s">
        <v>2337</v>
      </c>
      <c r="L99" s="20"/>
      <c r="M99" s="18" t="s">
        <v>661</v>
      </c>
      <c r="N99" s="19" t="s">
        <v>2338</v>
      </c>
      <c r="O99" s="20"/>
    </row>
    <row r="100" ht="180.0" customHeight="1">
      <c r="A100" s="21" t="str">
        <f>IMAGE("https://assets.tcgdex.net/de/sv/sv10/121/low.jpg", 1)</f>
        <v/>
      </c>
      <c r="B100" s="22"/>
      <c r="C100" s="20"/>
      <c r="D100" s="21" t="str">
        <f>IMAGE("https://assets.tcgdex.net/de/sv/sv10/122/low.jpg", 1)</f>
        <v/>
      </c>
      <c r="E100" s="22"/>
      <c r="F100" s="20"/>
      <c r="G100" s="21" t="str">
        <f>IMAGE("https://assets.tcgdex.net/de/sv/sv10/123/low.jpg", 1)</f>
        <v/>
      </c>
      <c r="H100" s="22"/>
      <c r="I100" s="20"/>
      <c r="J100" s="21" t="str">
        <f>IMAGE("https://assets.tcgdex.net/de/sv/sv10/124/low.jpg", 1)</f>
        <v/>
      </c>
      <c r="K100" s="22"/>
      <c r="L100" s="20"/>
      <c r="M100" s="21" t="str">
        <f>IMAGE("https://assets.tcgdex.net/de/sv/sv10/125/low.jpg", 1)</f>
        <v/>
      </c>
      <c r="N100" s="22"/>
      <c r="O100" s="20"/>
    </row>
    <row r="101" ht="22.5" customHeight="1">
      <c r="A101" s="23" t="b">
        <v>0</v>
      </c>
      <c r="B101" s="24" t="b">
        <v>0</v>
      </c>
      <c r="C101" s="25" t="str">
        <f>HYPERLINK("https://www.cardmarket.com/en/Pokemon/Products/Singles?idCategory=1&amp;idProduct=sv10-121", "CM")</f>
        <v>CM</v>
      </c>
      <c r="D101" s="23" t="b">
        <v>0</v>
      </c>
      <c r="E101" s="24" t="b">
        <v>0</v>
      </c>
      <c r="F101" s="25" t="str">
        <f>HYPERLINK("https://www.cardmarket.com/en/Pokemon/Products/Singles?idCategory=1&amp;idProduct=sv10-122", "CM")</f>
        <v>CM</v>
      </c>
      <c r="G101" s="23" t="b">
        <v>0</v>
      </c>
      <c r="H101" s="24" t="b">
        <v>0</v>
      </c>
      <c r="I101" s="25" t="str">
        <f>HYPERLINK("https://www.cardmarket.com/en/Pokemon/Products/Singles?idCategory=1&amp;idProduct=sv10-123", "CM")</f>
        <v>CM</v>
      </c>
      <c r="J101" s="23" t="b">
        <v>0</v>
      </c>
      <c r="K101" s="24" t="b">
        <v>0</v>
      </c>
      <c r="L101" s="25" t="str">
        <f>HYPERLINK("https://www.cardmarket.com/en/Pokemon/Products/Singles?idCategory=1&amp;idProduct=sv10-124", "CM")</f>
        <v>CM</v>
      </c>
      <c r="M101" s="23" t="b">
        <v>0</v>
      </c>
      <c r="N101" s="24" t="b">
        <v>0</v>
      </c>
      <c r="O101" s="25" t="str">
        <f>HYPERLINK("https://www.cardmarket.com/en/Pokemon/Products/Singles?idCategory=1&amp;idProduct=sv10-125", "CM")</f>
        <v>CM</v>
      </c>
    </row>
    <row r="102" ht="7.5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</row>
    <row r="103" ht="18.75" customHeight="1">
      <c r="A103" s="18" t="s">
        <v>835</v>
      </c>
      <c r="B103" s="19" t="s">
        <v>2339</v>
      </c>
      <c r="C103" s="20"/>
      <c r="D103" s="18" t="s">
        <v>662</v>
      </c>
      <c r="E103" s="19" t="s">
        <v>2340</v>
      </c>
      <c r="F103" s="20"/>
      <c r="G103" s="18" t="s">
        <v>837</v>
      </c>
      <c r="H103" s="19" t="s">
        <v>2341</v>
      </c>
      <c r="I103" s="20"/>
      <c r="J103" s="18" t="s">
        <v>839</v>
      </c>
      <c r="K103" s="19" t="s">
        <v>2342</v>
      </c>
      <c r="L103" s="20"/>
      <c r="M103" s="18" t="s">
        <v>841</v>
      </c>
      <c r="N103" s="19" t="s">
        <v>2343</v>
      </c>
      <c r="O103" s="20"/>
    </row>
    <row r="104" ht="180.0" customHeight="1">
      <c r="A104" s="21" t="str">
        <f>IMAGE("https://assets.tcgdex.net/de/sv/sv10/126/low.jpg", 1)</f>
        <v/>
      </c>
      <c r="B104" s="22"/>
      <c r="C104" s="20"/>
      <c r="D104" s="21" t="str">
        <f>IMAGE("https://assets.tcgdex.net/de/sv/sv10/127/low.jpg", 1)</f>
        <v/>
      </c>
      <c r="E104" s="22"/>
      <c r="F104" s="20"/>
      <c r="G104" s="21" t="str">
        <f>IMAGE("https://assets.tcgdex.net/de/sv/sv10/128/low.jpg", 1)</f>
        <v/>
      </c>
      <c r="H104" s="22"/>
      <c r="I104" s="20"/>
      <c r="J104" s="21" t="str">
        <f>IMAGE("https://assets.tcgdex.net/de/sv/sv10/129/low.jpg", 1)</f>
        <v/>
      </c>
      <c r="K104" s="22"/>
      <c r="L104" s="20"/>
      <c r="M104" s="21" t="str">
        <f>IMAGE("https://assets.tcgdex.net/de/sv/sv10/130/low.jpg", 1)</f>
        <v/>
      </c>
      <c r="N104" s="22"/>
      <c r="O104" s="20"/>
    </row>
    <row r="105" ht="22.5" customHeight="1">
      <c r="A105" s="23" t="b">
        <v>0</v>
      </c>
      <c r="B105" s="24" t="b">
        <v>0</v>
      </c>
      <c r="C105" s="25" t="str">
        <f>HYPERLINK("https://www.cardmarket.com/en/Pokemon/Products/Singles?idCategory=1&amp;idProduct=sv10-126", "CM")</f>
        <v>CM</v>
      </c>
      <c r="D105" s="23" t="b">
        <v>0</v>
      </c>
      <c r="E105" s="24" t="b">
        <v>0</v>
      </c>
      <c r="F105" s="25" t="str">
        <f>HYPERLINK("https://www.cardmarket.com/en/Pokemon/Products/Singles?idCategory=1&amp;idProduct=sv10-127", "CM")</f>
        <v>CM</v>
      </c>
      <c r="G105" s="23" t="b">
        <v>0</v>
      </c>
      <c r="H105" s="24" t="b">
        <v>0</v>
      </c>
      <c r="I105" s="25" t="str">
        <f>HYPERLINK("https://www.cardmarket.com/en/Pokemon/Products/Singles?idCategory=1&amp;idProduct=sv10-128", "CM")</f>
        <v>CM</v>
      </c>
      <c r="J105" s="23" t="b">
        <v>0</v>
      </c>
      <c r="K105" s="24" t="b">
        <v>0</v>
      </c>
      <c r="L105" s="25" t="str">
        <f>HYPERLINK("https://www.cardmarket.com/en/Pokemon/Products/Singles?idCategory=1&amp;idProduct=sv10-129", "CM")</f>
        <v>CM</v>
      </c>
      <c r="M105" s="23" t="b">
        <v>0</v>
      </c>
      <c r="N105" s="24" t="b">
        <v>0</v>
      </c>
      <c r="O105" s="25" t="str">
        <f>HYPERLINK("https://www.cardmarket.com/en/Pokemon/Products/Singles?idCategory=1&amp;idProduct=sv10-130", "CM")</f>
        <v>CM</v>
      </c>
    </row>
    <row r="106" ht="7.5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</row>
    <row r="107" ht="18.75" customHeight="1">
      <c r="A107" s="18" t="s">
        <v>842</v>
      </c>
      <c r="B107" s="19" t="s">
        <v>2344</v>
      </c>
      <c r="C107" s="20"/>
      <c r="D107" s="18" t="s">
        <v>844</v>
      </c>
      <c r="E107" s="19" t="s">
        <v>2345</v>
      </c>
      <c r="F107" s="20"/>
      <c r="G107" s="18" t="s">
        <v>664</v>
      </c>
      <c r="H107" s="19" t="s">
        <v>2346</v>
      </c>
      <c r="I107" s="20"/>
      <c r="J107" s="18" t="s">
        <v>666</v>
      </c>
      <c r="K107" s="19" t="s">
        <v>2347</v>
      </c>
      <c r="L107" s="20"/>
      <c r="M107" s="18" t="s">
        <v>845</v>
      </c>
      <c r="N107" s="19" t="s">
        <v>2348</v>
      </c>
      <c r="O107" s="20"/>
    </row>
    <row r="108" ht="180.0" customHeight="1">
      <c r="A108" s="21" t="str">
        <f>IMAGE("https://assets.tcgdex.net/de/sv/sv10/131/low.jpg", 1)</f>
        <v/>
      </c>
      <c r="B108" s="22"/>
      <c r="C108" s="20"/>
      <c r="D108" s="21" t="str">
        <f>IMAGE("https://assets.tcgdex.net/de/sv/sv10/132/low.jpg", 1)</f>
        <v/>
      </c>
      <c r="E108" s="22"/>
      <c r="F108" s="20"/>
      <c r="G108" s="21" t="str">
        <f>IMAGE("https://assets.tcgdex.net/de/sv/sv10/133/low.jpg", 1)</f>
        <v/>
      </c>
      <c r="H108" s="22"/>
      <c r="I108" s="20"/>
      <c r="J108" s="21" t="str">
        <f>IMAGE("https://assets.tcgdex.net/de/sv/sv10/134/low.jpg", 1)</f>
        <v/>
      </c>
      <c r="K108" s="22"/>
      <c r="L108" s="20"/>
      <c r="M108" s="21" t="str">
        <f>IMAGE("https://assets.tcgdex.net/de/sv/sv10/135/low.jpg", 1)</f>
        <v/>
      </c>
      <c r="N108" s="22"/>
      <c r="O108" s="20"/>
    </row>
    <row r="109" ht="22.5" customHeight="1">
      <c r="A109" s="23" t="b">
        <v>0</v>
      </c>
      <c r="B109" s="24" t="b">
        <v>0</v>
      </c>
      <c r="C109" s="25" t="str">
        <f>HYPERLINK("https://www.cardmarket.com/en/Pokemon/Products/Singles?idCategory=1&amp;idProduct=sv10-131", "CM")</f>
        <v>CM</v>
      </c>
      <c r="D109" s="23" t="b">
        <v>0</v>
      </c>
      <c r="E109" s="24" t="b">
        <v>0</v>
      </c>
      <c r="F109" s="25" t="str">
        <f>HYPERLINK("https://www.cardmarket.com/en/Pokemon/Products/Singles?idCategory=1&amp;idProduct=sv10-132", "CM")</f>
        <v>CM</v>
      </c>
      <c r="G109" s="23" t="b">
        <v>0</v>
      </c>
      <c r="H109" s="24" t="b">
        <v>0</v>
      </c>
      <c r="I109" s="25" t="str">
        <f>HYPERLINK("https://www.cardmarket.com/en/Pokemon/Products/Singles?idCategory=1&amp;idProduct=sv10-133", "CM")</f>
        <v>CM</v>
      </c>
      <c r="J109" s="23" t="b">
        <v>0</v>
      </c>
      <c r="K109" s="24" t="b">
        <v>0</v>
      </c>
      <c r="L109" s="25" t="str">
        <f>HYPERLINK("https://www.cardmarket.com/en/Pokemon/Products/Singles?idCategory=1&amp;idProduct=sv10-134", "CM")</f>
        <v>CM</v>
      </c>
      <c r="M109" s="23" t="b">
        <v>0</v>
      </c>
      <c r="N109" s="24" t="b">
        <v>0</v>
      </c>
      <c r="O109" s="25" t="str">
        <f>HYPERLINK("https://www.cardmarket.com/en/Pokemon/Products/Singles?idCategory=1&amp;idProduct=sv10-135", "CM")</f>
        <v>CM</v>
      </c>
    </row>
    <row r="110" ht="7.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</row>
    <row r="111" ht="18.75" customHeight="1">
      <c r="A111" s="18" t="s">
        <v>668</v>
      </c>
      <c r="B111" s="19" t="s">
        <v>2349</v>
      </c>
      <c r="C111" s="20"/>
      <c r="D111" s="18" t="s">
        <v>670</v>
      </c>
      <c r="E111" s="19" t="s">
        <v>733</v>
      </c>
      <c r="F111" s="20"/>
      <c r="G111" s="18" t="s">
        <v>672</v>
      </c>
      <c r="H111" s="19" t="s">
        <v>2350</v>
      </c>
      <c r="I111" s="20"/>
      <c r="J111" s="18" t="s">
        <v>674</v>
      </c>
      <c r="K111" s="19" t="s">
        <v>2351</v>
      </c>
      <c r="L111" s="20"/>
      <c r="M111" s="18" t="s">
        <v>847</v>
      </c>
      <c r="N111" s="19" t="s">
        <v>1226</v>
      </c>
      <c r="O111" s="20"/>
    </row>
    <row r="112" ht="180.0" customHeight="1">
      <c r="A112" s="21" t="str">
        <f>IMAGE("https://assets.tcgdex.net/de/sv/sv10/136/low.jpg", 1)</f>
        <v/>
      </c>
      <c r="B112" s="22"/>
      <c r="C112" s="20"/>
      <c r="D112" s="21" t="str">
        <f>IMAGE("https://assets.tcgdex.net/de/sv/sv10/137/low.jpg", 1)</f>
        <v/>
      </c>
      <c r="E112" s="22"/>
      <c r="F112" s="20"/>
      <c r="G112" s="21" t="str">
        <f>IMAGE("https://assets.tcgdex.net/de/sv/sv10/138/low.jpg", 1)</f>
        <v/>
      </c>
      <c r="H112" s="22"/>
      <c r="I112" s="20"/>
      <c r="J112" s="21" t="str">
        <f>IMAGE("https://assets.tcgdex.net/de/sv/sv10/139/low.jpg", 1)</f>
        <v/>
      </c>
      <c r="K112" s="22"/>
      <c r="L112" s="20"/>
      <c r="M112" s="21" t="str">
        <f>IMAGE("https://assets.tcgdex.net/de/sv/sv10/140/low.jpg", 1)</f>
        <v/>
      </c>
      <c r="N112" s="22"/>
      <c r="O112" s="20"/>
    </row>
    <row r="113" ht="22.5" customHeight="1">
      <c r="A113" s="23" t="b">
        <v>0</v>
      </c>
      <c r="B113" s="24" t="b">
        <v>0</v>
      </c>
      <c r="C113" s="25" t="str">
        <f>HYPERLINK("https://www.cardmarket.com/en/Pokemon/Products/Singles?idCategory=1&amp;idProduct=sv10-136", "CM")</f>
        <v>CM</v>
      </c>
      <c r="D113" s="23" t="b">
        <v>0</v>
      </c>
      <c r="E113" s="24" t="b">
        <v>0</v>
      </c>
      <c r="F113" s="25" t="str">
        <f>HYPERLINK("https://www.cardmarket.com/en/Pokemon/Products/Singles?idCategory=1&amp;idProduct=sv10-137", "CM")</f>
        <v>CM</v>
      </c>
      <c r="G113" s="23" t="b">
        <v>0</v>
      </c>
      <c r="H113" s="24" t="b">
        <v>0</v>
      </c>
      <c r="I113" s="25" t="str">
        <f>HYPERLINK("https://www.cardmarket.com/en/Pokemon/Products/Singles?idCategory=1&amp;idProduct=sv10-138", "CM")</f>
        <v>CM</v>
      </c>
      <c r="J113" s="23" t="b">
        <v>0</v>
      </c>
      <c r="K113" s="24" t="b">
        <v>0</v>
      </c>
      <c r="L113" s="25" t="str">
        <f>HYPERLINK("https://www.cardmarket.com/en/Pokemon/Products/Singles?idCategory=1&amp;idProduct=sv10-139", "CM")</f>
        <v>CM</v>
      </c>
      <c r="M113" s="23" t="b">
        <v>0</v>
      </c>
      <c r="N113" s="24" t="b">
        <v>0</v>
      </c>
      <c r="O113" s="25" t="str">
        <f>HYPERLINK("https://www.cardmarket.com/en/Pokemon/Products/Singles?idCategory=1&amp;idProduct=sv10-140", "CM")</f>
        <v>CM</v>
      </c>
    </row>
    <row r="114" ht="7.5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</row>
    <row r="115" ht="18.75" customHeight="1">
      <c r="A115" s="18" t="s">
        <v>848</v>
      </c>
      <c r="B115" s="19" t="s">
        <v>1437</v>
      </c>
      <c r="C115" s="20"/>
      <c r="D115" s="18" t="s">
        <v>676</v>
      </c>
      <c r="E115" s="19" t="s">
        <v>2352</v>
      </c>
      <c r="F115" s="20"/>
      <c r="G115" s="18" t="s">
        <v>678</v>
      </c>
      <c r="H115" s="19" t="s">
        <v>735</v>
      </c>
      <c r="I115" s="20"/>
      <c r="J115" s="18" t="s">
        <v>679</v>
      </c>
      <c r="K115" s="19" t="s">
        <v>2353</v>
      </c>
      <c r="L115" s="20"/>
      <c r="M115" s="18" t="s">
        <v>850</v>
      </c>
      <c r="N115" s="19" t="s">
        <v>2354</v>
      </c>
      <c r="O115" s="20"/>
    </row>
    <row r="116" ht="180.0" customHeight="1">
      <c r="A116" s="21" t="str">
        <f>IMAGE("https://assets.tcgdex.net/de/sv/sv10/141/low.jpg", 1)</f>
        <v/>
      </c>
      <c r="B116" s="22"/>
      <c r="C116" s="20"/>
      <c r="D116" s="21" t="str">
        <f>IMAGE("https://assets.tcgdex.net/de/sv/sv10/142/low.jpg", 1)</f>
        <v/>
      </c>
      <c r="E116" s="22"/>
      <c r="F116" s="20"/>
      <c r="G116" s="21" t="str">
        <f>IMAGE("https://assets.tcgdex.net/de/sv/sv10/143/low.jpg", 1)</f>
        <v/>
      </c>
      <c r="H116" s="22"/>
      <c r="I116" s="20"/>
      <c r="J116" s="21" t="str">
        <f>IMAGE("https://assets.tcgdex.net/de/sv/sv10/144/low.jpg", 1)</f>
        <v/>
      </c>
      <c r="K116" s="22"/>
      <c r="L116" s="20"/>
      <c r="M116" s="21" t="str">
        <f>IMAGE("https://assets.tcgdex.net/de/sv/sv10/145/low.jpg", 1)</f>
        <v/>
      </c>
      <c r="N116" s="22"/>
      <c r="O116" s="20"/>
    </row>
    <row r="117" ht="22.5" customHeight="1">
      <c r="A117" s="23" t="b">
        <v>0</v>
      </c>
      <c r="B117" s="24" t="b">
        <v>0</v>
      </c>
      <c r="C117" s="25" t="str">
        <f>HYPERLINK("https://www.cardmarket.com/en/Pokemon/Products/Singles?idCategory=1&amp;idProduct=sv10-141", "CM")</f>
        <v>CM</v>
      </c>
      <c r="D117" s="23" t="b">
        <v>0</v>
      </c>
      <c r="E117" s="24" t="b">
        <v>0</v>
      </c>
      <c r="F117" s="25" t="str">
        <f>HYPERLINK("https://www.cardmarket.com/en/Pokemon/Products/Singles?idCategory=1&amp;idProduct=sv10-142", "CM")</f>
        <v>CM</v>
      </c>
      <c r="G117" s="23" t="b">
        <v>0</v>
      </c>
      <c r="H117" s="24" t="b">
        <v>0</v>
      </c>
      <c r="I117" s="25" t="str">
        <f>HYPERLINK("https://www.cardmarket.com/en/Pokemon/Products/Singles?idCategory=1&amp;idProduct=sv10-143", "CM")</f>
        <v>CM</v>
      </c>
      <c r="J117" s="23" t="b">
        <v>0</v>
      </c>
      <c r="K117" s="24" t="b">
        <v>0</v>
      </c>
      <c r="L117" s="25" t="str">
        <f>HYPERLINK("https://www.cardmarket.com/en/Pokemon/Products/Singles?idCategory=1&amp;idProduct=sv10-144", "CM")</f>
        <v>CM</v>
      </c>
      <c r="M117" s="23" t="b">
        <v>0</v>
      </c>
      <c r="N117" s="24" t="b">
        <v>0</v>
      </c>
      <c r="O117" s="25" t="str">
        <f>HYPERLINK("https://www.cardmarket.com/en/Pokemon/Products/Singles?idCategory=1&amp;idProduct=sv10-145", "CM")</f>
        <v>CM</v>
      </c>
    </row>
    <row r="118" ht="7.5" customHeigh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</row>
    <row r="119" ht="18.75" customHeight="1">
      <c r="A119" s="18" t="s">
        <v>681</v>
      </c>
      <c r="B119" s="19" t="s">
        <v>940</v>
      </c>
      <c r="C119" s="20"/>
      <c r="D119" s="18" t="s">
        <v>683</v>
      </c>
      <c r="E119" s="19" t="s">
        <v>2355</v>
      </c>
      <c r="F119" s="20"/>
      <c r="G119" s="18" t="s">
        <v>685</v>
      </c>
      <c r="H119" s="19" t="s">
        <v>2356</v>
      </c>
      <c r="I119" s="20"/>
      <c r="J119" s="18" t="s">
        <v>852</v>
      </c>
      <c r="K119" s="19" t="s">
        <v>2357</v>
      </c>
      <c r="L119" s="20"/>
      <c r="M119" s="18" t="s">
        <v>686</v>
      </c>
      <c r="N119" s="19" t="s">
        <v>2358</v>
      </c>
      <c r="O119" s="20"/>
    </row>
    <row r="120" ht="180.0" customHeight="1">
      <c r="A120" s="21" t="str">
        <f>IMAGE("https://assets.tcgdex.net/de/sv/sv10/146/low.jpg", 1)</f>
        <v/>
      </c>
      <c r="B120" s="22"/>
      <c r="C120" s="20"/>
      <c r="D120" s="21" t="str">
        <f>IMAGE("https://assets.tcgdex.net/de/sv/sv10/147/low.jpg", 1)</f>
        <v/>
      </c>
      <c r="E120" s="22"/>
      <c r="F120" s="20"/>
      <c r="G120" s="21" t="str">
        <f>IMAGE("https://assets.tcgdex.net/de/sv/sv10/148/low.jpg", 1)</f>
        <v/>
      </c>
      <c r="H120" s="22"/>
      <c r="I120" s="20"/>
      <c r="J120" s="21" t="str">
        <f>IMAGE("https://assets.tcgdex.net/de/sv/sv10/149/low.jpg", 1)</f>
        <v/>
      </c>
      <c r="K120" s="22"/>
      <c r="L120" s="20"/>
      <c r="M120" s="21" t="str">
        <f>IMAGE("https://assets.tcgdex.net/de/sv/sv10/150/low.jpg", 1)</f>
        <v/>
      </c>
      <c r="N120" s="22"/>
      <c r="O120" s="20"/>
    </row>
    <row r="121" ht="22.5" customHeight="1">
      <c r="A121" s="23" t="b">
        <v>0</v>
      </c>
      <c r="B121" s="24" t="b">
        <v>0</v>
      </c>
      <c r="C121" s="25" t="str">
        <f>HYPERLINK("https://www.cardmarket.com/en/Pokemon/Products/Singles?idCategory=1&amp;idProduct=sv10-146", "CM")</f>
        <v>CM</v>
      </c>
      <c r="D121" s="23" t="b">
        <v>0</v>
      </c>
      <c r="E121" s="24" t="b">
        <v>0</v>
      </c>
      <c r="F121" s="25" t="str">
        <f>HYPERLINK("https://www.cardmarket.com/en/Pokemon/Products/Singles?idCategory=1&amp;idProduct=sv10-147", "CM")</f>
        <v>CM</v>
      </c>
      <c r="G121" s="23" t="b">
        <v>0</v>
      </c>
      <c r="H121" s="24" t="b">
        <v>0</v>
      </c>
      <c r="I121" s="25" t="str">
        <f>HYPERLINK("https://www.cardmarket.com/en/Pokemon/Products/Singles?idCategory=1&amp;idProduct=sv10-148", "CM")</f>
        <v>CM</v>
      </c>
      <c r="J121" s="23" t="b">
        <v>0</v>
      </c>
      <c r="K121" s="24" t="b">
        <v>0</v>
      </c>
      <c r="L121" s="25" t="str">
        <f>HYPERLINK("https://www.cardmarket.com/en/Pokemon/Products/Singles?idCategory=1&amp;idProduct=sv10-149", "CM")</f>
        <v>CM</v>
      </c>
      <c r="M121" s="23" t="b">
        <v>0</v>
      </c>
      <c r="N121" s="24" t="b">
        <v>0</v>
      </c>
      <c r="O121" s="25" t="str">
        <f>HYPERLINK("https://www.cardmarket.com/en/Pokemon/Products/Singles?idCategory=1&amp;idProduct=sv10-150", "CM")</f>
        <v>CM</v>
      </c>
    </row>
    <row r="122" ht="7.5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</row>
    <row r="123" ht="18.75" customHeight="1">
      <c r="A123" s="18" t="s">
        <v>853</v>
      </c>
      <c r="B123" s="19" t="s">
        <v>1452</v>
      </c>
      <c r="C123" s="20"/>
      <c r="D123" s="18" t="s">
        <v>855</v>
      </c>
      <c r="E123" s="19" t="s">
        <v>1019</v>
      </c>
      <c r="F123" s="20"/>
      <c r="G123" s="18" t="s">
        <v>687</v>
      </c>
      <c r="H123" s="19" t="s">
        <v>2359</v>
      </c>
      <c r="I123" s="20"/>
      <c r="J123" s="18" t="s">
        <v>689</v>
      </c>
      <c r="K123" s="19" t="s">
        <v>2360</v>
      </c>
      <c r="L123" s="20"/>
      <c r="M123" s="18" t="s">
        <v>691</v>
      </c>
      <c r="N123" s="19" t="s">
        <v>2361</v>
      </c>
      <c r="O123" s="20"/>
    </row>
    <row r="124" ht="180.0" customHeight="1">
      <c r="A124" s="21" t="str">
        <f>IMAGE("https://assets.tcgdex.net/de/sv/sv10/151/low.jpg", 1)</f>
        <v/>
      </c>
      <c r="B124" s="22"/>
      <c r="C124" s="20"/>
      <c r="D124" s="21" t="str">
        <f>IMAGE("https://assets.tcgdex.net/de/sv/sv10/152/low.jpg", 1)</f>
        <v/>
      </c>
      <c r="E124" s="22"/>
      <c r="F124" s="20"/>
      <c r="G124" s="21" t="str">
        <f>IMAGE("https://assets.tcgdex.net/de/sv/sv10/153/low.jpg", 1)</f>
        <v/>
      </c>
      <c r="H124" s="22"/>
      <c r="I124" s="20"/>
      <c r="J124" s="21" t="str">
        <f>IMAGE("https://assets.tcgdex.net/de/sv/sv10/154/low.jpg", 1)</f>
        <v/>
      </c>
      <c r="K124" s="22"/>
      <c r="L124" s="20"/>
      <c r="M124" s="21" t="str">
        <f>IMAGE("https://assets.tcgdex.net/de/sv/sv10/155/low.jpg", 1)</f>
        <v/>
      </c>
      <c r="N124" s="22"/>
      <c r="O124" s="20"/>
    </row>
    <row r="125" ht="22.5" customHeight="1">
      <c r="A125" s="23" t="b">
        <v>0</v>
      </c>
      <c r="B125" s="24" t="b">
        <v>0</v>
      </c>
      <c r="C125" s="25" t="str">
        <f>HYPERLINK("https://www.cardmarket.com/en/Pokemon/Products/Singles?idCategory=1&amp;idProduct=sv10-151", "CM")</f>
        <v>CM</v>
      </c>
      <c r="D125" s="23" t="b">
        <v>0</v>
      </c>
      <c r="E125" s="24" t="b">
        <v>0</v>
      </c>
      <c r="F125" s="25" t="str">
        <f>HYPERLINK("https://www.cardmarket.com/en/Pokemon/Products/Singles?idCategory=1&amp;idProduct=sv10-152", "CM")</f>
        <v>CM</v>
      </c>
      <c r="G125" s="23" t="b">
        <v>0</v>
      </c>
      <c r="H125" s="24" t="b">
        <v>0</v>
      </c>
      <c r="I125" s="25" t="str">
        <f>HYPERLINK("https://www.cardmarket.com/en/Pokemon/Products/Singles?idCategory=1&amp;idProduct=sv10-153", "CM")</f>
        <v>CM</v>
      </c>
      <c r="J125" s="23" t="b">
        <v>0</v>
      </c>
      <c r="K125" s="24" t="b">
        <v>0</v>
      </c>
      <c r="L125" s="25" t="str">
        <f>HYPERLINK("https://www.cardmarket.com/en/Pokemon/Products/Singles?idCategory=1&amp;idProduct=sv10-154", "CM")</f>
        <v>CM</v>
      </c>
      <c r="M125" s="23" t="b">
        <v>0</v>
      </c>
      <c r="N125" s="24" t="b">
        <v>0</v>
      </c>
      <c r="O125" s="25" t="str">
        <f>HYPERLINK("https://www.cardmarket.com/en/Pokemon/Products/Singles?idCategory=1&amp;idProduct=sv10-155", "CM")</f>
        <v>CM</v>
      </c>
    </row>
    <row r="126" ht="7.5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</row>
    <row r="127" ht="18.75" customHeight="1">
      <c r="A127" s="18" t="s">
        <v>857</v>
      </c>
      <c r="B127" s="19" t="s">
        <v>2362</v>
      </c>
      <c r="C127" s="20"/>
      <c r="D127" s="18" t="s">
        <v>859</v>
      </c>
      <c r="E127" s="19" t="s">
        <v>2363</v>
      </c>
      <c r="F127" s="20"/>
      <c r="G127" s="18" t="s">
        <v>693</v>
      </c>
      <c r="H127" s="19" t="s">
        <v>2364</v>
      </c>
      <c r="I127" s="20"/>
      <c r="J127" s="18" t="s">
        <v>861</v>
      </c>
      <c r="K127" s="19" t="s">
        <v>2365</v>
      </c>
      <c r="L127" s="20"/>
      <c r="M127" s="18" t="s">
        <v>695</v>
      </c>
      <c r="N127" s="19" t="s">
        <v>1232</v>
      </c>
      <c r="O127" s="20"/>
    </row>
    <row r="128" ht="180.0" customHeight="1">
      <c r="A128" s="21" t="str">
        <f>IMAGE("https://assets.tcgdex.net/de/sv/sv10/156/low.jpg", 1)</f>
        <v/>
      </c>
      <c r="B128" s="22"/>
      <c r="C128" s="20"/>
      <c r="D128" s="21" t="str">
        <f>IMAGE("https://assets.tcgdex.net/de/sv/sv10/157/low.jpg", 1)</f>
        <v/>
      </c>
      <c r="E128" s="22"/>
      <c r="F128" s="20"/>
      <c r="G128" s="21" t="str">
        <f>IMAGE("https://assets.tcgdex.net/de/sv/sv10/158/low.jpg", 1)</f>
        <v/>
      </c>
      <c r="H128" s="22"/>
      <c r="I128" s="20"/>
      <c r="J128" s="21" t="str">
        <f>IMAGE("https://assets.tcgdex.net/de/sv/sv10/159/low.jpg", 1)</f>
        <v/>
      </c>
      <c r="K128" s="22"/>
      <c r="L128" s="20"/>
      <c r="M128" s="21" t="str">
        <f>IMAGE("https://assets.tcgdex.net/de/sv/sv10/160/low.jpg", 1)</f>
        <v/>
      </c>
      <c r="N128" s="22"/>
      <c r="O128" s="20"/>
    </row>
    <row r="129" ht="22.5" customHeight="1">
      <c r="A129" s="23" t="b">
        <v>0</v>
      </c>
      <c r="B129" s="24" t="b">
        <v>0</v>
      </c>
      <c r="C129" s="25" t="str">
        <f>HYPERLINK("https://www.cardmarket.com/en/Pokemon/Products/Singles?idCategory=1&amp;idProduct=sv10-156", "CM")</f>
        <v>CM</v>
      </c>
      <c r="D129" s="23" t="b">
        <v>0</v>
      </c>
      <c r="E129" s="24" t="b">
        <v>0</v>
      </c>
      <c r="F129" s="25" t="str">
        <f>HYPERLINK("https://www.cardmarket.com/en/Pokemon/Products/Singles?idCategory=1&amp;idProduct=sv10-157", "CM")</f>
        <v>CM</v>
      </c>
      <c r="G129" s="23" t="b">
        <v>0</v>
      </c>
      <c r="H129" s="24" t="b">
        <v>0</v>
      </c>
      <c r="I129" s="25" t="str">
        <f>HYPERLINK("https://www.cardmarket.com/en/Pokemon/Products/Singles?idCategory=1&amp;idProduct=sv10-158", "CM")</f>
        <v>CM</v>
      </c>
      <c r="J129" s="23" t="b">
        <v>0</v>
      </c>
      <c r="K129" s="24" t="b">
        <v>0</v>
      </c>
      <c r="L129" s="25" t="str">
        <f>HYPERLINK("https://www.cardmarket.com/en/Pokemon/Products/Singles?idCategory=1&amp;idProduct=sv10-159", "CM")</f>
        <v>CM</v>
      </c>
      <c r="M129" s="23" t="b">
        <v>0</v>
      </c>
      <c r="N129" s="24" t="b">
        <v>0</v>
      </c>
      <c r="O129" s="25" t="str">
        <f>HYPERLINK("https://www.cardmarket.com/en/Pokemon/Products/Singles?idCategory=1&amp;idProduct=sv10-160", "CM")</f>
        <v>CM</v>
      </c>
    </row>
    <row r="130" ht="7.5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</row>
    <row r="131" ht="18.75" customHeight="1">
      <c r="A131" s="18" t="s">
        <v>862</v>
      </c>
      <c r="B131" s="19" t="s">
        <v>2366</v>
      </c>
      <c r="C131" s="20"/>
      <c r="D131" s="18" t="s">
        <v>697</v>
      </c>
      <c r="E131" s="19" t="s">
        <v>2367</v>
      </c>
      <c r="F131" s="20"/>
      <c r="G131" s="18" t="s">
        <v>863</v>
      </c>
      <c r="H131" s="19" t="s">
        <v>2368</v>
      </c>
      <c r="I131" s="20"/>
      <c r="J131" s="18" t="s">
        <v>865</v>
      </c>
      <c r="K131" s="19" t="s">
        <v>2369</v>
      </c>
      <c r="L131" s="20"/>
      <c r="M131" s="18" t="s">
        <v>867</v>
      </c>
      <c r="N131" s="19" t="s">
        <v>2370</v>
      </c>
      <c r="O131" s="20"/>
    </row>
    <row r="132" ht="180.0" customHeight="1">
      <c r="A132" s="21" t="str">
        <f>IMAGE("https://assets.tcgdex.net/de/sv/sv10/161/low.jpg", 1)</f>
        <v/>
      </c>
      <c r="B132" s="22"/>
      <c r="C132" s="20"/>
      <c r="D132" s="21" t="str">
        <f>IMAGE("https://assets.tcgdex.net/de/sv/sv10/162/low.jpg", 1)</f>
        <v/>
      </c>
      <c r="E132" s="22"/>
      <c r="F132" s="20"/>
      <c r="G132" s="21" t="str">
        <f>IMAGE("https://assets.tcgdex.net/de/sv/sv10/163/low.jpg", 1)</f>
        <v/>
      </c>
      <c r="H132" s="22"/>
      <c r="I132" s="20"/>
      <c r="J132" s="21" t="str">
        <f>IMAGE("https://assets.tcgdex.net/de/sv/sv10/164/low.jpg", 1)</f>
        <v/>
      </c>
      <c r="K132" s="22"/>
      <c r="L132" s="20"/>
      <c r="M132" s="21" t="str">
        <f>IMAGE("https://assets.tcgdex.net/de/sv/sv10/165/low.jpg", 1)</f>
        <v/>
      </c>
      <c r="N132" s="22"/>
      <c r="O132" s="20"/>
    </row>
    <row r="133" ht="22.5" customHeight="1">
      <c r="A133" s="23" t="b">
        <v>0</v>
      </c>
      <c r="B133" s="24" t="b">
        <v>0</v>
      </c>
      <c r="C133" s="25" t="str">
        <f>HYPERLINK("https://www.cardmarket.com/en/Pokemon/Products/Singles?idCategory=1&amp;idProduct=sv10-161", "CM")</f>
        <v>CM</v>
      </c>
      <c r="D133" s="23" t="b">
        <v>0</v>
      </c>
      <c r="E133" s="24" t="b">
        <v>0</v>
      </c>
      <c r="F133" s="25" t="str">
        <f>HYPERLINK("https://www.cardmarket.com/en/Pokemon/Products/Singles?idCategory=1&amp;idProduct=sv10-162", "CM")</f>
        <v>CM</v>
      </c>
      <c r="G133" s="23" t="b">
        <v>0</v>
      </c>
      <c r="H133" s="24" t="b">
        <v>0</v>
      </c>
      <c r="I133" s="25" t="str">
        <f>HYPERLINK("https://www.cardmarket.com/en/Pokemon/Products/Singles?idCategory=1&amp;idProduct=sv10-163", "CM")</f>
        <v>CM</v>
      </c>
      <c r="J133" s="23" t="b">
        <v>0</v>
      </c>
      <c r="K133" s="24" t="b">
        <v>0</v>
      </c>
      <c r="L133" s="25" t="str">
        <f>HYPERLINK("https://www.cardmarket.com/en/Pokemon/Products/Singles?idCategory=1&amp;idProduct=sv10-164", "CM")</f>
        <v>CM</v>
      </c>
      <c r="M133" s="23" t="b">
        <v>0</v>
      </c>
      <c r="N133" s="24" t="b">
        <v>0</v>
      </c>
      <c r="O133" s="25" t="str">
        <f>HYPERLINK("https://www.cardmarket.com/en/Pokemon/Products/Singles?idCategory=1&amp;idProduct=sv10-165", "CM")</f>
        <v>CM</v>
      </c>
    </row>
    <row r="134" ht="7.5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</row>
    <row r="135" ht="18.75" customHeight="1">
      <c r="A135" s="18" t="s">
        <v>869</v>
      </c>
      <c r="B135" s="19" t="s">
        <v>2371</v>
      </c>
      <c r="C135" s="20"/>
      <c r="D135" s="18" t="s">
        <v>871</v>
      </c>
      <c r="E135" s="19" t="s">
        <v>1307</v>
      </c>
      <c r="F135" s="20"/>
      <c r="G135" s="18" t="s">
        <v>873</v>
      </c>
      <c r="H135" s="19" t="s">
        <v>2372</v>
      </c>
      <c r="I135" s="20"/>
      <c r="J135" s="18" t="s">
        <v>875</v>
      </c>
      <c r="K135" s="19" t="s">
        <v>2373</v>
      </c>
      <c r="L135" s="20"/>
      <c r="M135" s="18" t="s">
        <v>877</v>
      </c>
      <c r="N135" s="19" t="s">
        <v>2374</v>
      </c>
      <c r="O135" s="20"/>
    </row>
    <row r="136" ht="180.0" customHeight="1">
      <c r="A136" s="21" t="str">
        <f>IMAGE("https://assets.tcgdex.net/de/sv/sv10/166/low.jpg", 1)</f>
        <v/>
      </c>
      <c r="B136" s="22"/>
      <c r="C136" s="20"/>
      <c r="D136" s="21" t="str">
        <f>IMAGE("https://assets.tcgdex.net/de/sv/sv10/167/low.jpg", 1)</f>
        <v/>
      </c>
      <c r="E136" s="22"/>
      <c r="F136" s="20"/>
      <c r="G136" s="21" t="str">
        <f>IMAGE("https://assets.tcgdex.net/de/sv/sv10/168/low.jpg", 1)</f>
        <v/>
      </c>
      <c r="H136" s="22"/>
      <c r="I136" s="20"/>
      <c r="J136" s="21" t="str">
        <f>IMAGE("https://assets.tcgdex.net/de/sv/sv10/169/low.jpg", 1)</f>
        <v/>
      </c>
      <c r="K136" s="22"/>
      <c r="L136" s="20"/>
      <c r="M136" s="21" t="str">
        <f>IMAGE("https://assets.tcgdex.net/de/sv/sv10/170/low.jpg", 1)</f>
        <v/>
      </c>
      <c r="N136" s="22"/>
      <c r="O136" s="20"/>
    </row>
    <row r="137" ht="22.5" customHeight="1">
      <c r="A137" s="23" t="b">
        <v>0</v>
      </c>
      <c r="B137" s="24" t="b">
        <v>0</v>
      </c>
      <c r="C137" s="25" t="str">
        <f>HYPERLINK("https://www.cardmarket.com/en/Pokemon/Products/Singles?idCategory=1&amp;idProduct=sv10-166", "CM")</f>
        <v>CM</v>
      </c>
      <c r="D137" s="23" t="b">
        <v>0</v>
      </c>
      <c r="E137" s="24" t="b">
        <v>0</v>
      </c>
      <c r="F137" s="25" t="str">
        <f>HYPERLINK("https://www.cardmarket.com/en/Pokemon/Products/Singles?idCategory=1&amp;idProduct=sv10-167", "CM")</f>
        <v>CM</v>
      </c>
      <c r="G137" s="23" t="b">
        <v>0</v>
      </c>
      <c r="H137" s="24" t="b">
        <v>0</v>
      </c>
      <c r="I137" s="25" t="str">
        <f>HYPERLINK("https://www.cardmarket.com/en/Pokemon/Products/Singles?idCategory=1&amp;idProduct=sv10-168", "CM")</f>
        <v>CM</v>
      </c>
      <c r="J137" s="23" t="b">
        <v>0</v>
      </c>
      <c r="K137" s="24" t="b">
        <v>0</v>
      </c>
      <c r="L137" s="25" t="str">
        <f>HYPERLINK("https://www.cardmarket.com/en/Pokemon/Products/Singles?idCategory=1&amp;idProduct=sv10-169", "CM")</f>
        <v>CM</v>
      </c>
      <c r="M137" s="23" t="b">
        <v>0</v>
      </c>
      <c r="N137" s="24" t="b">
        <v>0</v>
      </c>
      <c r="O137" s="25" t="str">
        <f>HYPERLINK("https://www.cardmarket.com/en/Pokemon/Products/Singles?idCategory=1&amp;idProduct=sv10-170", "CM")</f>
        <v>CM</v>
      </c>
    </row>
    <row r="138" ht="7.5" customHeight="1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</row>
    <row r="139" ht="18.75" customHeight="1">
      <c r="A139" s="18" t="s">
        <v>879</v>
      </c>
      <c r="B139" s="19" t="s">
        <v>2375</v>
      </c>
      <c r="C139" s="20"/>
      <c r="D139" s="18" t="s">
        <v>881</v>
      </c>
      <c r="E139" s="19" t="s">
        <v>2376</v>
      </c>
      <c r="F139" s="20"/>
      <c r="G139" s="18" t="s">
        <v>883</v>
      </c>
      <c r="H139" s="19" t="s">
        <v>2377</v>
      </c>
      <c r="I139" s="20"/>
      <c r="J139" s="18" t="s">
        <v>699</v>
      </c>
      <c r="K139" s="19" t="s">
        <v>2378</v>
      </c>
      <c r="L139" s="20"/>
      <c r="M139" s="18" t="s">
        <v>1304</v>
      </c>
      <c r="N139" s="19" t="s">
        <v>2379</v>
      </c>
      <c r="O139" s="20"/>
    </row>
    <row r="140" ht="180.0" customHeight="1">
      <c r="A140" s="21" t="str">
        <f>IMAGE("https://assets.tcgdex.net/de/sv/sv10/171/low.jpg", 1)</f>
        <v/>
      </c>
      <c r="B140" s="22"/>
      <c r="C140" s="20"/>
      <c r="D140" s="21" t="str">
        <f>IMAGE("https://assets.tcgdex.net/de/sv/sv10/172/low.jpg", 1)</f>
        <v/>
      </c>
      <c r="E140" s="22"/>
      <c r="F140" s="20"/>
      <c r="G140" s="21" t="str">
        <f>IMAGE("https://assets.tcgdex.net/de/sv/sv10/173/low.jpg", 1)</f>
        <v/>
      </c>
      <c r="H140" s="22"/>
      <c r="I140" s="20"/>
      <c r="J140" s="21" t="str">
        <f>IMAGE("https://assets.tcgdex.net/de/sv/sv10/174/low.jpg", 1)</f>
        <v/>
      </c>
      <c r="K140" s="22"/>
      <c r="L140" s="20"/>
      <c r="M140" s="21" t="str">
        <f>IMAGE("https://assets.tcgdex.net/de/sv/sv10/175/low.jpg", 1)</f>
        <v/>
      </c>
      <c r="N140" s="22"/>
      <c r="O140" s="20"/>
    </row>
    <row r="141" ht="22.5" customHeight="1">
      <c r="A141" s="23" t="b">
        <v>0</v>
      </c>
      <c r="B141" s="24" t="b">
        <v>0</v>
      </c>
      <c r="C141" s="25" t="str">
        <f>HYPERLINK("https://www.cardmarket.com/en/Pokemon/Products/Singles?idCategory=1&amp;idProduct=sv10-171", "CM")</f>
        <v>CM</v>
      </c>
      <c r="D141" s="23" t="b">
        <v>0</v>
      </c>
      <c r="E141" s="24" t="b">
        <v>0</v>
      </c>
      <c r="F141" s="25" t="str">
        <f>HYPERLINK("https://www.cardmarket.com/en/Pokemon/Products/Singles?idCategory=1&amp;idProduct=sv10-172", "CM")</f>
        <v>CM</v>
      </c>
      <c r="G141" s="23" t="b">
        <v>0</v>
      </c>
      <c r="H141" s="24" t="b">
        <v>0</v>
      </c>
      <c r="I141" s="25" t="str">
        <f>HYPERLINK("https://www.cardmarket.com/en/Pokemon/Products/Singles?idCategory=1&amp;idProduct=sv10-173", "CM")</f>
        <v>CM</v>
      </c>
      <c r="J141" s="23" t="b">
        <v>0</v>
      </c>
      <c r="K141" s="24" t="b">
        <v>0</v>
      </c>
      <c r="L141" s="25" t="str">
        <f>HYPERLINK("https://www.cardmarket.com/en/Pokemon/Products/Singles?idCategory=1&amp;idProduct=sv10-174", "CM")</f>
        <v>CM</v>
      </c>
      <c r="M141" s="23" t="b">
        <v>0</v>
      </c>
      <c r="N141" s="24" t="b">
        <v>0</v>
      </c>
      <c r="O141" s="25" t="str">
        <f>HYPERLINK("https://www.cardmarket.com/en/Pokemon/Products/Singles?idCategory=1&amp;idProduct=sv10-175", "CM")</f>
        <v>CM</v>
      </c>
    </row>
    <row r="142" ht="7.5" customHeight="1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</row>
    <row r="143" ht="18.75" customHeight="1">
      <c r="A143" s="18" t="s">
        <v>1306</v>
      </c>
      <c r="B143" s="19" t="s">
        <v>2380</v>
      </c>
      <c r="C143" s="20"/>
      <c r="D143" s="18" t="s">
        <v>884</v>
      </c>
      <c r="E143" s="19" t="s">
        <v>2381</v>
      </c>
      <c r="F143" s="20"/>
      <c r="G143" s="18" t="s">
        <v>701</v>
      </c>
      <c r="H143" s="19" t="s">
        <v>2382</v>
      </c>
      <c r="I143" s="20"/>
      <c r="J143" s="18" t="s">
        <v>703</v>
      </c>
      <c r="K143" s="19" t="s">
        <v>2383</v>
      </c>
      <c r="L143" s="20"/>
      <c r="M143" s="18" t="s">
        <v>886</v>
      </c>
      <c r="N143" s="19" t="s">
        <v>2384</v>
      </c>
      <c r="O143" s="20"/>
    </row>
    <row r="144" ht="180.0" customHeight="1">
      <c r="A144" s="21" t="str">
        <f>IMAGE("https://assets.tcgdex.net/de/sv/sv10/176/low.jpg", 1)</f>
        <v/>
      </c>
      <c r="B144" s="22"/>
      <c r="C144" s="20"/>
      <c r="D144" s="21" t="str">
        <f>IMAGE("https://assets.tcgdex.net/de/sv/sv10/177/low.jpg", 1)</f>
        <v/>
      </c>
      <c r="E144" s="22"/>
      <c r="F144" s="20"/>
      <c r="G144" s="21" t="str">
        <f>IMAGE("https://assets.tcgdex.net/de/sv/sv10/178/low.jpg", 1)</f>
        <v/>
      </c>
      <c r="H144" s="22"/>
      <c r="I144" s="20"/>
      <c r="J144" s="21" t="str">
        <f>IMAGE("https://assets.tcgdex.net/de/sv/sv10/179/low.jpg", 1)</f>
        <v/>
      </c>
      <c r="K144" s="22"/>
      <c r="L144" s="20"/>
      <c r="M144" s="21" t="str">
        <f>IMAGE("https://assets.tcgdex.net/de/sv/sv10/180/low.jpg", 1)</f>
        <v/>
      </c>
      <c r="N144" s="22"/>
      <c r="O144" s="20"/>
    </row>
    <row r="145" ht="22.5" customHeight="1">
      <c r="A145" s="23" t="b">
        <v>0</v>
      </c>
      <c r="B145" s="24" t="b">
        <v>0</v>
      </c>
      <c r="C145" s="25" t="str">
        <f>HYPERLINK("https://www.cardmarket.com/en/Pokemon/Products/Singles?idCategory=1&amp;idProduct=sv10-176", "CM")</f>
        <v>CM</v>
      </c>
      <c r="D145" s="23" t="b">
        <v>0</v>
      </c>
      <c r="E145" s="24" t="b">
        <v>0</v>
      </c>
      <c r="F145" s="25" t="str">
        <f>HYPERLINK("https://www.cardmarket.com/en/Pokemon/Products/Singles?idCategory=1&amp;idProduct=sv10-177", "CM")</f>
        <v>CM</v>
      </c>
      <c r="G145" s="23" t="b">
        <v>0</v>
      </c>
      <c r="H145" s="24" t="b">
        <v>0</v>
      </c>
      <c r="I145" s="25" t="str">
        <f>HYPERLINK("https://www.cardmarket.com/en/Pokemon/Products/Singles?idCategory=1&amp;idProduct=sv10-178", "CM")</f>
        <v>CM</v>
      </c>
      <c r="J145" s="23" t="b">
        <v>0</v>
      </c>
      <c r="K145" s="24" t="b">
        <v>0</v>
      </c>
      <c r="L145" s="25" t="str">
        <f>HYPERLINK("https://www.cardmarket.com/en/Pokemon/Products/Singles?idCategory=1&amp;idProduct=sv10-179", "CM")</f>
        <v>CM</v>
      </c>
      <c r="M145" s="23" t="b">
        <v>0</v>
      </c>
      <c r="N145" s="24" t="b">
        <v>0</v>
      </c>
      <c r="O145" s="25" t="str">
        <f>HYPERLINK("https://www.cardmarket.com/en/Pokemon/Products/Singles?idCategory=1&amp;idProduct=sv10-180", "CM")</f>
        <v>CM</v>
      </c>
    </row>
    <row r="146" ht="7.5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</row>
    <row r="147" ht="18.75" customHeight="1">
      <c r="A147" s="18" t="s">
        <v>888</v>
      </c>
      <c r="B147" s="19" t="s">
        <v>2385</v>
      </c>
      <c r="C147" s="20"/>
      <c r="D147" s="18" t="s">
        <v>705</v>
      </c>
      <c r="E147" s="19" t="s">
        <v>2386</v>
      </c>
      <c r="F147" s="20"/>
      <c r="G147" s="18" t="s">
        <v>890</v>
      </c>
      <c r="H147" s="19" t="s">
        <v>710</v>
      </c>
      <c r="I147" s="20"/>
      <c r="J147" s="18" t="s">
        <v>707</v>
      </c>
      <c r="K147" s="19" t="s">
        <v>2257</v>
      </c>
      <c r="L147" s="20"/>
      <c r="M147" s="18" t="s">
        <v>709</v>
      </c>
      <c r="N147" s="19" t="s">
        <v>1024</v>
      </c>
      <c r="O147" s="20"/>
    </row>
    <row r="148" ht="180.0" customHeight="1">
      <c r="A148" s="21" t="str">
        <f>IMAGE("https://assets.tcgdex.net/de/sv/sv10/181/low.jpg", 1)</f>
        <v/>
      </c>
      <c r="B148" s="22"/>
      <c r="C148" s="20"/>
      <c r="D148" s="21" t="str">
        <f>IMAGE("https://assets.tcgdex.net/de/sv/sv10/182/low.jpg", 1)</f>
        <v/>
      </c>
      <c r="E148" s="22"/>
      <c r="F148" s="20"/>
      <c r="G148" s="21" t="str">
        <f>IMAGE("https://assets.tcgdex.net/de/sv/sv10/183/low.jpg", 1)</f>
        <v/>
      </c>
      <c r="H148" s="22"/>
      <c r="I148" s="20"/>
      <c r="J148" s="21" t="str">
        <f>IMAGE("https://assets.tcgdex.net/de/sv/sv10/184/low.jpg", 1)</f>
        <v/>
      </c>
      <c r="K148" s="22"/>
      <c r="L148" s="20"/>
      <c r="M148" s="21" t="str">
        <f>IMAGE("https://assets.tcgdex.net/de/sv/sv10/185/low.jpg", 1)</f>
        <v/>
      </c>
      <c r="N148" s="22"/>
      <c r="O148" s="20"/>
    </row>
    <row r="149" ht="22.5" customHeight="1">
      <c r="A149" s="23" t="b">
        <v>0</v>
      </c>
      <c r="B149" s="24" t="b">
        <v>0</v>
      </c>
      <c r="C149" s="25" t="str">
        <f>HYPERLINK("https://www.cardmarket.com/en/Pokemon/Products/Singles?idCategory=1&amp;idProduct=sv10-181", "CM")</f>
        <v>CM</v>
      </c>
      <c r="D149" s="23" t="b">
        <v>0</v>
      </c>
      <c r="E149" s="24" t="b">
        <v>0</v>
      </c>
      <c r="F149" s="25" t="str">
        <f>HYPERLINK("https://www.cardmarket.com/en/Pokemon/Products/Singles?idCategory=1&amp;idProduct=sv10-182", "CM")</f>
        <v>CM</v>
      </c>
      <c r="G149" s="23" t="b">
        <v>0</v>
      </c>
      <c r="H149" s="24" t="b">
        <v>0</v>
      </c>
      <c r="I149" s="25" t="str">
        <f>HYPERLINK("https://www.cardmarket.com/en/Pokemon/Products/Singles?idCategory=1&amp;idProduct=sv10-183", "CM")</f>
        <v>CM</v>
      </c>
      <c r="J149" s="23" t="b">
        <v>0</v>
      </c>
      <c r="K149" s="24" t="b">
        <v>0</v>
      </c>
      <c r="L149" s="25" t="str">
        <f>HYPERLINK("https://www.cardmarket.com/en/Pokemon/Products/Singles?idCategory=1&amp;idProduct=sv10-184", "CM")</f>
        <v>CM</v>
      </c>
      <c r="M149" s="23" t="b">
        <v>0</v>
      </c>
      <c r="N149" s="24" t="b">
        <v>0</v>
      </c>
      <c r="O149" s="25" t="str">
        <f>HYPERLINK("https://www.cardmarket.com/en/Pokemon/Products/Singles?idCategory=1&amp;idProduct=sv10-185", "CM")</f>
        <v>CM</v>
      </c>
    </row>
    <row r="150" ht="7.5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</row>
    <row r="151" ht="18.75" customHeight="1">
      <c r="A151" s="18" t="s">
        <v>711</v>
      </c>
      <c r="B151" s="19" t="s">
        <v>1596</v>
      </c>
      <c r="C151" s="20"/>
      <c r="D151" s="18" t="s">
        <v>892</v>
      </c>
      <c r="E151" s="19" t="s">
        <v>2263</v>
      </c>
      <c r="F151" s="20"/>
      <c r="G151" s="18" t="s">
        <v>894</v>
      </c>
      <c r="H151" s="19" t="s">
        <v>2261</v>
      </c>
      <c r="I151" s="20"/>
      <c r="J151" s="18" t="s">
        <v>896</v>
      </c>
      <c r="K151" s="19" t="s">
        <v>1532</v>
      </c>
      <c r="L151" s="20"/>
      <c r="M151" s="18" t="s">
        <v>1312</v>
      </c>
      <c r="N151" s="19" t="s">
        <v>2269</v>
      </c>
      <c r="O151" s="20"/>
    </row>
    <row r="152" ht="180.0" customHeight="1">
      <c r="A152" s="21" t="str">
        <f>IMAGE("https://assets.tcgdex.net/de/sv/sv10/186/low.jpg", 1)</f>
        <v/>
      </c>
      <c r="B152" s="22"/>
      <c r="C152" s="20"/>
      <c r="D152" s="21" t="str">
        <f>IMAGE("https://assets.tcgdex.net/de/sv/sv10/187/low.jpg", 1)</f>
        <v/>
      </c>
      <c r="E152" s="22"/>
      <c r="F152" s="20"/>
      <c r="G152" s="21" t="str">
        <f>IMAGE("https://assets.tcgdex.net/de/sv/sv10/188/low.jpg", 1)</f>
        <v/>
      </c>
      <c r="H152" s="22"/>
      <c r="I152" s="20"/>
      <c r="J152" s="21" t="str">
        <f>IMAGE("https://assets.tcgdex.net/de/sv/sv10/189/low.jpg", 1)</f>
        <v/>
      </c>
      <c r="K152" s="22"/>
      <c r="L152" s="20"/>
      <c r="M152" s="21" t="str">
        <f>IMAGE("https://assets.tcgdex.net/de/sv/sv10/190/low.jpg", 1)</f>
        <v/>
      </c>
      <c r="N152" s="22"/>
      <c r="O152" s="20"/>
    </row>
    <row r="153" ht="22.5" customHeight="1">
      <c r="A153" s="23" t="b">
        <v>0</v>
      </c>
      <c r="B153" s="24" t="b">
        <v>0</v>
      </c>
      <c r="C153" s="25" t="str">
        <f>HYPERLINK("https://www.cardmarket.com/en/Pokemon/Products/Singles?idCategory=1&amp;idProduct=sv10-186", "CM")</f>
        <v>CM</v>
      </c>
      <c r="D153" s="23" t="b">
        <v>0</v>
      </c>
      <c r="E153" s="24" t="b">
        <v>0</v>
      </c>
      <c r="F153" s="25" t="str">
        <f>HYPERLINK("https://www.cardmarket.com/en/Pokemon/Products/Singles?idCategory=1&amp;idProduct=sv10-187", "CM")</f>
        <v>CM</v>
      </c>
      <c r="G153" s="23" t="b">
        <v>0</v>
      </c>
      <c r="H153" s="24" t="b">
        <v>0</v>
      </c>
      <c r="I153" s="25" t="str">
        <f>HYPERLINK("https://www.cardmarket.com/en/Pokemon/Products/Singles?idCategory=1&amp;idProduct=sv10-188", "CM")</f>
        <v>CM</v>
      </c>
      <c r="J153" s="23" t="b">
        <v>0</v>
      </c>
      <c r="K153" s="24" t="b">
        <v>0</v>
      </c>
      <c r="L153" s="25" t="str">
        <f>HYPERLINK("https://www.cardmarket.com/en/Pokemon/Products/Singles?idCategory=1&amp;idProduct=sv10-189", "CM")</f>
        <v>CM</v>
      </c>
      <c r="M153" s="23" t="b">
        <v>0</v>
      </c>
      <c r="N153" s="24" t="b">
        <v>0</v>
      </c>
      <c r="O153" s="25" t="str">
        <f>HYPERLINK("https://www.cardmarket.com/en/Pokemon/Products/Singles?idCategory=1&amp;idProduct=sv10-190", "CM")</f>
        <v>CM</v>
      </c>
    </row>
    <row r="154" ht="7.5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</row>
    <row r="155" ht="18.75" customHeight="1">
      <c r="A155" s="18" t="s">
        <v>1240</v>
      </c>
      <c r="B155" s="19" t="s">
        <v>2273</v>
      </c>
      <c r="C155" s="20"/>
      <c r="D155" s="18" t="s">
        <v>1313</v>
      </c>
      <c r="E155" s="19" t="s">
        <v>2275</v>
      </c>
      <c r="F155" s="20"/>
      <c r="G155" s="18" t="s">
        <v>898</v>
      </c>
      <c r="H155" s="19" t="s">
        <v>2277</v>
      </c>
      <c r="I155" s="20"/>
      <c r="J155" s="18" t="s">
        <v>713</v>
      </c>
      <c r="K155" s="19" t="s">
        <v>2282</v>
      </c>
      <c r="L155" s="20"/>
      <c r="M155" s="18" t="s">
        <v>715</v>
      </c>
      <c r="N155" s="19" t="s">
        <v>2286</v>
      </c>
      <c r="O155" s="20"/>
    </row>
    <row r="156" ht="180.0" customHeight="1">
      <c r="A156" s="21" t="str">
        <f>IMAGE("https://assets.tcgdex.net/de/sv/sv10/191/low.jpg", 1)</f>
        <v/>
      </c>
      <c r="B156" s="22"/>
      <c r="C156" s="20"/>
      <c r="D156" s="21" t="str">
        <f>IMAGE("https://assets.tcgdex.net/de/sv/sv10/192/low.jpg", 1)</f>
        <v/>
      </c>
      <c r="E156" s="22"/>
      <c r="F156" s="20"/>
      <c r="G156" s="21" t="str">
        <f>IMAGE("https://assets.tcgdex.net/de/sv/sv10/193/low.jpg", 1)</f>
        <v/>
      </c>
      <c r="H156" s="22"/>
      <c r="I156" s="20"/>
      <c r="J156" s="21" t="str">
        <f>IMAGE("https://assets.tcgdex.net/de/sv/sv10/194/low.jpg", 1)</f>
        <v/>
      </c>
      <c r="K156" s="22"/>
      <c r="L156" s="20"/>
      <c r="M156" s="21" t="str">
        <f>IMAGE("https://assets.tcgdex.net/de/sv/sv10/195/low.jpg", 1)</f>
        <v/>
      </c>
      <c r="N156" s="22"/>
      <c r="O156" s="20"/>
    </row>
    <row r="157" ht="22.5" customHeight="1">
      <c r="A157" s="23" t="b">
        <v>0</v>
      </c>
      <c r="B157" s="24" t="b">
        <v>0</v>
      </c>
      <c r="C157" s="25" t="str">
        <f>HYPERLINK("https://www.cardmarket.com/en/Pokemon/Products/Singles?idCategory=1&amp;idProduct=sv10-191", "CM")</f>
        <v>CM</v>
      </c>
      <c r="D157" s="23" t="b">
        <v>0</v>
      </c>
      <c r="E157" s="24" t="b">
        <v>0</v>
      </c>
      <c r="F157" s="25" t="str">
        <f>HYPERLINK("https://www.cardmarket.com/en/Pokemon/Products/Singles?idCategory=1&amp;idProduct=sv10-192", "CM")</f>
        <v>CM</v>
      </c>
      <c r="G157" s="23" t="b">
        <v>0</v>
      </c>
      <c r="H157" s="24" t="b">
        <v>0</v>
      </c>
      <c r="I157" s="25" t="str">
        <f>HYPERLINK("https://www.cardmarket.com/en/Pokemon/Products/Singles?idCategory=1&amp;idProduct=sv10-193", "CM")</f>
        <v>CM</v>
      </c>
      <c r="J157" s="23" t="b">
        <v>0</v>
      </c>
      <c r="K157" s="24" t="b">
        <v>0</v>
      </c>
      <c r="L157" s="25" t="str">
        <f>HYPERLINK("https://www.cardmarket.com/en/Pokemon/Products/Singles?idCategory=1&amp;idProduct=sv10-194", "CM")</f>
        <v>CM</v>
      </c>
      <c r="M157" s="23" t="b">
        <v>0</v>
      </c>
      <c r="N157" s="24" t="b">
        <v>0</v>
      </c>
      <c r="O157" s="25" t="str">
        <f>HYPERLINK("https://www.cardmarket.com/en/Pokemon/Products/Singles?idCategory=1&amp;idProduct=sv10-195", "CM")</f>
        <v>CM</v>
      </c>
    </row>
    <row r="158" ht="7.5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</row>
    <row r="159" ht="18.75" customHeight="1">
      <c r="A159" s="18" t="s">
        <v>717</v>
      </c>
      <c r="B159" s="19" t="s">
        <v>2301</v>
      </c>
      <c r="C159" s="20"/>
      <c r="D159" s="18" t="s">
        <v>719</v>
      </c>
      <c r="E159" s="19" t="s">
        <v>1215</v>
      </c>
      <c r="F159" s="20"/>
      <c r="G159" s="18" t="s">
        <v>720</v>
      </c>
      <c r="H159" s="19" t="s">
        <v>2313</v>
      </c>
      <c r="I159" s="20"/>
      <c r="J159" s="18" t="s">
        <v>722</v>
      </c>
      <c r="K159" s="19" t="s">
        <v>2339</v>
      </c>
      <c r="L159" s="20"/>
      <c r="M159" s="18" t="s">
        <v>724</v>
      </c>
      <c r="N159" s="19" t="s">
        <v>2340</v>
      </c>
      <c r="O159" s="20"/>
    </row>
    <row r="160" ht="180.0" customHeight="1">
      <c r="A160" s="21" t="str">
        <f>IMAGE("https://assets.tcgdex.net/de/sv/sv10/196/low.jpg", 1)</f>
        <v/>
      </c>
      <c r="B160" s="22"/>
      <c r="C160" s="20"/>
      <c r="D160" s="21" t="str">
        <f>IMAGE("https://assets.tcgdex.net/de/sv/sv10/197/low.jpg", 1)</f>
        <v/>
      </c>
      <c r="E160" s="22"/>
      <c r="F160" s="20"/>
      <c r="G160" s="21" t="str">
        <f>IMAGE("https://assets.tcgdex.net/de/sv/sv10/198/low.jpg", 1)</f>
        <v/>
      </c>
      <c r="H160" s="22"/>
      <c r="I160" s="20"/>
      <c r="J160" s="21" t="str">
        <f>IMAGE("https://assets.tcgdex.net/de/sv/sv10/199/low.jpg", 1)</f>
        <v/>
      </c>
      <c r="K160" s="22"/>
      <c r="L160" s="20"/>
      <c r="M160" s="21" t="str">
        <f>IMAGE("https://assets.tcgdex.net/de/sv/sv10/200/low.jpg", 1)</f>
        <v/>
      </c>
      <c r="N160" s="22"/>
      <c r="O160" s="20"/>
    </row>
    <row r="161" ht="22.5" customHeight="1">
      <c r="A161" s="23" t="b">
        <v>0</v>
      </c>
      <c r="B161" s="24" t="b">
        <v>0</v>
      </c>
      <c r="C161" s="25" t="str">
        <f>HYPERLINK("https://www.cardmarket.com/en/Pokemon/Products/Singles?idCategory=1&amp;idProduct=sv10-196", "CM")</f>
        <v>CM</v>
      </c>
      <c r="D161" s="23" t="b">
        <v>0</v>
      </c>
      <c r="E161" s="24" t="b">
        <v>0</v>
      </c>
      <c r="F161" s="25" t="str">
        <f>HYPERLINK("https://www.cardmarket.com/en/Pokemon/Products/Singles?idCategory=1&amp;idProduct=sv10-197", "CM")</f>
        <v>CM</v>
      </c>
      <c r="G161" s="23" t="b">
        <v>0</v>
      </c>
      <c r="H161" s="24" t="b">
        <v>0</v>
      </c>
      <c r="I161" s="25" t="str">
        <f>HYPERLINK("https://www.cardmarket.com/en/Pokemon/Products/Singles?idCategory=1&amp;idProduct=sv10-198", "CM")</f>
        <v>CM</v>
      </c>
      <c r="J161" s="23" t="b">
        <v>0</v>
      </c>
      <c r="K161" s="24" t="b">
        <v>0</v>
      </c>
      <c r="L161" s="25" t="str">
        <f>HYPERLINK("https://www.cardmarket.com/en/Pokemon/Products/Singles?idCategory=1&amp;idProduct=sv10-199", "CM")</f>
        <v>CM</v>
      </c>
      <c r="M161" s="23" t="b">
        <v>0</v>
      </c>
      <c r="N161" s="24" t="b">
        <v>0</v>
      </c>
      <c r="O161" s="25" t="str">
        <f>HYPERLINK("https://www.cardmarket.com/en/Pokemon/Products/Singles?idCategory=1&amp;idProduct=sv10-200", "CM")</f>
        <v>CM</v>
      </c>
    </row>
    <row r="162" ht="7.5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</row>
    <row r="163" ht="18.75" customHeight="1">
      <c r="A163" s="18" t="s">
        <v>726</v>
      </c>
      <c r="B163" s="19" t="s">
        <v>940</v>
      </c>
      <c r="C163" s="20"/>
      <c r="D163" s="18" t="s">
        <v>728</v>
      </c>
      <c r="E163" s="19" t="s">
        <v>2356</v>
      </c>
      <c r="F163" s="20"/>
      <c r="G163" s="18" t="s">
        <v>730</v>
      </c>
      <c r="H163" s="19" t="s">
        <v>2357</v>
      </c>
      <c r="I163" s="20"/>
      <c r="J163" s="18" t="s">
        <v>1241</v>
      </c>
      <c r="K163" s="19" t="s">
        <v>1452</v>
      </c>
      <c r="L163" s="20"/>
      <c r="M163" s="18" t="s">
        <v>1319</v>
      </c>
      <c r="N163" s="19" t="s">
        <v>2365</v>
      </c>
      <c r="O163" s="20"/>
    </row>
    <row r="164" ht="180.0" customHeight="1">
      <c r="A164" s="21" t="str">
        <f>IMAGE("https://assets.tcgdex.net/de/sv/sv10/201/low.jpg", 1)</f>
        <v/>
      </c>
      <c r="B164" s="22"/>
      <c r="C164" s="20"/>
      <c r="D164" s="21" t="str">
        <f>IMAGE("https://assets.tcgdex.net/de/sv/sv10/202/low.jpg", 1)</f>
        <v/>
      </c>
      <c r="E164" s="22"/>
      <c r="F164" s="20"/>
      <c r="G164" s="21" t="str">
        <f>IMAGE("https://assets.tcgdex.net/de/sv/sv10/203/low.jpg", 1)</f>
        <v/>
      </c>
      <c r="H164" s="22"/>
      <c r="I164" s="20"/>
      <c r="J164" s="21" t="str">
        <f>IMAGE("https://assets.tcgdex.net/de/sv/sv10/204/low.jpg", 1)</f>
        <v/>
      </c>
      <c r="K164" s="22"/>
      <c r="L164" s="20"/>
      <c r="M164" s="21" t="str">
        <f>IMAGE("https://assets.tcgdex.net/de/sv/sv10/205/low.jpg", 1)</f>
        <v/>
      </c>
      <c r="N164" s="22"/>
      <c r="O164" s="20"/>
    </row>
    <row r="165" ht="22.5" customHeight="1">
      <c r="A165" s="23" t="b">
        <v>0</v>
      </c>
      <c r="B165" s="24" t="b">
        <v>0</v>
      </c>
      <c r="C165" s="25" t="str">
        <f>HYPERLINK("https://www.cardmarket.com/en/Pokemon/Products/Singles?idCategory=1&amp;idProduct=sv10-201", "CM")</f>
        <v>CM</v>
      </c>
      <c r="D165" s="23" t="b">
        <v>0</v>
      </c>
      <c r="E165" s="24" t="b">
        <v>0</v>
      </c>
      <c r="F165" s="25" t="str">
        <f>HYPERLINK("https://www.cardmarket.com/en/Pokemon/Products/Singles?idCategory=1&amp;idProduct=sv10-202", "CM")</f>
        <v>CM</v>
      </c>
      <c r="G165" s="23" t="b">
        <v>0</v>
      </c>
      <c r="H165" s="24" t="b">
        <v>0</v>
      </c>
      <c r="I165" s="25" t="str">
        <f>HYPERLINK("https://www.cardmarket.com/en/Pokemon/Products/Singles?idCategory=1&amp;idProduct=sv10-203", "CM")</f>
        <v>CM</v>
      </c>
      <c r="J165" s="23" t="b">
        <v>0</v>
      </c>
      <c r="K165" s="24" t="b">
        <v>0</v>
      </c>
      <c r="L165" s="25" t="str">
        <f>HYPERLINK("https://www.cardmarket.com/en/Pokemon/Products/Singles?idCategory=1&amp;idProduct=sv10-204", "CM")</f>
        <v>CM</v>
      </c>
      <c r="M165" s="23" t="b">
        <v>0</v>
      </c>
      <c r="N165" s="24" t="b">
        <v>0</v>
      </c>
      <c r="O165" s="25" t="str">
        <f>HYPERLINK("https://www.cardmarket.com/en/Pokemon/Products/Singles?idCategory=1&amp;idProduct=sv10-205", "CM")</f>
        <v>CM</v>
      </c>
    </row>
    <row r="166" ht="7.5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</row>
    <row r="167" ht="18.75" customHeight="1">
      <c r="A167" s="18" t="s">
        <v>732</v>
      </c>
      <c r="B167" s="19" t="s">
        <v>2255</v>
      </c>
      <c r="C167" s="20"/>
      <c r="D167" s="18" t="s">
        <v>734</v>
      </c>
      <c r="E167" s="19" t="s">
        <v>2264</v>
      </c>
      <c r="F167" s="20"/>
      <c r="G167" s="18" t="s">
        <v>1183</v>
      </c>
      <c r="H167" s="19" t="s">
        <v>2266</v>
      </c>
      <c r="I167" s="20"/>
      <c r="J167" s="18" t="s">
        <v>1320</v>
      </c>
      <c r="K167" s="19" t="s">
        <v>2274</v>
      </c>
      <c r="L167" s="20"/>
      <c r="M167" s="18" t="s">
        <v>1184</v>
      </c>
      <c r="N167" s="19" t="s">
        <v>2292</v>
      </c>
      <c r="O167" s="20"/>
    </row>
    <row r="168" ht="180.0" customHeight="1">
      <c r="A168" s="21" t="str">
        <f>IMAGE("https://assets.tcgdex.net/de/sv/sv10/206/low.jpg", 1)</f>
        <v/>
      </c>
      <c r="B168" s="22"/>
      <c r="C168" s="20"/>
      <c r="D168" s="21" t="str">
        <f>IMAGE("https://assets.tcgdex.net/de/sv/sv10/207/low.jpg", 1)</f>
        <v/>
      </c>
      <c r="E168" s="22"/>
      <c r="F168" s="20"/>
      <c r="G168" s="21" t="str">
        <f>IMAGE("https://assets.tcgdex.net/de/sv/sv10/208/low.jpg", 1)</f>
        <v/>
      </c>
      <c r="H168" s="22"/>
      <c r="I168" s="20"/>
      <c r="J168" s="21" t="str">
        <f>IMAGE("https://assets.tcgdex.net/de/sv/sv10/209/low.jpg", 1)</f>
        <v/>
      </c>
      <c r="K168" s="22"/>
      <c r="L168" s="20"/>
      <c r="M168" s="21" t="str">
        <f>IMAGE("https://assets.tcgdex.net/de/sv/sv10/210/low.jpg", 1)</f>
        <v/>
      </c>
      <c r="N168" s="22"/>
      <c r="O168" s="20"/>
    </row>
    <row r="169" ht="22.5" customHeight="1">
      <c r="A169" s="23" t="b">
        <v>0</v>
      </c>
      <c r="B169" s="24" t="b">
        <v>0</v>
      </c>
      <c r="C169" s="25" t="str">
        <f>HYPERLINK("https://www.cardmarket.com/en/Pokemon/Products/Singles?idCategory=1&amp;idProduct=sv10-206", "CM")</f>
        <v>CM</v>
      </c>
      <c r="D169" s="23" t="b">
        <v>0</v>
      </c>
      <c r="E169" s="24" t="b">
        <v>0</v>
      </c>
      <c r="F169" s="25" t="str">
        <f>HYPERLINK("https://www.cardmarket.com/en/Pokemon/Products/Singles?idCategory=1&amp;idProduct=sv10-207", "CM")</f>
        <v>CM</v>
      </c>
      <c r="G169" s="23" t="b">
        <v>0</v>
      </c>
      <c r="H169" s="24" t="b">
        <v>0</v>
      </c>
      <c r="I169" s="25" t="str">
        <f>HYPERLINK("https://www.cardmarket.com/en/Pokemon/Products/Singles?idCategory=1&amp;idProduct=sv10-208", "CM")</f>
        <v>CM</v>
      </c>
      <c r="J169" s="23" t="b">
        <v>0</v>
      </c>
      <c r="K169" s="24" t="b">
        <v>0</v>
      </c>
      <c r="L169" s="25" t="str">
        <f>HYPERLINK("https://www.cardmarket.com/en/Pokemon/Products/Singles?idCategory=1&amp;idProduct=sv10-209", "CM")</f>
        <v>CM</v>
      </c>
      <c r="M169" s="23" t="b">
        <v>0</v>
      </c>
      <c r="N169" s="24" t="b">
        <v>0</v>
      </c>
      <c r="O169" s="25" t="str">
        <f>HYPERLINK("https://www.cardmarket.com/en/Pokemon/Products/Singles?idCategory=1&amp;idProduct=sv10-210", "CM")</f>
        <v>CM</v>
      </c>
    </row>
    <row r="170" ht="7.5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</row>
    <row r="171" ht="18.75" customHeight="1">
      <c r="A171" s="18" t="s">
        <v>1321</v>
      </c>
      <c r="B171" s="19" t="s">
        <v>2293</v>
      </c>
      <c r="C171" s="20"/>
      <c r="D171" s="18" t="s">
        <v>1322</v>
      </c>
      <c r="E171" s="19" t="s">
        <v>2295</v>
      </c>
      <c r="F171" s="20"/>
      <c r="G171" s="18" t="s">
        <v>1323</v>
      </c>
      <c r="H171" s="19" t="s">
        <v>2305</v>
      </c>
      <c r="I171" s="20"/>
      <c r="J171" s="18" t="s">
        <v>1186</v>
      </c>
      <c r="K171" s="19" t="s">
        <v>2318</v>
      </c>
      <c r="L171" s="20"/>
      <c r="M171" s="18" t="s">
        <v>1324</v>
      </c>
      <c r="N171" s="19" t="s">
        <v>2321</v>
      </c>
      <c r="O171" s="20"/>
    </row>
    <row r="172" ht="180.0" customHeight="1">
      <c r="A172" s="21" t="str">
        <f>IMAGE("https://assets.tcgdex.net/de/sv/sv10/211/low.jpg", 1)</f>
        <v/>
      </c>
      <c r="B172" s="22"/>
      <c r="C172" s="20"/>
      <c r="D172" s="21" t="str">
        <f>IMAGE("https://assets.tcgdex.net/de/sv/sv10/212/low.jpg", 1)</f>
        <v/>
      </c>
      <c r="E172" s="22"/>
      <c r="F172" s="20"/>
      <c r="G172" s="21" t="str">
        <f>IMAGE("https://assets.tcgdex.net/de/sv/sv10/213/low.jpg", 1)</f>
        <v/>
      </c>
      <c r="H172" s="22"/>
      <c r="I172" s="20"/>
      <c r="J172" s="21" t="str">
        <f>IMAGE("https://assets.tcgdex.net/de/sv/sv10/214/low.jpg", 1)</f>
        <v/>
      </c>
      <c r="K172" s="22"/>
      <c r="L172" s="20"/>
      <c r="M172" s="21" t="str">
        <f>IMAGE("https://assets.tcgdex.net/de/sv/sv10/215/low.jpg", 1)</f>
        <v/>
      </c>
      <c r="N172" s="22"/>
      <c r="O172" s="20"/>
    </row>
    <row r="173" ht="22.5" customHeight="1">
      <c r="A173" s="23" t="b">
        <v>0</v>
      </c>
      <c r="B173" s="24" t="b">
        <v>0</v>
      </c>
      <c r="C173" s="25" t="str">
        <f>HYPERLINK("https://www.cardmarket.com/en/Pokemon/Products/Singles?idCategory=1&amp;idProduct=sv10-211", "CM")</f>
        <v>CM</v>
      </c>
      <c r="D173" s="23" t="b">
        <v>0</v>
      </c>
      <c r="E173" s="24" t="b">
        <v>0</v>
      </c>
      <c r="F173" s="25" t="str">
        <f>HYPERLINK("https://www.cardmarket.com/en/Pokemon/Products/Singles?idCategory=1&amp;idProduct=sv10-212", "CM")</f>
        <v>CM</v>
      </c>
      <c r="G173" s="23" t="b">
        <v>0</v>
      </c>
      <c r="H173" s="24" t="b">
        <v>0</v>
      </c>
      <c r="I173" s="25" t="str">
        <f>HYPERLINK("https://www.cardmarket.com/en/Pokemon/Products/Singles?idCategory=1&amp;idProduct=sv10-213", "CM")</f>
        <v>CM</v>
      </c>
      <c r="J173" s="23" t="b">
        <v>0</v>
      </c>
      <c r="K173" s="24" t="b">
        <v>0</v>
      </c>
      <c r="L173" s="25" t="str">
        <f>HYPERLINK("https://www.cardmarket.com/en/Pokemon/Products/Singles?idCategory=1&amp;idProduct=sv10-214", "CM")</f>
        <v>CM</v>
      </c>
      <c r="M173" s="23" t="b">
        <v>0</v>
      </c>
      <c r="N173" s="24" t="b">
        <v>0</v>
      </c>
      <c r="O173" s="25" t="str">
        <f>HYPERLINK("https://www.cardmarket.com/en/Pokemon/Products/Singles?idCategory=1&amp;idProduct=sv10-215", "CM")</f>
        <v>CM</v>
      </c>
    </row>
    <row r="174" ht="7.5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</row>
    <row r="175" ht="18.75" customHeight="1">
      <c r="A175" s="18" t="s">
        <v>1325</v>
      </c>
      <c r="B175" s="19" t="s">
        <v>2332</v>
      </c>
      <c r="C175" s="20"/>
      <c r="D175" s="18" t="s">
        <v>1326</v>
      </c>
      <c r="E175" s="19" t="s">
        <v>2335</v>
      </c>
      <c r="F175" s="20"/>
      <c r="G175" s="18" t="s">
        <v>1327</v>
      </c>
      <c r="H175" s="19" t="s">
        <v>2351</v>
      </c>
      <c r="I175" s="20"/>
      <c r="J175" s="18" t="s">
        <v>1328</v>
      </c>
      <c r="K175" s="19" t="s">
        <v>2358</v>
      </c>
      <c r="L175" s="20"/>
      <c r="M175" s="18" t="s">
        <v>1329</v>
      </c>
      <c r="N175" s="19" t="s">
        <v>2368</v>
      </c>
      <c r="O175" s="20"/>
    </row>
    <row r="176" ht="180.0" customHeight="1">
      <c r="A176" s="21" t="str">
        <f>IMAGE("https://assets.tcgdex.net/de/sv/sv10/216/low.jpg", 1)</f>
        <v/>
      </c>
      <c r="B176" s="22"/>
      <c r="C176" s="20"/>
      <c r="D176" s="21" t="str">
        <f>IMAGE("https://assets.tcgdex.net/de/sv/sv10/217/low.jpg", 1)</f>
        <v/>
      </c>
      <c r="E176" s="22"/>
      <c r="F176" s="20"/>
      <c r="G176" s="21" t="str">
        <f>IMAGE("https://assets.tcgdex.net/de/sv/sv10/218/low.jpg", 1)</f>
        <v/>
      </c>
      <c r="H176" s="22"/>
      <c r="I176" s="20"/>
      <c r="J176" s="21" t="str">
        <f>IMAGE("https://assets.tcgdex.net/de/sv/sv10/219/low.jpg", 1)</f>
        <v/>
      </c>
      <c r="K176" s="22"/>
      <c r="L176" s="20"/>
      <c r="M176" s="21" t="str">
        <f>IMAGE("https://assets.tcgdex.net/de/sv/sv10/220/low.jpg", 1)</f>
        <v/>
      </c>
      <c r="N176" s="22"/>
      <c r="O176" s="20"/>
    </row>
    <row r="177" ht="22.5" customHeight="1">
      <c r="A177" s="23" t="b">
        <v>0</v>
      </c>
      <c r="B177" s="24" t="b">
        <v>0</v>
      </c>
      <c r="C177" s="25" t="str">
        <f>HYPERLINK("https://www.cardmarket.com/en/Pokemon/Products/Singles?idCategory=1&amp;idProduct=sv10-216", "CM")</f>
        <v>CM</v>
      </c>
      <c r="D177" s="23" t="b">
        <v>0</v>
      </c>
      <c r="E177" s="24" t="b">
        <v>0</v>
      </c>
      <c r="F177" s="25" t="str">
        <f>HYPERLINK("https://www.cardmarket.com/en/Pokemon/Products/Singles?idCategory=1&amp;idProduct=sv10-217", "CM")</f>
        <v>CM</v>
      </c>
      <c r="G177" s="23" t="b">
        <v>0</v>
      </c>
      <c r="H177" s="24" t="b">
        <v>0</v>
      </c>
      <c r="I177" s="25" t="str">
        <f>HYPERLINK("https://www.cardmarket.com/en/Pokemon/Products/Singles?idCategory=1&amp;idProduct=sv10-218", "CM")</f>
        <v>CM</v>
      </c>
      <c r="J177" s="23" t="b">
        <v>0</v>
      </c>
      <c r="K177" s="24" t="b">
        <v>0</v>
      </c>
      <c r="L177" s="25" t="str">
        <f>HYPERLINK("https://www.cardmarket.com/en/Pokemon/Products/Singles?idCategory=1&amp;idProduct=sv10-219", "CM")</f>
        <v>CM</v>
      </c>
      <c r="M177" s="23" t="b">
        <v>0</v>
      </c>
      <c r="N177" s="24" t="b">
        <v>0</v>
      </c>
      <c r="O177" s="25" t="str">
        <f>HYPERLINK("https://www.cardmarket.com/en/Pokemon/Products/Singles?idCategory=1&amp;idProduct=sv10-220", "CM")</f>
        <v>CM</v>
      </c>
    </row>
    <row r="178" ht="7.5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</row>
    <row r="179" ht="18.75" customHeight="1">
      <c r="A179" s="18" t="s">
        <v>1330</v>
      </c>
      <c r="B179" s="19" t="s">
        <v>2370</v>
      </c>
      <c r="C179" s="20"/>
      <c r="D179" s="18" t="s">
        <v>1187</v>
      </c>
      <c r="E179" s="19" t="s">
        <v>1307</v>
      </c>
      <c r="F179" s="20"/>
      <c r="G179" s="18" t="s">
        <v>1331</v>
      </c>
      <c r="H179" s="19" t="s">
        <v>2374</v>
      </c>
      <c r="I179" s="20"/>
      <c r="J179" s="18" t="s">
        <v>1332</v>
      </c>
      <c r="K179" s="19" t="s">
        <v>2375</v>
      </c>
      <c r="L179" s="20"/>
      <c r="M179" s="18" t="s">
        <v>1333</v>
      </c>
      <c r="N179" s="19" t="s">
        <v>2378</v>
      </c>
      <c r="O179" s="20"/>
    </row>
    <row r="180" ht="180.0" customHeight="1">
      <c r="A180" s="21" t="str">
        <f>IMAGE("https://assets.tcgdex.net/de/sv/sv10/221/low.jpg", 1)</f>
        <v/>
      </c>
      <c r="B180" s="22"/>
      <c r="C180" s="20"/>
      <c r="D180" s="21" t="str">
        <f>IMAGE("https://assets.tcgdex.net/de/sv/sv10/222/low.jpg", 1)</f>
        <v/>
      </c>
      <c r="E180" s="22"/>
      <c r="F180" s="20"/>
      <c r="G180" s="21" t="str">
        <f>IMAGE("https://assets.tcgdex.net/de/sv/sv10/223/low.jpg", 1)</f>
        <v/>
      </c>
      <c r="H180" s="22"/>
      <c r="I180" s="20"/>
      <c r="J180" s="21" t="str">
        <f>IMAGE("https://assets.tcgdex.net/de/sv/sv10/224/low.jpg", 1)</f>
        <v/>
      </c>
      <c r="K180" s="22"/>
      <c r="L180" s="20"/>
      <c r="M180" s="21" t="str">
        <f>IMAGE("https://assets.tcgdex.net/de/sv/sv10/225/low.jpg", 1)</f>
        <v/>
      </c>
      <c r="N180" s="22"/>
      <c r="O180" s="20"/>
    </row>
    <row r="181" ht="22.5" customHeight="1">
      <c r="A181" s="23" t="b">
        <v>0</v>
      </c>
      <c r="B181" s="24" t="b">
        <v>0</v>
      </c>
      <c r="C181" s="25" t="str">
        <f>HYPERLINK("https://www.cardmarket.com/en/Pokemon/Products/Singles?idCategory=1&amp;idProduct=sv10-221", "CM")</f>
        <v>CM</v>
      </c>
      <c r="D181" s="23" t="b">
        <v>0</v>
      </c>
      <c r="E181" s="24" t="b">
        <v>0</v>
      </c>
      <c r="F181" s="25" t="str">
        <f>HYPERLINK("https://www.cardmarket.com/en/Pokemon/Products/Singles?idCategory=1&amp;idProduct=sv10-222", "CM")</f>
        <v>CM</v>
      </c>
      <c r="G181" s="23" t="b">
        <v>0</v>
      </c>
      <c r="H181" s="24" t="b">
        <v>0</v>
      </c>
      <c r="I181" s="25" t="str">
        <f>HYPERLINK("https://www.cardmarket.com/en/Pokemon/Products/Singles?idCategory=1&amp;idProduct=sv10-223", "CM")</f>
        <v>CM</v>
      </c>
      <c r="J181" s="23" t="b">
        <v>0</v>
      </c>
      <c r="K181" s="24" t="b">
        <v>0</v>
      </c>
      <c r="L181" s="25" t="str">
        <f>HYPERLINK("https://www.cardmarket.com/en/Pokemon/Products/Singles?idCategory=1&amp;idProduct=sv10-224", "CM")</f>
        <v>CM</v>
      </c>
      <c r="M181" s="23" t="b">
        <v>0</v>
      </c>
      <c r="N181" s="24" t="b">
        <v>0</v>
      </c>
      <c r="O181" s="25" t="str">
        <f>HYPERLINK("https://www.cardmarket.com/en/Pokemon/Products/Singles?idCategory=1&amp;idProduct=sv10-225", "CM")</f>
        <v>CM</v>
      </c>
    </row>
    <row r="182" ht="7.5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</row>
    <row r="183" ht="18.75" customHeight="1">
      <c r="A183" s="18" t="s">
        <v>1189</v>
      </c>
      <c r="B183" s="19" t="s">
        <v>2380</v>
      </c>
      <c r="C183" s="20"/>
      <c r="D183" s="18" t="s">
        <v>1334</v>
      </c>
      <c r="E183" s="19" t="s">
        <v>2381</v>
      </c>
      <c r="F183" s="20"/>
      <c r="G183" s="18" t="s">
        <v>1335</v>
      </c>
      <c r="H183" s="19" t="s">
        <v>2255</v>
      </c>
      <c r="I183" s="20"/>
      <c r="J183" s="18" t="s">
        <v>1191</v>
      </c>
      <c r="K183" s="19" t="s">
        <v>2266</v>
      </c>
      <c r="L183" s="20"/>
      <c r="M183" s="18" t="s">
        <v>1336</v>
      </c>
      <c r="N183" s="19" t="s">
        <v>2274</v>
      </c>
      <c r="O183" s="20"/>
    </row>
    <row r="184" ht="180.0" customHeight="1">
      <c r="A184" s="21" t="str">
        <f>IMAGE("https://assets.tcgdex.net/de/sv/sv10/226/low.jpg", 1)</f>
        <v/>
      </c>
      <c r="B184" s="22"/>
      <c r="C184" s="20"/>
      <c r="D184" s="21" t="str">
        <f>IMAGE("https://assets.tcgdex.net/de/sv/sv10/227/low.jpg", 1)</f>
        <v/>
      </c>
      <c r="E184" s="22"/>
      <c r="F184" s="20"/>
      <c r="G184" s="21" t="str">
        <f>IMAGE("https://assets.tcgdex.net/de/sv/sv10/228/low.jpg", 1)</f>
        <v/>
      </c>
      <c r="H184" s="22"/>
      <c r="I184" s="20"/>
      <c r="J184" s="21" t="str">
        <f>IMAGE("https://assets.tcgdex.net/de/sv/sv10/229/low.jpg", 1)</f>
        <v/>
      </c>
      <c r="K184" s="22"/>
      <c r="L184" s="20"/>
      <c r="M184" s="21" t="str">
        <f>IMAGE("https://assets.tcgdex.net/de/sv/sv10/230/low.jpg", 1)</f>
        <v/>
      </c>
      <c r="N184" s="22"/>
      <c r="O184" s="20"/>
    </row>
    <row r="185" ht="22.5" customHeight="1">
      <c r="A185" s="23" t="b">
        <v>0</v>
      </c>
      <c r="B185" s="24" t="b">
        <v>0</v>
      </c>
      <c r="C185" s="25" t="str">
        <f>HYPERLINK("https://www.cardmarket.com/en/Pokemon/Products/Singles?idCategory=1&amp;idProduct=sv10-226", "CM")</f>
        <v>CM</v>
      </c>
      <c r="D185" s="23" t="b">
        <v>0</v>
      </c>
      <c r="E185" s="24" t="b">
        <v>0</v>
      </c>
      <c r="F185" s="25" t="str">
        <f>HYPERLINK("https://www.cardmarket.com/en/Pokemon/Products/Singles?idCategory=1&amp;idProduct=sv10-227", "CM")</f>
        <v>CM</v>
      </c>
      <c r="G185" s="23" t="b">
        <v>0</v>
      </c>
      <c r="H185" s="24" t="b">
        <v>0</v>
      </c>
      <c r="I185" s="25" t="str">
        <f>HYPERLINK("https://www.cardmarket.com/en/Pokemon/Products/Singles?idCategory=1&amp;idProduct=sv10-228", "CM")</f>
        <v>CM</v>
      </c>
      <c r="J185" s="23" t="b">
        <v>0</v>
      </c>
      <c r="K185" s="24" t="b">
        <v>0</v>
      </c>
      <c r="L185" s="25" t="str">
        <f>HYPERLINK("https://www.cardmarket.com/en/Pokemon/Products/Singles?idCategory=1&amp;idProduct=sv10-229", "CM")</f>
        <v>CM</v>
      </c>
      <c r="M185" s="23" t="b">
        <v>0</v>
      </c>
      <c r="N185" s="24" t="b">
        <v>0</v>
      </c>
      <c r="O185" s="25" t="str">
        <f>HYPERLINK("https://www.cardmarket.com/en/Pokemon/Products/Singles?idCategory=1&amp;idProduct=sv10-230", "CM")</f>
        <v>CM</v>
      </c>
    </row>
    <row r="186" ht="7.5" customHeigh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</row>
    <row r="187" ht="18.75" customHeight="1">
      <c r="A187" s="18" t="s">
        <v>1337</v>
      </c>
      <c r="B187" s="19" t="s">
        <v>2305</v>
      </c>
      <c r="C187" s="20"/>
      <c r="D187" s="18" t="s">
        <v>1338</v>
      </c>
      <c r="E187" s="19" t="s">
        <v>2321</v>
      </c>
      <c r="F187" s="20"/>
      <c r="G187" s="18" t="s">
        <v>1339</v>
      </c>
      <c r="H187" s="19" t="s">
        <v>2332</v>
      </c>
      <c r="I187" s="20"/>
      <c r="J187" s="18" t="s">
        <v>1340</v>
      </c>
      <c r="K187" s="19" t="s">
        <v>2335</v>
      </c>
      <c r="L187" s="20"/>
      <c r="M187" s="18" t="s">
        <v>1193</v>
      </c>
      <c r="N187" s="19" t="s">
        <v>2351</v>
      </c>
      <c r="O187" s="20"/>
    </row>
    <row r="188" ht="180.0" customHeight="1">
      <c r="A188" s="21" t="str">
        <f>IMAGE("https://assets.tcgdex.net/de/sv/sv10/231/low.jpg", 1)</f>
        <v/>
      </c>
      <c r="B188" s="22"/>
      <c r="C188" s="20"/>
      <c r="D188" s="21" t="str">
        <f>IMAGE("https://assets.tcgdex.net/de/sv/sv10/232/low.jpg", 1)</f>
        <v/>
      </c>
      <c r="E188" s="22"/>
      <c r="F188" s="20"/>
      <c r="G188" s="21" t="str">
        <f>IMAGE("https://assets.tcgdex.net/de/sv/sv10/233/low.jpg", 1)</f>
        <v/>
      </c>
      <c r="H188" s="22"/>
      <c r="I188" s="20"/>
      <c r="J188" s="21" t="str">
        <f>IMAGE("https://assets.tcgdex.net/de/sv/sv10/234/low.jpg", 1)</f>
        <v/>
      </c>
      <c r="K188" s="22"/>
      <c r="L188" s="20"/>
      <c r="M188" s="21" t="str">
        <f>IMAGE("https://assets.tcgdex.net/de/sv/sv10/235/low.jpg", 1)</f>
        <v/>
      </c>
      <c r="N188" s="22"/>
      <c r="O188" s="20"/>
    </row>
    <row r="189" ht="22.5" customHeight="1">
      <c r="A189" s="23" t="b">
        <v>0</v>
      </c>
      <c r="B189" s="24" t="b">
        <v>0</v>
      </c>
      <c r="C189" s="25" t="str">
        <f>HYPERLINK("https://www.cardmarket.com/en/Pokemon/Products/Singles?idCategory=1&amp;idProduct=sv10-231", "CM")</f>
        <v>CM</v>
      </c>
      <c r="D189" s="23" t="b">
        <v>0</v>
      </c>
      <c r="E189" s="24" t="b">
        <v>0</v>
      </c>
      <c r="F189" s="25" t="str">
        <f>HYPERLINK("https://www.cardmarket.com/en/Pokemon/Products/Singles?idCategory=1&amp;idProduct=sv10-232", "CM")</f>
        <v>CM</v>
      </c>
      <c r="G189" s="23" t="b">
        <v>0</v>
      </c>
      <c r="H189" s="24" t="b">
        <v>0</v>
      </c>
      <c r="I189" s="25" t="str">
        <f>HYPERLINK("https://www.cardmarket.com/en/Pokemon/Products/Singles?idCategory=1&amp;idProduct=sv10-233", "CM")</f>
        <v>CM</v>
      </c>
      <c r="J189" s="23" t="b">
        <v>0</v>
      </c>
      <c r="K189" s="24" t="b">
        <v>0</v>
      </c>
      <c r="L189" s="25" t="str">
        <f>HYPERLINK("https://www.cardmarket.com/en/Pokemon/Products/Singles?idCategory=1&amp;idProduct=sv10-234", "CM")</f>
        <v>CM</v>
      </c>
      <c r="M189" s="23" t="b">
        <v>0</v>
      </c>
      <c r="N189" s="24" t="b">
        <v>0</v>
      </c>
      <c r="O189" s="25" t="str">
        <f>HYPERLINK("https://www.cardmarket.com/en/Pokemon/Products/Singles?idCategory=1&amp;idProduct=sv10-235", "CM")</f>
        <v>CM</v>
      </c>
    </row>
    <row r="190" ht="7.5" customHeight="1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</row>
    <row r="191" ht="18.75" customHeight="1">
      <c r="A191" s="18" t="s">
        <v>1341</v>
      </c>
      <c r="B191" s="19" t="s">
        <v>2370</v>
      </c>
      <c r="C191" s="20"/>
      <c r="D191" s="18" t="s">
        <v>1342</v>
      </c>
      <c r="E191" s="19" t="s">
        <v>2375</v>
      </c>
      <c r="F191" s="20"/>
      <c r="G191" s="18" t="s">
        <v>1343</v>
      </c>
      <c r="H191" s="19" t="s">
        <v>2378</v>
      </c>
      <c r="I191" s="20"/>
      <c r="J191" s="18" t="s">
        <v>1195</v>
      </c>
      <c r="K191" s="19" t="s">
        <v>2274</v>
      </c>
      <c r="L191" s="20"/>
      <c r="M191" s="18" t="s">
        <v>1344</v>
      </c>
      <c r="N191" s="19" t="s">
        <v>2305</v>
      </c>
      <c r="O191" s="20"/>
    </row>
    <row r="192" ht="180.0" customHeight="1">
      <c r="A192" s="21" t="str">
        <f>IMAGE("https://assets.tcgdex.net/de/sv/sv10/236/low.jpg", 1)</f>
        <v/>
      </c>
      <c r="B192" s="22"/>
      <c r="C192" s="20"/>
      <c r="D192" s="21" t="str">
        <f>IMAGE("https://assets.tcgdex.net/de/sv/sv10/237/low.jpg", 1)</f>
        <v/>
      </c>
      <c r="E192" s="22"/>
      <c r="F192" s="20"/>
      <c r="G192" s="21" t="str">
        <f>IMAGE("https://assets.tcgdex.net/de/sv/sv10/238/low.jpg", 1)</f>
        <v/>
      </c>
      <c r="H192" s="22"/>
      <c r="I192" s="20"/>
      <c r="J192" s="21" t="str">
        <f>IMAGE("https://assets.tcgdex.net/de/sv/sv10/239/low.jpg", 1)</f>
        <v/>
      </c>
      <c r="K192" s="22"/>
      <c r="L192" s="20"/>
      <c r="M192" s="21" t="str">
        <f>IMAGE("https://assets.tcgdex.net/de/sv/sv10/240/low.jpg", 1)</f>
        <v/>
      </c>
      <c r="N192" s="22"/>
      <c r="O192" s="20"/>
    </row>
    <row r="193" ht="22.5" customHeight="1">
      <c r="A193" s="23" t="b">
        <v>0</v>
      </c>
      <c r="B193" s="24" t="b">
        <v>0</v>
      </c>
      <c r="C193" s="25" t="str">
        <f>HYPERLINK("https://www.cardmarket.com/en/Pokemon/Products/Singles?idCategory=1&amp;idProduct=sv10-236", "CM")</f>
        <v>CM</v>
      </c>
      <c r="D193" s="23" t="b">
        <v>0</v>
      </c>
      <c r="E193" s="24" t="b">
        <v>0</v>
      </c>
      <c r="F193" s="25" t="str">
        <f>HYPERLINK("https://www.cardmarket.com/en/Pokemon/Products/Singles?idCategory=1&amp;idProduct=sv10-237", "CM")</f>
        <v>CM</v>
      </c>
      <c r="G193" s="23" t="b">
        <v>0</v>
      </c>
      <c r="H193" s="24" t="b">
        <v>0</v>
      </c>
      <c r="I193" s="25" t="str">
        <f>HYPERLINK("https://www.cardmarket.com/en/Pokemon/Products/Singles?idCategory=1&amp;idProduct=sv10-238", "CM")</f>
        <v>CM</v>
      </c>
      <c r="J193" s="23" t="b">
        <v>0</v>
      </c>
      <c r="K193" s="24" t="b">
        <v>0</v>
      </c>
      <c r="L193" s="25" t="str">
        <f>HYPERLINK("https://www.cardmarket.com/en/Pokemon/Products/Singles?idCategory=1&amp;idProduct=sv10-239", "CM")</f>
        <v>CM</v>
      </c>
      <c r="M193" s="23" t="b">
        <v>0</v>
      </c>
      <c r="N193" s="24" t="b">
        <v>0</v>
      </c>
      <c r="O193" s="25" t="str">
        <f>HYPERLINK("https://www.cardmarket.com/en/Pokemon/Products/Singles?idCategory=1&amp;idProduct=sv10-240", "CM")</f>
        <v>CM</v>
      </c>
    </row>
    <row r="194" ht="7.5" customHeight="1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</row>
    <row r="195" ht="18.75" customHeight="1">
      <c r="A195" s="18" t="s">
        <v>1345</v>
      </c>
      <c r="B195" s="19" t="s">
        <v>2321</v>
      </c>
      <c r="C195" s="20"/>
      <c r="D195" s="18" t="s">
        <v>1346</v>
      </c>
      <c r="E195" s="19" t="s">
        <v>2335</v>
      </c>
      <c r="F195" s="20"/>
      <c r="G195" s="18" t="s">
        <v>1347</v>
      </c>
      <c r="H195" s="19" t="s">
        <v>1936</v>
      </c>
      <c r="I195" s="20"/>
      <c r="J195" s="18" t="s">
        <v>1197</v>
      </c>
      <c r="K195" s="19" t="s">
        <v>2243</v>
      </c>
      <c r="L195" s="20"/>
      <c r="M195" s="26"/>
      <c r="N195" s="26"/>
      <c r="O195" s="26"/>
    </row>
    <row r="196" ht="180.0" customHeight="1">
      <c r="A196" s="21" t="str">
        <f>IMAGE("https://assets.tcgdex.net/de/sv/sv10/241/low.jpg", 1)</f>
        <v/>
      </c>
      <c r="B196" s="22"/>
      <c r="C196" s="20"/>
      <c r="D196" s="21" t="str">
        <f>IMAGE("https://assets.tcgdex.net/de/sv/sv10/242/low.jpg", 1)</f>
        <v/>
      </c>
      <c r="E196" s="22"/>
      <c r="F196" s="20"/>
      <c r="G196" s="21" t="str">
        <f>IMAGE("https://assets.tcgdex.net/de/sv/sv10/243/low.jpg", 1)</f>
        <v/>
      </c>
      <c r="H196" s="22"/>
      <c r="I196" s="20"/>
      <c r="J196" s="21" t="str">
        <f>IMAGE("https://assets.tcgdex.net/de/sv/sv10/244/low.jpg", 1)</f>
        <v/>
      </c>
      <c r="K196" s="22"/>
      <c r="L196" s="20"/>
      <c r="M196" s="26"/>
      <c r="N196" s="26"/>
      <c r="O196" s="26"/>
    </row>
    <row r="197" ht="22.5" customHeight="1">
      <c r="A197" s="23" t="b">
        <v>0</v>
      </c>
      <c r="B197" s="24" t="b">
        <v>0</v>
      </c>
      <c r="C197" s="25" t="str">
        <f>HYPERLINK("https://www.cardmarket.com/en/Pokemon/Products/Singles?idCategory=1&amp;idProduct=sv10-241", "CM")</f>
        <v>CM</v>
      </c>
      <c r="D197" s="23" t="b">
        <v>0</v>
      </c>
      <c r="E197" s="24" t="b">
        <v>0</v>
      </c>
      <c r="F197" s="25" t="str">
        <f>HYPERLINK("https://www.cardmarket.com/en/Pokemon/Products/Singles?idCategory=1&amp;idProduct=sv10-242", "CM")</f>
        <v>CM</v>
      </c>
      <c r="G197" s="23" t="b">
        <v>0</v>
      </c>
      <c r="H197" s="24" t="b">
        <v>0</v>
      </c>
      <c r="I197" s="25" t="str">
        <f>HYPERLINK("https://www.cardmarket.com/en/Pokemon/Products/Singles?idCategory=1&amp;idProduct=sv10-243", "CM")</f>
        <v>CM</v>
      </c>
      <c r="J197" s="23" t="b">
        <v>0</v>
      </c>
      <c r="K197" s="24" t="b">
        <v>0</v>
      </c>
      <c r="L197" s="25" t="str">
        <f>HYPERLINK("https://www.cardmarket.com/en/Pokemon/Products/Singles?idCategory=1&amp;idProduct=sv10-244", "CM")</f>
        <v>CM</v>
      </c>
      <c r="M197" s="26"/>
      <c r="N197" s="26"/>
      <c r="O197" s="26"/>
    </row>
    <row r="198" ht="7.5" customHeight="1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</row>
  </sheetData>
  <mergeCells count="490">
    <mergeCell ref="H3:I3"/>
    <mergeCell ref="K3:L3"/>
    <mergeCell ref="J4:L4"/>
    <mergeCell ref="N3:O3"/>
    <mergeCell ref="M4:O4"/>
    <mergeCell ref="A1:N1"/>
    <mergeCell ref="A2:O2"/>
    <mergeCell ref="B3:C3"/>
    <mergeCell ref="A4:C4"/>
    <mergeCell ref="E3:F3"/>
    <mergeCell ref="D4:F4"/>
    <mergeCell ref="G4:I4"/>
    <mergeCell ref="K7:L7"/>
    <mergeCell ref="N7:O7"/>
    <mergeCell ref="M8:O8"/>
    <mergeCell ref="B7:C7"/>
    <mergeCell ref="A8:C8"/>
    <mergeCell ref="E7:F7"/>
    <mergeCell ref="D8:F8"/>
    <mergeCell ref="H7:I7"/>
    <mergeCell ref="G8:I8"/>
    <mergeCell ref="J8:L8"/>
    <mergeCell ref="K11:L11"/>
    <mergeCell ref="N11:O11"/>
    <mergeCell ref="M12:O12"/>
    <mergeCell ref="B11:C11"/>
    <mergeCell ref="A12:C12"/>
    <mergeCell ref="E11:F11"/>
    <mergeCell ref="D12:F12"/>
    <mergeCell ref="H11:I11"/>
    <mergeCell ref="G12:I12"/>
    <mergeCell ref="J12:L12"/>
    <mergeCell ref="K27:L27"/>
    <mergeCell ref="N27:O27"/>
    <mergeCell ref="M28:O28"/>
    <mergeCell ref="B27:C27"/>
    <mergeCell ref="A28:C28"/>
    <mergeCell ref="E27:F27"/>
    <mergeCell ref="D28:F28"/>
    <mergeCell ref="H27:I27"/>
    <mergeCell ref="G28:I28"/>
    <mergeCell ref="J28:L28"/>
    <mergeCell ref="K31:L31"/>
    <mergeCell ref="N31:O31"/>
    <mergeCell ref="M32:O32"/>
    <mergeCell ref="B31:C31"/>
    <mergeCell ref="A32:C32"/>
    <mergeCell ref="E31:F31"/>
    <mergeCell ref="D32:F32"/>
    <mergeCell ref="H31:I31"/>
    <mergeCell ref="G32:I32"/>
    <mergeCell ref="J32:L32"/>
    <mergeCell ref="K35:L35"/>
    <mergeCell ref="N35:O35"/>
    <mergeCell ref="M36:O36"/>
    <mergeCell ref="B35:C35"/>
    <mergeCell ref="A36:C36"/>
    <mergeCell ref="E35:F35"/>
    <mergeCell ref="D36:F36"/>
    <mergeCell ref="H35:I35"/>
    <mergeCell ref="G36:I36"/>
    <mergeCell ref="J36:L36"/>
    <mergeCell ref="K39:L39"/>
    <mergeCell ref="N39:O39"/>
    <mergeCell ref="M40:O40"/>
    <mergeCell ref="B39:C39"/>
    <mergeCell ref="A40:C40"/>
    <mergeCell ref="E39:F39"/>
    <mergeCell ref="D40:F40"/>
    <mergeCell ref="H39:I39"/>
    <mergeCell ref="G40:I40"/>
    <mergeCell ref="J40:L40"/>
    <mergeCell ref="K43:L43"/>
    <mergeCell ref="N43:O43"/>
    <mergeCell ref="M44:O44"/>
    <mergeCell ref="B43:C43"/>
    <mergeCell ref="A44:C44"/>
    <mergeCell ref="E43:F43"/>
    <mergeCell ref="D44:F44"/>
    <mergeCell ref="H43:I43"/>
    <mergeCell ref="G44:I44"/>
    <mergeCell ref="J44:L44"/>
    <mergeCell ref="K47:L47"/>
    <mergeCell ref="N47:O47"/>
    <mergeCell ref="M48:O48"/>
    <mergeCell ref="B47:C47"/>
    <mergeCell ref="A48:C48"/>
    <mergeCell ref="E47:F47"/>
    <mergeCell ref="D48:F48"/>
    <mergeCell ref="H47:I47"/>
    <mergeCell ref="G48:I48"/>
    <mergeCell ref="J48:L48"/>
    <mergeCell ref="K51:L51"/>
    <mergeCell ref="N51:O51"/>
    <mergeCell ref="M52:O52"/>
    <mergeCell ref="B51:C51"/>
    <mergeCell ref="A52:C52"/>
    <mergeCell ref="E51:F51"/>
    <mergeCell ref="D52:F52"/>
    <mergeCell ref="H51:I51"/>
    <mergeCell ref="G52:I52"/>
    <mergeCell ref="J52:L52"/>
    <mergeCell ref="K55:L55"/>
    <mergeCell ref="N55:O55"/>
    <mergeCell ref="M56:O56"/>
    <mergeCell ref="B55:C55"/>
    <mergeCell ref="A56:C56"/>
    <mergeCell ref="E55:F55"/>
    <mergeCell ref="D56:F56"/>
    <mergeCell ref="H55:I55"/>
    <mergeCell ref="G56:I56"/>
    <mergeCell ref="J56:L56"/>
    <mergeCell ref="K59:L59"/>
    <mergeCell ref="N59:O59"/>
    <mergeCell ref="M60:O60"/>
    <mergeCell ref="B59:C59"/>
    <mergeCell ref="A60:C60"/>
    <mergeCell ref="E59:F59"/>
    <mergeCell ref="D60:F60"/>
    <mergeCell ref="H59:I59"/>
    <mergeCell ref="G60:I60"/>
    <mergeCell ref="J60:L60"/>
    <mergeCell ref="K63:L63"/>
    <mergeCell ref="N63:O63"/>
    <mergeCell ref="M64:O64"/>
    <mergeCell ref="B63:C63"/>
    <mergeCell ref="A64:C64"/>
    <mergeCell ref="E63:F63"/>
    <mergeCell ref="D64:F64"/>
    <mergeCell ref="H63:I63"/>
    <mergeCell ref="G64:I64"/>
    <mergeCell ref="J64:L64"/>
    <mergeCell ref="K67:L67"/>
    <mergeCell ref="N67:O67"/>
    <mergeCell ref="M68:O68"/>
    <mergeCell ref="B67:C67"/>
    <mergeCell ref="A68:C68"/>
    <mergeCell ref="E67:F67"/>
    <mergeCell ref="D68:F68"/>
    <mergeCell ref="H67:I67"/>
    <mergeCell ref="G68:I68"/>
    <mergeCell ref="J68:L68"/>
    <mergeCell ref="K71:L71"/>
    <mergeCell ref="N71:O71"/>
    <mergeCell ref="M72:O72"/>
    <mergeCell ref="B71:C71"/>
    <mergeCell ref="A72:C72"/>
    <mergeCell ref="E71:F71"/>
    <mergeCell ref="D72:F72"/>
    <mergeCell ref="H71:I71"/>
    <mergeCell ref="G72:I72"/>
    <mergeCell ref="J72:L72"/>
    <mergeCell ref="K75:L75"/>
    <mergeCell ref="N75:O75"/>
    <mergeCell ref="M76:O76"/>
    <mergeCell ref="B75:C75"/>
    <mergeCell ref="A76:C76"/>
    <mergeCell ref="E75:F75"/>
    <mergeCell ref="D76:F76"/>
    <mergeCell ref="H75:I75"/>
    <mergeCell ref="G76:I76"/>
    <mergeCell ref="J76:L76"/>
    <mergeCell ref="K79:L79"/>
    <mergeCell ref="N79:O79"/>
    <mergeCell ref="M80:O80"/>
    <mergeCell ref="B79:C79"/>
    <mergeCell ref="A80:C80"/>
    <mergeCell ref="E79:F79"/>
    <mergeCell ref="D80:F80"/>
    <mergeCell ref="H79:I79"/>
    <mergeCell ref="G80:I80"/>
    <mergeCell ref="J80:L80"/>
    <mergeCell ref="K83:L83"/>
    <mergeCell ref="N83:O83"/>
    <mergeCell ref="M84:O84"/>
    <mergeCell ref="B83:C83"/>
    <mergeCell ref="A84:C84"/>
    <mergeCell ref="E83:F83"/>
    <mergeCell ref="D84:F84"/>
    <mergeCell ref="H83:I83"/>
    <mergeCell ref="G84:I84"/>
    <mergeCell ref="J84:L84"/>
    <mergeCell ref="K87:L87"/>
    <mergeCell ref="N87:O87"/>
    <mergeCell ref="M88:O88"/>
    <mergeCell ref="B87:C87"/>
    <mergeCell ref="A88:C88"/>
    <mergeCell ref="E87:F87"/>
    <mergeCell ref="D88:F88"/>
    <mergeCell ref="H87:I87"/>
    <mergeCell ref="G88:I88"/>
    <mergeCell ref="J88:L88"/>
    <mergeCell ref="K91:L91"/>
    <mergeCell ref="N91:O91"/>
    <mergeCell ref="M92:O92"/>
    <mergeCell ref="B91:C91"/>
    <mergeCell ref="A92:C92"/>
    <mergeCell ref="E91:F91"/>
    <mergeCell ref="D92:F92"/>
    <mergeCell ref="H91:I91"/>
    <mergeCell ref="G92:I92"/>
    <mergeCell ref="J92:L92"/>
    <mergeCell ref="K95:L95"/>
    <mergeCell ref="N95:O95"/>
    <mergeCell ref="M96:O96"/>
    <mergeCell ref="B95:C95"/>
    <mergeCell ref="A96:C96"/>
    <mergeCell ref="E95:F95"/>
    <mergeCell ref="D96:F96"/>
    <mergeCell ref="H95:I95"/>
    <mergeCell ref="G96:I96"/>
    <mergeCell ref="J96:L96"/>
    <mergeCell ref="K99:L99"/>
    <mergeCell ref="N99:O99"/>
    <mergeCell ref="M100:O100"/>
    <mergeCell ref="B99:C99"/>
    <mergeCell ref="A100:C100"/>
    <mergeCell ref="E99:F99"/>
    <mergeCell ref="D100:F100"/>
    <mergeCell ref="H99:I99"/>
    <mergeCell ref="G100:I100"/>
    <mergeCell ref="J100:L100"/>
    <mergeCell ref="K103:L103"/>
    <mergeCell ref="N103:O103"/>
    <mergeCell ref="M104:O104"/>
    <mergeCell ref="B103:C103"/>
    <mergeCell ref="A104:C104"/>
    <mergeCell ref="E103:F103"/>
    <mergeCell ref="D104:F104"/>
    <mergeCell ref="H103:I103"/>
    <mergeCell ref="G104:I104"/>
    <mergeCell ref="J104:L104"/>
    <mergeCell ref="K107:L107"/>
    <mergeCell ref="N107:O107"/>
    <mergeCell ref="M108:O108"/>
    <mergeCell ref="B107:C107"/>
    <mergeCell ref="A108:C108"/>
    <mergeCell ref="E107:F107"/>
    <mergeCell ref="D108:F108"/>
    <mergeCell ref="H107:I107"/>
    <mergeCell ref="G108:I108"/>
    <mergeCell ref="J108:L108"/>
    <mergeCell ref="K111:L111"/>
    <mergeCell ref="N111:O111"/>
    <mergeCell ref="M112:O112"/>
    <mergeCell ref="B111:C111"/>
    <mergeCell ref="A112:C112"/>
    <mergeCell ref="E111:F111"/>
    <mergeCell ref="D112:F112"/>
    <mergeCell ref="H111:I111"/>
    <mergeCell ref="G112:I112"/>
    <mergeCell ref="J112:L112"/>
    <mergeCell ref="K115:L115"/>
    <mergeCell ref="N115:O115"/>
    <mergeCell ref="M116:O116"/>
    <mergeCell ref="B115:C115"/>
    <mergeCell ref="A116:C116"/>
    <mergeCell ref="E115:F115"/>
    <mergeCell ref="D116:F116"/>
    <mergeCell ref="H115:I115"/>
    <mergeCell ref="G116:I116"/>
    <mergeCell ref="J116:L116"/>
    <mergeCell ref="K119:L119"/>
    <mergeCell ref="N119:O119"/>
    <mergeCell ref="M120:O120"/>
    <mergeCell ref="B119:C119"/>
    <mergeCell ref="A120:C120"/>
    <mergeCell ref="E119:F119"/>
    <mergeCell ref="D120:F120"/>
    <mergeCell ref="H119:I119"/>
    <mergeCell ref="G120:I120"/>
    <mergeCell ref="J120:L120"/>
    <mergeCell ref="K123:L123"/>
    <mergeCell ref="N123:O123"/>
    <mergeCell ref="M124:O124"/>
    <mergeCell ref="B123:C123"/>
    <mergeCell ref="A124:C124"/>
    <mergeCell ref="E123:F123"/>
    <mergeCell ref="D124:F124"/>
    <mergeCell ref="H123:I123"/>
    <mergeCell ref="G124:I124"/>
    <mergeCell ref="J124:L124"/>
    <mergeCell ref="K127:L127"/>
    <mergeCell ref="N127:O127"/>
    <mergeCell ref="M128:O128"/>
    <mergeCell ref="B127:C127"/>
    <mergeCell ref="A128:C128"/>
    <mergeCell ref="E127:F127"/>
    <mergeCell ref="D128:F128"/>
    <mergeCell ref="H127:I127"/>
    <mergeCell ref="G128:I128"/>
    <mergeCell ref="J128:L128"/>
    <mergeCell ref="K131:L131"/>
    <mergeCell ref="N131:O131"/>
    <mergeCell ref="M132:O132"/>
    <mergeCell ref="B131:C131"/>
    <mergeCell ref="A132:C132"/>
    <mergeCell ref="E131:F131"/>
    <mergeCell ref="D132:F132"/>
    <mergeCell ref="H131:I131"/>
    <mergeCell ref="G132:I132"/>
    <mergeCell ref="J132:L132"/>
    <mergeCell ref="K135:L135"/>
    <mergeCell ref="N135:O135"/>
    <mergeCell ref="M136:O136"/>
    <mergeCell ref="B135:C135"/>
    <mergeCell ref="A136:C136"/>
    <mergeCell ref="E135:F135"/>
    <mergeCell ref="D136:F136"/>
    <mergeCell ref="H135:I135"/>
    <mergeCell ref="G136:I136"/>
    <mergeCell ref="J136:L136"/>
    <mergeCell ref="K139:L139"/>
    <mergeCell ref="N139:O139"/>
    <mergeCell ref="M140:O140"/>
    <mergeCell ref="B139:C139"/>
    <mergeCell ref="A140:C140"/>
    <mergeCell ref="E139:F139"/>
    <mergeCell ref="D140:F140"/>
    <mergeCell ref="H139:I139"/>
    <mergeCell ref="G140:I140"/>
    <mergeCell ref="J140:L140"/>
    <mergeCell ref="K143:L143"/>
    <mergeCell ref="N143:O143"/>
    <mergeCell ref="M144:O144"/>
    <mergeCell ref="B143:C143"/>
    <mergeCell ref="A144:C144"/>
    <mergeCell ref="E143:F143"/>
    <mergeCell ref="D144:F144"/>
    <mergeCell ref="H143:I143"/>
    <mergeCell ref="G144:I144"/>
    <mergeCell ref="J144:L144"/>
    <mergeCell ref="K147:L147"/>
    <mergeCell ref="N147:O147"/>
    <mergeCell ref="M148:O148"/>
    <mergeCell ref="B147:C147"/>
    <mergeCell ref="A148:C148"/>
    <mergeCell ref="E147:F147"/>
    <mergeCell ref="D148:F148"/>
    <mergeCell ref="H147:I147"/>
    <mergeCell ref="G148:I148"/>
    <mergeCell ref="J148:L148"/>
    <mergeCell ref="K151:L151"/>
    <mergeCell ref="N151:O151"/>
    <mergeCell ref="M152:O152"/>
    <mergeCell ref="B151:C151"/>
    <mergeCell ref="A152:C152"/>
    <mergeCell ref="E151:F151"/>
    <mergeCell ref="D152:F152"/>
    <mergeCell ref="H151:I151"/>
    <mergeCell ref="G152:I152"/>
    <mergeCell ref="J152:L152"/>
    <mergeCell ref="K155:L155"/>
    <mergeCell ref="N155:O155"/>
    <mergeCell ref="M156:O156"/>
    <mergeCell ref="B155:C155"/>
    <mergeCell ref="A156:C156"/>
    <mergeCell ref="E155:F155"/>
    <mergeCell ref="D156:F156"/>
    <mergeCell ref="H155:I155"/>
    <mergeCell ref="G156:I156"/>
    <mergeCell ref="J156:L156"/>
    <mergeCell ref="K159:L159"/>
    <mergeCell ref="N159:O159"/>
    <mergeCell ref="M160:O160"/>
    <mergeCell ref="B159:C159"/>
    <mergeCell ref="A160:C160"/>
    <mergeCell ref="E159:F159"/>
    <mergeCell ref="D160:F160"/>
    <mergeCell ref="H159:I159"/>
    <mergeCell ref="G160:I160"/>
    <mergeCell ref="J160:L160"/>
    <mergeCell ref="K191:L191"/>
    <mergeCell ref="N191:O191"/>
    <mergeCell ref="M192:O192"/>
    <mergeCell ref="B191:C191"/>
    <mergeCell ref="A192:C192"/>
    <mergeCell ref="E191:F191"/>
    <mergeCell ref="D192:F192"/>
    <mergeCell ref="H191:I191"/>
    <mergeCell ref="G192:I192"/>
    <mergeCell ref="J192:L192"/>
    <mergeCell ref="K15:L15"/>
    <mergeCell ref="N15:O15"/>
    <mergeCell ref="M16:O16"/>
    <mergeCell ref="B15:C15"/>
    <mergeCell ref="A16:C16"/>
    <mergeCell ref="E15:F15"/>
    <mergeCell ref="D16:F16"/>
    <mergeCell ref="H15:I15"/>
    <mergeCell ref="G16:I16"/>
    <mergeCell ref="J16:L16"/>
    <mergeCell ref="K19:L19"/>
    <mergeCell ref="N19:O19"/>
    <mergeCell ref="M20:O20"/>
    <mergeCell ref="B19:C19"/>
    <mergeCell ref="A20:C20"/>
    <mergeCell ref="E19:F19"/>
    <mergeCell ref="D20:F20"/>
    <mergeCell ref="H19:I19"/>
    <mergeCell ref="G20:I20"/>
    <mergeCell ref="J20:L20"/>
    <mergeCell ref="K23:L23"/>
    <mergeCell ref="N23:O23"/>
    <mergeCell ref="M24:O24"/>
    <mergeCell ref="B23:C23"/>
    <mergeCell ref="A24:C24"/>
    <mergeCell ref="E23:F23"/>
    <mergeCell ref="D24:F24"/>
    <mergeCell ref="H23:I23"/>
    <mergeCell ref="G24:I24"/>
    <mergeCell ref="J24:L24"/>
    <mergeCell ref="B195:C195"/>
    <mergeCell ref="A196:C196"/>
    <mergeCell ref="E195:F195"/>
    <mergeCell ref="D196:F196"/>
    <mergeCell ref="H195:I195"/>
    <mergeCell ref="G196:I196"/>
    <mergeCell ref="K195:L195"/>
    <mergeCell ref="J196:L196"/>
    <mergeCell ref="K163:L163"/>
    <mergeCell ref="N163:O163"/>
    <mergeCell ref="M164:O164"/>
    <mergeCell ref="B163:C163"/>
    <mergeCell ref="A164:C164"/>
    <mergeCell ref="E163:F163"/>
    <mergeCell ref="D164:F164"/>
    <mergeCell ref="H163:I163"/>
    <mergeCell ref="G164:I164"/>
    <mergeCell ref="J164:L164"/>
    <mergeCell ref="K167:L167"/>
    <mergeCell ref="N167:O167"/>
    <mergeCell ref="M168:O168"/>
    <mergeCell ref="B167:C167"/>
    <mergeCell ref="A168:C168"/>
    <mergeCell ref="E167:F167"/>
    <mergeCell ref="D168:F168"/>
    <mergeCell ref="H167:I167"/>
    <mergeCell ref="G168:I168"/>
    <mergeCell ref="J168:L168"/>
    <mergeCell ref="K171:L171"/>
    <mergeCell ref="N171:O171"/>
    <mergeCell ref="M172:O172"/>
    <mergeCell ref="B171:C171"/>
    <mergeCell ref="A172:C172"/>
    <mergeCell ref="E171:F171"/>
    <mergeCell ref="D172:F172"/>
    <mergeCell ref="H171:I171"/>
    <mergeCell ref="G172:I172"/>
    <mergeCell ref="J172:L172"/>
    <mergeCell ref="K175:L175"/>
    <mergeCell ref="N175:O175"/>
    <mergeCell ref="M176:O176"/>
    <mergeCell ref="B175:C175"/>
    <mergeCell ref="A176:C176"/>
    <mergeCell ref="E175:F175"/>
    <mergeCell ref="D176:F176"/>
    <mergeCell ref="H175:I175"/>
    <mergeCell ref="G176:I176"/>
    <mergeCell ref="J176:L176"/>
    <mergeCell ref="K179:L179"/>
    <mergeCell ref="N179:O179"/>
    <mergeCell ref="M180:O180"/>
    <mergeCell ref="B179:C179"/>
    <mergeCell ref="A180:C180"/>
    <mergeCell ref="E179:F179"/>
    <mergeCell ref="D180:F180"/>
    <mergeCell ref="H179:I179"/>
    <mergeCell ref="G180:I180"/>
    <mergeCell ref="J180:L180"/>
    <mergeCell ref="K183:L183"/>
    <mergeCell ref="N183:O183"/>
    <mergeCell ref="M184:O184"/>
    <mergeCell ref="B183:C183"/>
    <mergeCell ref="A184:C184"/>
    <mergeCell ref="E183:F183"/>
    <mergeCell ref="D184:F184"/>
    <mergeCell ref="H183:I183"/>
    <mergeCell ref="G184:I184"/>
    <mergeCell ref="J184:L184"/>
    <mergeCell ref="K187:L187"/>
    <mergeCell ref="N187:O187"/>
    <mergeCell ref="M188:O188"/>
    <mergeCell ref="B187:C187"/>
    <mergeCell ref="A188:C188"/>
    <mergeCell ref="E187:F187"/>
    <mergeCell ref="D188:F188"/>
    <mergeCell ref="H187:I187"/>
    <mergeCell ref="G188:I188"/>
    <mergeCell ref="J188:L188"/>
  </mergeCells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.13"/>
    <col customWidth="1" min="3" max="3" width="12.63"/>
    <col customWidth="1" min="4" max="5" width="5.13"/>
    <col customWidth="1" min="6" max="6" width="12.63"/>
    <col customWidth="1" min="7" max="8" width="5.13"/>
    <col customWidth="1" min="9" max="9" width="12.63"/>
    <col customWidth="1" min="10" max="11" width="5.13"/>
    <col customWidth="1" min="12" max="12" width="12.63"/>
    <col customWidth="1" min="13" max="14" width="5.13"/>
    <col customWidth="1" min="15" max="15" width="12.63"/>
  </cols>
  <sheetData>
    <row r="1" ht="18.75" customHeight="1">
      <c r="A1" s="16" t="s">
        <v>2387</v>
      </c>
      <c r="O1" s="17" t="b">
        <v>0</v>
      </c>
    </row>
    <row r="2" ht="18.75" customHeight="1">
      <c r="A2" s="3" t="s">
        <v>2388</v>
      </c>
    </row>
    <row r="3" ht="18.75" customHeight="1">
      <c r="A3" s="18" t="s">
        <v>736</v>
      </c>
      <c r="B3" s="19" t="s">
        <v>2389</v>
      </c>
      <c r="C3" s="20"/>
      <c r="D3" s="18" t="s">
        <v>738</v>
      </c>
      <c r="E3" s="19" t="s">
        <v>2390</v>
      </c>
      <c r="F3" s="20"/>
      <c r="G3" s="18" t="s">
        <v>739</v>
      </c>
      <c r="H3" s="19" t="s">
        <v>2391</v>
      </c>
      <c r="I3" s="20"/>
      <c r="J3" s="18" t="s">
        <v>740</v>
      </c>
      <c r="K3" s="19" t="s">
        <v>1593</v>
      </c>
      <c r="L3" s="20"/>
      <c r="M3" s="18" t="s">
        <v>742</v>
      </c>
      <c r="N3" s="19" t="s">
        <v>1594</v>
      </c>
      <c r="O3" s="20"/>
    </row>
    <row r="4" ht="180.0" customHeight="1">
      <c r="A4" s="21" t="str">
        <f>IMAGE("https://assets.tcgdex.net/de/sv/sv10.5b/001/low.jpg", 1)</f>
        <v/>
      </c>
      <c r="B4" s="22"/>
      <c r="C4" s="20"/>
      <c r="D4" s="21" t="str">
        <f>IMAGE("https://assets.tcgdex.net/de/sv/sv10.5b/002/low.jpg", 1)</f>
        <v/>
      </c>
      <c r="E4" s="22"/>
      <c r="F4" s="20"/>
      <c r="G4" s="21" t="str">
        <f>IMAGE("https://assets.tcgdex.net/de/sv/sv10.5b/003/low.jpg", 1)</f>
        <v/>
      </c>
      <c r="H4" s="22"/>
      <c r="I4" s="20"/>
      <c r="J4" s="21" t="str">
        <f>IMAGE("https://assets.tcgdex.net/de/sv/sv10.5b/004/low.jpg", 1)</f>
        <v/>
      </c>
      <c r="K4" s="22"/>
      <c r="L4" s="20"/>
      <c r="M4" s="21" t="str">
        <f>IMAGE("https://assets.tcgdex.net/de/sv/sv10.5b/005/low.jpg", 1)</f>
        <v/>
      </c>
      <c r="N4" s="22"/>
      <c r="O4" s="20"/>
    </row>
    <row r="5" ht="22.5" customHeight="1">
      <c r="A5" s="23" t="b">
        <v>0</v>
      </c>
      <c r="B5" s="24" t="b">
        <v>0</v>
      </c>
      <c r="C5" s="39" t="s">
        <v>2392</v>
      </c>
      <c r="D5" s="23" t="b">
        <v>0</v>
      </c>
      <c r="E5" s="24" t="b">
        <v>0</v>
      </c>
      <c r="F5" s="39" t="s">
        <v>2392</v>
      </c>
      <c r="G5" s="23" t="b">
        <v>0</v>
      </c>
      <c r="H5" s="24" t="b">
        <v>0</v>
      </c>
      <c r="I5" s="39" t="s">
        <v>2392</v>
      </c>
      <c r="J5" s="23" t="b">
        <v>0</v>
      </c>
      <c r="K5" s="24" t="b">
        <v>0</v>
      </c>
      <c r="L5" s="39" t="s">
        <v>2392</v>
      </c>
      <c r="M5" s="23" t="b">
        <v>0</v>
      </c>
      <c r="N5" s="24" t="b">
        <v>0</v>
      </c>
      <c r="O5" s="39" t="s">
        <v>2392</v>
      </c>
    </row>
    <row r="6" ht="7.5" customHeight="1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</row>
    <row r="7" ht="18.75" customHeight="1">
      <c r="A7" s="18" t="s">
        <v>529</v>
      </c>
      <c r="B7" s="19" t="s">
        <v>2175</v>
      </c>
      <c r="C7" s="20"/>
      <c r="D7" s="18" t="s">
        <v>744</v>
      </c>
      <c r="E7" s="19" t="s">
        <v>2176</v>
      </c>
      <c r="F7" s="20"/>
      <c r="G7" s="18" t="s">
        <v>531</v>
      </c>
      <c r="H7" s="19" t="s">
        <v>1726</v>
      </c>
      <c r="I7" s="20"/>
      <c r="J7" s="18" t="s">
        <v>746</v>
      </c>
      <c r="K7" s="19" t="s">
        <v>2177</v>
      </c>
      <c r="L7" s="20"/>
      <c r="M7" s="18" t="s">
        <v>748</v>
      </c>
      <c r="N7" s="19" t="s">
        <v>1366</v>
      </c>
      <c r="O7" s="20"/>
    </row>
    <row r="8" ht="180.0" customHeight="1">
      <c r="A8" s="21" t="str">
        <f>IMAGE("https://assets.tcgdex.net/de/sv/sv10.5b/006/low.jpg", 1)</f>
        <v/>
      </c>
      <c r="B8" s="22"/>
      <c r="C8" s="20"/>
      <c r="D8" s="21" t="str">
        <f>IMAGE("https://assets.tcgdex.net/de/sv/sv10.5b/007/low.jpg", 1)</f>
        <v/>
      </c>
      <c r="E8" s="22"/>
      <c r="F8" s="20"/>
      <c r="G8" s="21" t="str">
        <f>IMAGE("https://assets.tcgdex.net/de/sv/sv10.5b/008/low.jpg", 1)</f>
        <v/>
      </c>
      <c r="H8" s="22"/>
      <c r="I8" s="20"/>
      <c r="J8" s="21" t="str">
        <f>IMAGE("https://assets.tcgdex.net/de/sv/sv10.5b/009/low.jpg", 1)</f>
        <v/>
      </c>
      <c r="K8" s="22"/>
      <c r="L8" s="20"/>
      <c r="M8" s="21" t="str">
        <f>IMAGE("https://assets.tcgdex.net/de/sv/sv10.5b/010/low.jpg", 1)</f>
        <v/>
      </c>
      <c r="N8" s="22"/>
      <c r="O8" s="20"/>
    </row>
    <row r="9" ht="22.5" customHeight="1">
      <c r="A9" s="23" t="b">
        <v>0</v>
      </c>
      <c r="B9" s="24" t="b">
        <v>0</v>
      </c>
      <c r="C9" s="39" t="s">
        <v>2392</v>
      </c>
      <c r="D9" s="23" t="b">
        <v>0</v>
      </c>
      <c r="E9" s="24" t="b">
        <v>0</v>
      </c>
      <c r="F9" s="39" t="s">
        <v>2392</v>
      </c>
      <c r="G9" s="23" t="b">
        <v>0</v>
      </c>
      <c r="H9" s="24" t="b">
        <v>0</v>
      </c>
      <c r="I9" s="39" t="s">
        <v>2392</v>
      </c>
      <c r="J9" s="23" t="b">
        <v>0</v>
      </c>
      <c r="K9" s="24" t="b">
        <v>0</v>
      </c>
      <c r="L9" s="39" t="s">
        <v>2392</v>
      </c>
      <c r="M9" s="23" t="b">
        <v>0</v>
      </c>
      <c r="N9" s="24" t="b">
        <v>0</v>
      </c>
      <c r="O9" s="39" t="s">
        <v>2392</v>
      </c>
    </row>
    <row r="10" ht="7.5" customHeight="1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</row>
    <row r="11" ht="18.75" customHeight="1">
      <c r="A11" s="18" t="s">
        <v>750</v>
      </c>
      <c r="B11" s="19" t="s">
        <v>1367</v>
      </c>
      <c r="C11" s="20"/>
      <c r="D11" s="18" t="s">
        <v>752</v>
      </c>
      <c r="E11" s="19" t="s">
        <v>1789</v>
      </c>
      <c r="F11" s="20"/>
      <c r="G11" s="18" t="s">
        <v>754</v>
      </c>
      <c r="H11" s="19" t="s">
        <v>1382</v>
      </c>
      <c r="I11" s="20"/>
      <c r="J11" s="18" t="s">
        <v>755</v>
      </c>
      <c r="K11" s="19" t="s">
        <v>1383</v>
      </c>
      <c r="L11" s="20"/>
      <c r="M11" s="18" t="s">
        <v>533</v>
      </c>
      <c r="N11" s="19" t="s">
        <v>972</v>
      </c>
      <c r="O11" s="20"/>
    </row>
    <row r="12" ht="180.0" customHeight="1">
      <c r="A12" s="21" t="str">
        <f>IMAGE("https://assets.tcgdex.net/de/sv/sv10.5b/011/low.jpg", 1)</f>
        <v/>
      </c>
      <c r="B12" s="22"/>
      <c r="C12" s="20"/>
      <c r="D12" s="21" t="str">
        <f>IMAGE("https://assets.tcgdex.net/de/sv/sv10.5b/012/low.jpg", 1)</f>
        <v/>
      </c>
      <c r="E12" s="22"/>
      <c r="F12" s="20"/>
      <c r="G12" s="21" t="str">
        <f>IMAGE("https://assets.tcgdex.net/de/sv/sv10.5b/013/low.jpg", 1)</f>
        <v/>
      </c>
      <c r="H12" s="22"/>
      <c r="I12" s="20"/>
      <c r="J12" s="21" t="str">
        <f>IMAGE("https://assets.tcgdex.net/de/sv/sv10.5b/014/low.jpg", 1)</f>
        <v/>
      </c>
      <c r="K12" s="22"/>
      <c r="L12" s="20"/>
      <c r="M12" s="21" t="str">
        <f>IMAGE("https://assets.tcgdex.net/de/sv/sv10.5b/015/low.jpg", 1)</f>
        <v/>
      </c>
      <c r="N12" s="22"/>
      <c r="O12" s="20"/>
    </row>
    <row r="13" ht="22.5" customHeight="1">
      <c r="A13" s="23" t="b">
        <v>0</v>
      </c>
      <c r="B13" s="24" t="b">
        <v>0</v>
      </c>
      <c r="C13" s="39" t="s">
        <v>2392</v>
      </c>
      <c r="D13" s="23" t="b">
        <v>0</v>
      </c>
      <c r="E13" s="24" t="b">
        <v>0</v>
      </c>
      <c r="F13" s="39" t="s">
        <v>2392</v>
      </c>
      <c r="G13" s="23" t="b">
        <v>0</v>
      </c>
      <c r="H13" s="24" t="b">
        <v>0</v>
      </c>
      <c r="I13" s="39" t="s">
        <v>2392</v>
      </c>
      <c r="J13" s="23" t="b">
        <v>0</v>
      </c>
      <c r="K13" s="24" t="b">
        <v>0</v>
      </c>
      <c r="L13" s="39" t="s">
        <v>2392</v>
      </c>
      <c r="M13" s="23" t="b">
        <v>0</v>
      </c>
      <c r="N13" s="24" t="b">
        <v>0</v>
      </c>
      <c r="O13" s="39" t="s">
        <v>2392</v>
      </c>
    </row>
    <row r="14" ht="7.5" customHeight="1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</row>
    <row r="15" ht="18.75" customHeight="1">
      <c r="A15" s="18" t="s">
        <v>535</v>
      </c>
      <c r="B15" s="19" t="s">
        <v>973</v>
      </c>
      <c r="C15" s="20"/>
      <c r="D15" s="18" t="s">
        <v>537</v>
      </c>
      <c r="E15" s="19" t="s">
        <v>1614</v>
      </c>
      <c r="F15" s="20"/>
      <c r="G15" s="18" t="s">
        <v>756</v>
      </c>
      <c r="H15" s="19" t="s">
        <v>1615</v>
      </c>
      <c r="I15" s="20"/>
      <c r="J15" s="18" t="s">
        <v>539</v>
      </c>
      <c r="K15" s="19" t="s">
        <v>1390</v>
      </c>
      <c r="L15" s="20"/>
      <c r="M15" s="18" t="s">
        <v>541</v>
      </c>
      <c r="N15" s="19" t="s">
        <v>1391</v>
      </c>
      <c r="O15" s="20"/>
    </row>
    <row r="16" ht="180.0" customHeight="1">
      <c r="A16" s="21" t="str">
        <f>IMAGE("https://assets.tcgdex.net/de/sv/sv10.5b/016/low.jpg", 1)</f>
        <v/>
      </c>
      <c r="B16" s="22"/>
      <c r="C16" s="20"/>
      <c r="D16" s="21" t="str">
        <f>IMAGE("https://assets.tcgdex.net/de/sv/sv10.5b/017/low.jpg", 1)</f>
        <v/>
      </c>
      <c r="E16" s="22"/>
      <c r="F16" s="20"/>
      <c r="G16" s="21" t="str">
        <f>IMAGE("https://assets.tcgdex.net/de/sv/sv10.5b/018/low.jpg", 1)</f>
        <v/>
      </c>
      <c r="H16" s="22"/>
      <c r="I16" s="20"/>
      <c r="J16" s="21" t="str">
        <f>IMAGE("https://assets.tcgdex.net/de/sv/sv10.5b/019/low.jpg", 1)</f>
        <v/>
      </c>
      <c r="K16" s="22"/>
      <c r="L16" s="20"/>
      <c r="M16" s="21" t="str">
        <f>IMAGE("https://assets.tcgdex.net/de/sv/sv10.5b/020/low.jpg", 1)</f>
        <v/>
      </c>
      <c r="N16" s="22"/>
      <c r="O16" s="20"/>
    </row>
    <row r="17" ht="22.5" customHeight="1">
      <c r="A17" s="23" t="b">
        <v>0</v>
      </c>
      <c r="B17" s="24" t="b">
        <v>0</v>
      </c>
      <c r="C17" s="39" t="s">
        <v>2392</v>
      </c>
      <c r="D17" s="23" t="b">
        <v>0</v>
      </c>
      <c r="E17" s="24" t="b">
        <v>0</v>
      </c>
      <c r="F17" s="39" t="s">
        <v>2392</v>
      </c>
      <c r="G17" s="23" t="b">
        <v>0</v>
      </c>
      <c r="H17" s="24" t="b">
        <v>0</v>
      </c>
      <c r="I17" s="39" t="s">
        <v>2392</v>
      </c>
      <c r="J17" s="23" t="b">
        <v>0</v>
      </c>
      <c r="K17" s="24" t="b">
        <v>0</v>
      </c>
      <c r="L17" s="39" t="s">
        <v>2392</v>
      </c>
      <c r="M17" s="23" t="b">
        <v>0</v>
      </c>
      <c r="N17" s="24" t="b">
        <v>0</v>
      </c>
      <c r="O17" s="39" t="s">
        <v>2392</v>
      </c>
    </row>
    <row r="18" ht="7.5" customHeight="1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</row>
    <row r="19" ht="18.75" customHeight="1">
      <c r="A19" s="18" t="s">
        <v>543</v>
      </c>
      <c r="B19" s="19" t="s">
        <v>1392</v>
      </c>
      <c r="C19" s="20"/>
      <c r="D19" s="18" t="s">
        <v>545</v>
      </c>
      <c r="E19" s="19" t="s">
        <v>2005</v>
      </c>
      <c r="F19" s="20"/>
      <c r="G19" s="18" t="s">
        <v>547</v>
      </c>
      <c r="H19" s="19" t="s">
        <v>2006</v>
      </c>
      <c r="I19" s="20"/>
      <c r="J19" s="18" t="s">
        <v>549</v>
      </c>
      <c r="K19" s="19" t="s">
        <v>1262</v>
      </c>
      <c r="L19" s="20"/>
      <c r="M19" s="18" t="s">
        <v>758</v>
      </c>
      <c r="N19" s="19" t="s">
        <v>1393</v>
      </c>
      <c r="O19" s="20"/>
    </row>
    <row r="20" ht="180.0" customHeight="1">
      <c r="A20" s="21" t="str">
        <f>IMAGE("https://assets.tcgdex.net/de/sv/sv10.5b/021/low.jpg", 1)</f>
        <v/>
      </c>
      <c r="B20" s="22"/>
      <c r="C20" s="20"/>
      <c r="D20" s="21" t="str">
        <f>IMAGE("https://assets.tcgdex.net/de/sv/sv10.5b/022/low.jpg", 1)</f>
        <v/>
      </c>
      <c r="E20" s="22"/>
      <c r="F20" s="20"/>
      <c r="G20" s="21" t="str">
        <f>IMAGE("https://assets.tcgdex.net/de/sv/sv10.5b/023/low.jpg", 1)</f>
        <v/>
      </c>
      <c r="H20" s="22"/>
      <c r="I20" s="20"/>
      <c r="J20" s="21" t="str">
        <f>IMAGE("https://assets.tcgdex.net/de/sv/sv10.5b/024/low.jpg", 1)</f>
        <v/>
      </c>
      <c r="K20" s="22"/>
      <c r="L20" s="20"/>
      <c r="M20" s="21" t="str">
        <f>IMAGE("https://assets.tcgdex.net/de/sv/sv10.5b/025/low.jpg", 1)</f>
        <v/>
      </c>
      <c r="N20" s="22"/>
      <c r="O20" s="20"/>
    </row>
    <row r="21" ht="22.5" customHeight="1">
      <c r="A21" s="23" t="b">
        <v>0</v>
      </c>
      <c r="B21" s="24" t="b">
        <v>0</v>
      </c>
      <c r="C21" s="39" t="s">
        <v>2392</v>
      </c>
      <c r="D21" s="23" t="b">
        <v>0</v>
      </c>
      <c r="E21" s="24" t="b">
        <v>0</v>
      </c>
      <c r="F21" s="39" t="s">
        <v>2392</v>
      </c>
      <c r="G21" s="23" t="b">
        <v>0</v>
      </c>
      <c r="H21" s="24" t="b">
        <v>0</v>
      </c>
      <c r="I21" s="39" t="s">
        <v>2392</v>
      </c>
      <c r="J21" s="23" t="b">
        <v>0</v>
      </c>
      <c r="K21" s="24" t="b">
        <v>0</v>
      </c>
      <c r="L21" s="39" t="s">
        <v>2392</v>
      </c>
      <c r="M21" s="23" t="b">
        <v>0</v>
      </c>
      <c r="N21" s="24" t="b">
        <v>0</v>
      </c>
      <c r="O21" s="39" t="s">
        <v>2392</v>
      </c>
    </row>
    <row r="22" ht="7.5" customHeight="1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</row>
    <row r="23" ht="18.75" customHeight="1">
      <c r="A23" s="18" t="s">
        <v>760</v>
      </c>
      <c r="B23" s="19" t="s">
        <v>1394</v>
      </c>
      <c r="C23" s="20"/>
      <c r="D23" s="18" t="s">
        <v>762</v>
      </c>
      <c r="E23" s="19" t="s">
        <v>1395</v>
      </c>
      <c r="F23" s="20"/>
      <c r="G23" s="18" t="s">
        <v>551</v>
      </c>
      <c r="H23" s="19" t="s">
        <v>2393</v>
      </c>
      <c r="I23" s="20"/>
      <c r="J23" s="18" t="s">
        <v>553</v>
      </c>
      <c r="K23" s="19" t="s">
        <v>983</v>
      </c>
      <c r="L23" s="20"/>
      <c r="M23" s="18" t="s">
        <v>555</v>
      </c>
      <c r="N23" s="19" t="s">
        <v>1400</v>
      </c>
      <c r="O23" s="20"/>
    </row>
    <row r="24" ht="180.0" customHeight="1">
      <c r="A24" s="21" t="str">
        <f>IMAGE("https://assets.tcgdex.net/de/sv/sv10.5b/026/low.jpg", 1)</f>
        <v/>
      </c>
      <c r="B24" s="22"/>
      <c r="C24" s="20"/>
      <c r="D24" s="21" t="str">
        <f>IMAGE("https://assets.tcgdex.net/de/sv/sv10.5b/027/low.jpg", 1)</f>
        <v/>
      </c>
      <c r="E24" s="22"/>
      <c r="F24" s="20"/>
      <c r="G24" s="21" t="str">
        <f>IMAGE("https://assets.tcgdex.net/de/sv/sv10.5b/028/low.jpg", 1)</f>
        <v/>
      </c>
      <c r="H24" s="22"/>
      <c r="I24" s="20"/>
      <c r="J24" s="21" t="str">
        <f>IMAGE("https://assets.tcgdex.net/de/sv/sv10.5b/029/low.jpg", 1)</f>
        <v/>
      </c>
      <c r="K24" s="22"/>
      <c r="L24" s="20"/>
      <c r="M24" s="21" t="str">
        <f>IMAGE("https://assets.tcgdex.net/de/sv/sv10.5b/030/low.jpg", 1)</f>
        <v/>
      </c>
      <c r="N24" s="22"/>
      <c r="O24" s="20"/>
    </row>
    <row r="25" ht="22.5" customHeight="1">
      <c r="A25" s="23" t="b">
        <v>0</v>
      </c>
      <c r="B25" s="24" t="b">
        <v>0</v>
      </c>
      <c r="C25" s="39" t="s">
        <v>2392</v>
      </c>
      <c r="D25" s="23" t="b">
        <v>0</v>
      </c>
      <c r="E25" s="24" t="b">
        <v>0</v>
      </c>
      <c r="F25" s="39" t="s">
        <v>2392</v>
      </c>
      <c r="G25" s="23" t="b">
        <v>0</v>
      </c>
      <c r="H25" s="24" t="b">
        <v>0</v>
      </c>
      <c r="I25" s="39" t="s">
        <v>2392</v>
      </c>
      <c r="J25" s="23" t="b">
        <v>0</v>
      </c>
      <c r="K25" s="24" t="b">
        <v>0</v>
      </c>
      <c r="L25" s="39" t="s">
        <v>2392</v>
      </c>
      <c r="M25" s="23" t="b">
        <v>0</v>
      </c>
      <c r="N25" s="24" t="b">
        <v>0</v>
      </c>
      <c r="O25" s="39" t="s">
        <v>2392</v>
      </c>
    </row>
    <row r="26" ht="7.5" customHeight="1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</row>
    <row r="27" ht="18.75" customHeight="1">
      <c r="A27" s="18" t="s">
        <v>557</v>
      </c>
      <c r="B27" s="19" t="s">
        <v>924</v>
      </c>
      <c r="C27" s="20"/>
      <c r="D27" s="18" t="s">
        <v>559</v>
      </c>
      <c r="E27" s="19" t="s">
        <v>1401</v>
      </c>
      <c r="F27" s="20"/>
      <c r="G27" s="18" t="s">
        <v>561</v>
      </c>
      <c r="H27" s="19" t="s">
        <v>1402</v>
      </c>
      <c r="I27" s="20"/>
      <c r="J27" s="18" t="s">
        <v>563</v>
      </c>
      <c r="K27" s="19" t="s">
        <v>2394</v>
      </c>
      <c r="L27" s="20"/>
      <c r="M27" s="18" t="s">
        <v>565</v>
      </c>
      <c r="N27" s="19" t="s">
        <v>2395</v>
      </c>
      <c r="O27" s="20"/>
    </row>
    <row r="28" ht="180.0" customHeight="1">
      <c r="A28" s="21" t="str">
        <f>IMAGE("https://assets.tcgdex.net/de/sv/sv10.5b/031/low.jpg", 1)</f>
        <v/>
      </c>
      <c r="B28" s="22"/>
      <c r="C28" s="20"/>
      <c r="D28" s="21" t="str">
        <f>IMAGE("https://assets.tcgdex.net/de/sv/sv10.5b/032/low.jpg", 1)</f>
        <v/>
      </c>
      <c r="E28" s="22"/>
      <c r="F28" s="20"/>
      <c r="G28" s="21" t="str">
        <f>IMAGE("https://assets.tcgdex.net/de/sv/sv10.5b/033/low.jpg", 1)</f>
        <v/>
      </c>
      <c r="H28" s="22"/>
      <c r="I28" s="20"/>
      <c r="J28" s="21" t="str">
        <f>IMAGE("https://assets.tcgdex.net/de/sv/sv10.5b/034/low.jpg", 1)</f>
        <v/>
      </c>
      <c r="K28" s="22"/>
      <c r="L28" s="20"/>
      <c r="M28" s="21" t="str">
        <f>IMAGE("https://assets.tcgdex.net/de/sv/sv10.5b/035/low.jpg", 1)</f>
        <v/>
      </c>
      <c r="N28" s="22"/>
      <c r="O28" s="20"/>
    </row>
    <row r="29" ht="22.5" customHeight="1">
      <c r="A29" s="23" t="b">
        <v>0</v>
      </c>
      <c r="B29" s="24" t="b">
        <v>0</v>
      </c>
      <c r="C29" s="39" t="s">
        <v>2392</v>
      </c>
      <c r="D29" s="23" t="b">
        <v>0</v>
      </c>
      <c r="E29" s="24" t="b">
        <v>0</v>
      </c>
      <c r="F29" s="39" t="s">
        <v>2392</v>
      </c>
      <c r="G29" s="23" t="b">
        <v>0</v>
      </c>
      <c r="H29" s="24" t="b">
        <v>0</v>
      </c>
      <c r="I29" s="39" t="s">
        <v>2392</v>
      </c>
      <c r="J29" s="23" t="b">
        <v>0</v>
      </c>
      <c r="K29" s="24" t="b">
        <v>0</v>
      </c>
      <c r="L29" s="39" t="s">
        <v>2392</v>
      </c>
      <c r="M29" s="23" t="b">
        <v>0</v>
      </c>
      <c r="N29" s="24" t="b">
        <v>0</v>
      </c>
      <c r="O29" s="39" t="s">
        <v>2392</v>
      </c>
    </row>
    <row r="30" ht="7.5" customHeight="1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</row>
    <row r="31" ht="18.75" customHeight="1">
      <c r="A31" s="18" t="s">
        <v>567</v>
      </c>
      <c r="B31" s="19" t="s">
        <v>2396</v>
      </c>
      <c r="C31" s="20"/>
      <c r="D31" s="18" t="s">
        <v>569</v>
      </c>
      <c r="E31" s="19" t="s">
        <v>1809</v>
      </c>
      <c r="F31" s="20"/>
      <c r="G31" s="18" t="s">
        <v>571</v>
      </c>
      <c r="H31" s="19" t="s">
        <v>1810</v>
      </c>
      <c r="I31" s="20"/>
      <c r="J31" s="18" t="s">
        <v>573</v>
      </c>
      <c r="K31" s="19" t="s">
        <v>1811</v>
      </c>
      <c r="L31" s="20"/>
      <c r="M31" s="18" t="s">
        <v>575</v>
      </c>
      <c r="N31" s="19" t="s">
        <v>1812</v>
      </c>
      <c r="O31" s="20"/>
    </row>
    <row r="32" ht="180.0" customHeight="1">
      <c r="A32" s="21" t="str">
        <f>IMAGE("https://assets.tcgdex.net/de/sv/sv10.5b/036/low.jpg", 1)</f>
        <v/>
      </c>
      <c r="B32" s="22"/>
      <c r="C32" s="20"/>
      <c r="D32" s="21" t="str">
        <f>IMAGE("https://assets.tcgdex.net/de/sv/sv10.5b/037/low.jpg", 1)</f>
        <v/>
      </c>
      <c r="E32" s="22"/>
      <c r="F32" s="20"/>
      <c r="G32" s="21" t="str">
        <f>IMAGE("https://assets.tcgdex.net/de/sv/sv10.5b/038/low.jpg", 1)</f>
        <v/>
      </c>
      <c r="H32" s="22"/>
      <c r="I32" s="20"/>
      <c r="J32" s="21" t="str">
        <f>IMAGE("https://assets.tcgdex.net/de/sv/sv10.5b/039/low.jpg", 1)</f>
        <v/>
      </c>
      <c r="K32" s="22"/>
      <c r="L32" s="20"/>
      <c r="M32" s="21" t="str">
        <f>IMAGE("https://assets.tcgdex.net/de/sv/sv10.5b/040/low.jpg", 1)</f>
        <v/>
      </c>
      <c r="N32" s="22"/>
      <c r="O32" s="20"/>
    </row>
    <row r="33" ht="22.5" customHeight="1">
      <c r="A33" s="23" t="b">
        <v>0</v>
      </c>
      <c r="B33" s="24" t="b">
        <v>0</v>
      </c>
      <c r="C33" s="39" t="s">
        <v>2392</v>
      </c>
      <c r="D33" s="23" t="b">
        <v>0</v>
      </c>
      <c r="E33" s="24" t="b">
        <v>0</v>
      </c>
      <c r="F33" s="39" t="s">
        <v>2392</v>
      </c>
      <c r="G33" s="23" t="b">
        <v>0</v>
      </c>
      <c r="H33" s="24" t="b">
        <v>0</v>
      </c>
      <c r="I33" s="39" t="s">
        <v>2392</v>
      </c>
      <c r="J33" s="23" t="b">
        <v>0</v>
      </c>
      <c r="K33" s="24" t="b">
        <v>0</v>
      </c>
      <c r="L33" s="39" t="s">
        <v>2392</v>
      </c>
      <c r="M33" s="23" t="b">
        <v>0</v>
      </c>
      <c r="N33" s="24" t="b">
        <v>0</v>
      </c>
      <c r="O33" s="39" t="s">
        <v>2392</v>
      </c>
    </row>
    <row r="34" ht="7.5" customHeight="1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</row>
    <row r="35" ht="18.75" customHeight="1">
      <c r="A35" s="18" t="s">
        <v>577</v>
      </c>
      <c r="B35" s="19" t="s">
        <v>1813</v>
      </c>
      <c r="C35" s="20"/>
      <c r="D35" s="18" t="s">
        <v>579</v>
      </c>
      <c r="E35" s="19" t="s">
        <v>1818</v>
      </c>
      <c r="F35" s="20"/>
      <c r="G35" s="18" t="s">
        <v>763</v>
      </c>
      <c r="H35" s="19" t="s">
        <v>1819</v>
      </c>
      <c r="I35" s="20"/>
      <c r="J35" s="18" t="s">
        <v>765</v>
      </c>
      <c r="K35" s="19" t="s">
        <v>2397</v>
      </c>
      <c r="L35" s="20"/>
      <c r="M35" s="18" t="s">
        <v>581</v>
      </c>
      <c r="N35" s="19" t="s">
        <v>1424</v>
      </c>
      <c r="O35" s="20"/>
    </row>
    <row r="36" ht="180.0" customHeight="1">
      <c r="A36" s="21" t="str">
        <f>IMAGE("https://assets.tcgdex.net/de/sv/sv10.5b/041/low.jpg", 1)</f>
        <v/>
      </c>
      <c r="B36" s="22"/>
      <c r="C36" s="20"/>
      <c r="D36" s="21" t="str">
        <f>IMAGE("https://assets.tcgdex.net/de/sv/sv10.5b/042/low.jpg", 1)</f>
        <v/>
      </c>
      <c r="E36" s="22"/>
      <c r="F36" s="20"/>
      <c r="G36" s="21" t="str">
        <f>IMAGE("https://assets.tcgdex.net/de/sv/sv10.5b/043/low.jpg", 1)</f>
        <v/>
      </c>
      <c r="H36" s="22"/>
      <c r="I36" s="20"/>
      <c r="J36" s="21" t="str">
        <f>IMAGE("https://assets.tcgdex.net/de/sv/sv10.5b/044/low.jpg", 1)</f>
        <v/>
      </c>
      <c r="K36" s="22"/>
      <c r="L36" s="20"/>
      <c r="M36" s="21" t="str">
        <f>IMAGE("https://assets.tcgdex.net/de/sv/sv10.5b/045/low.jpg", 1)</f>
        <v/>
      </c>
      <c r="N36" s="22"/>
      <c r="O36" s="20"/>
    </row>
    <row r="37" ht="22.5" customHeight="1">
      <c r="A37" s="23" t="b">
        <v>0</v>
      </c>
      <c r="B37" s="24" t="b">
        <v>0</v>
      </c>
      <c r="C37" s="39" t="s">
        <v>2392</v>
      </c>
      <c r="D37" s="23" t="b">
        <v>0</v>
      </c>
      <c r="E37" s="24" t="b">
        <v>0</v>
      </c>
      <c r="F37" s="39" t="s">
        <v>2392</v>
      </c>
      <c r="G37" s="23" t="b">
        <v>0</v>
      </c>
      <c r="H37" s="24" t="b">
        <v>0</v>
      </c>
      <c r="I37" s="39" t="s">
        <v>2392</v>
      </c>
      <c r="J37" s="23" t="b">
        <v>0</v>
      </c>
      <c r="K37" s="24" t="b">
        <v>0</v>
      </c>
      <c r="L37" s="39" t="s">
        <v>2392</v>
      </c>
      <c r="M37" s="23" t="b">
        <v>0</v>
      </c>
      <c r="N37" s="24" t="b">
        <v>0</v>
      </c>
      <c r="O37" s="39" t="s">
        <v>2392</v>
      </c>
    </row>
    <row r="38" ht="7.5" customHeight="1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</row>
    <row r="39" ht="18.75" customHeight="1">
      <c r="A39" s="18" t="s">
        <v>767</v>
      </c>
      <c r="B39" s="19" t="s">
        <v>2398</v>
      </c>
      <c r="C39" s="20"/>
      <c r="D39" s="18" t="s">
        <v>769</v>
      </c>
      <c r="E39" s="19" t="s">
        <v>1909</v>
      </c>
      <c r="F39" s="20"/>
      <c r="G39" s="18" t="s">
        <v>770</v>
      </c>
      <c r="H39" s="19" t="s">
        <v>1910</v>
      </c>
      <c r="I39" s="20"/>
      <c r="J39" s="18" t="s">
        <v>772</v>
      </c>
      <c r="K39" s="19" t="s">
        <v>1911</v>
      </c>
      <c r="L39" s="20"/>
      <c r="M39" s="18" t="s">
        <v>774</v>
      </c>
      <c r="N39" s="19" t="s">
        <v>2399</v>
      </c>
      <c r="O39" s="20"/>
    </row>
    <row r="40" ht="180.0" customHeight="1">
      <c r="A40" s="21" t="str">
        <f>IMAGE("https://assets.tcgdex.net/de/sv/sv10.5b/046/low.jpg", 1)</f>
        <v/>
      </c>
      <c r="B40" s="22"/>
      <c r="C40" s="20"/>
      <c r="D40" s="21" t="str">
        <f>IMAGE("https://assets.tcgdex.net/de/sv/sv10.5b/047/low.jpg", 1)</f>
        <v/>
      </c>
      <c r="E40" s="22"/>
      <c r="F40" s="20"/>
      <c r="G40" s="21" t="str">
        <f>IMAGE("https://assets.tcgdex.net/de/sv/sv10.5b/048/low.jpg", 1)</f>
        <v/>
      </c>
      <c r="H40" s="22"/>
      <c r="I40" s="20"/>
      <c r="J40" s="21" t="str">
        <f>IMAGE("https://assets.tcgdex.net/de/sv/sv10.5b/049/low.jpg", 1)</f>
        <v/>
      </c>
      <c r="K40" s="22"/>
      <c r="L40" s="20"/>
      <c r="M40" s="21" t="str">
        <f>IMAGE("https://assets.tcgdex.net/de/sv/sv10.5b/050/low.jpg", 1)</f>
        <v/>
      </c>
      <c r="N40" s="22"/>
      <c r="O40" s="20"/>
    </row>
    <row r="41" ht="22.5" customHeight="1">
      <c r="A41" s="23" t="b">
        <v>0</v>
      </c>
      <c r="B41" s="24" t="b">
        <v>0</v>
      </c>
      <c r="C41" s="39" t="s">
        <v>2392</v>
      </c>
      <c r="D41" s="23" t="b">
        <v>0</v>
      </c>
      <c r="E41" s="24" t="b">
        <v>0</v>
      </c>
      <c r="F41" s="39" t="s">
        <v>2392</v>
      </c>
      <c r="G41" s="23" t="b">
        <v>0</v>
      </c>
      <c r="H41" s="24" t="b">
        <v>0</v>
      </c>
      <c r="I41" s="39" t="s">
        <v>2392</v>
      </c>
      <c r="J41" s="23" t="b">
        <v>0</v>
      </c>
      <c r="K41" s="24" t="b">
        <v>0</v>
      </c>
      <c r="L41" s="39" t="s">
        <v>2392</v>
      </c>
      <c r="M41" s="23" t="b">
        <v>0</v>
      </c>
      <c r="N41" s="24" t="b">
        <v>0</v>
      </c>
      <c r="O41" s="39" t="s">
        <v>2392</v>
      </c>
    </row>
    <row r="42" ht="7.5" customHeight="1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</row>
    <row r="43" ht="18.75" customHeight="1">
      <c r="A43" s="18" t="s">
        <v>776</v>
      </c>
      <c r="B43" s="19" t="s">
        <v>1595</v>
      </c>
      <c r="C43" s="20"/>
      <c r="D43" s="18" t="s">
        <v>778</v>
      </c>
      <c r="E43" s="19" t="s">
        <v>1596</v>
      </c>
      <c r="F43" s="20"/>
      <c r="G43" s="18" t="s">
        <v>780</v>
      </c>
      <c r="H43" s="19" t="s">
        <v>2087</v>
      </c>
      <c r="I43" s="20"/>
      <c r="J43" s="18" t="s">
        <v>583</v>
      </c>
      <c r="K43" s="19" t="s">
        <v>1915</v>
      </c>
      <c r="L43" s="20"/>
      <c r="M43" s="18" t="s">
        <v>585</v>
      </c>
      <c r="N43" s="19" t="s">
        <v>1916</v>
      </c>
      <c r="O43" s="20"/>
    </row>
    <row r="44" ht="180.0" customHeight="1">
      <c r="A44" s="21" t="str">
        <f>IMAGE("https://assets.tcgdex.net/de/sv/sv10.5b/051/low.jpg", 1)</f>
        <v/>
      </c>
      <c r="B44" s="22"/>
      <c r="C44" s="20"/>
      <c r="D44" s="21" t="str">
        <f>IMAGE("https://assets.tcgdex.net/de/sv/sv10.5b/052/low.jpg", 1)</f>
        <v/>
      </c>
      <c r="E44" s="22"/>
      <c r="F44" s="20"/>
      <c r="G44" s="21" t="str">
        <f>IMAGE("https://assets.tcgdex.net/de/sv/sv10.5b/053/low.jpg", 1)</f>
        <v/>
      </c>
      <c r="H44" s="22"/>
      <c r="I44" s="20"/>
      <c r="J44" s="21" t="str">
        <f>IMAGE("https://assets.tcgdex.net/de/sv/sv10.5b/054/low.jpg", 1)</f>
        <v/>
      </c>
      <c r="K44" s="22"/>
      <c r="L44" s="20"/>
      <c r="M44" s="21" t="str">
        <f>IMAGE("https://assets.tcgdex.net/de/sv/sv10.5b/055/low.jpg", 1)</f>
        <v/>
      </c>
      <c r="N44" s="22"/>
      <c r="O44" s="20"/>
    </row>
    <row r="45" ht="22.5" customHeight="1">
      <c r="A45" s="23" t="b">
        <v>0</v>
      </c>
      <c r="B45" s="24" t="b">
        <v>0</v>
      </c>
      <c r="C45" s="39" t="s">
        <v>2392</v>
      </c>
      <c r="D45" s="23" t="b">
        <v>0</v>
      </c>
      <c r="E45" s="24" t="b">
        <v>0</v>
      </c>
      <c r="F45" s="39" t="s">
        <v>2392</v>
      </c>
      <c r="G45" s="23" t="b">
        <v>0</v>
      </c>
      <c r="H45" s="24" t="b">
        <v>0</v>
      </c>
      <c r="I45" s="39" t="s">
        <v>2392</v>
      </c>
      <c r="J45" s="23" t="b">
        <v>0</v>
      </c>
      <c r="K45" s="24" t="b">
        <v>0</v>
      </c>
      <c r="L45" s="39" t="s">
        <v>2392</v>
      </c>
      <c r="M45" s="23" t="b">
        <v>0</v>
      </c>
      <c r="N45" s="24" t="b">
        <v>0</v>
      </c>
      <c r="O45" s="39" t="s">
        <v>2392</v>
      </c>
    </row>
    <row r="46" ht="7.5" customHeight="1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</row>
    <row r="47" ht="18.75" customHeight="1">
      <c r="A47" s="18" t="s">
        <v>782</v>
      </c>
      <c r="B47" s="19" t="s">
        <v>1917</v>
      </c>
      <c r="C47" s="20"/>
      <c r="D47" s="18" t="s">
        <v>587</v>
      </c>
      <c r="E47" s="19" t="s">
        <v>1285</v>
      </c>
      <c r="F47" s="20"/>
      <c r="G47" s="18" t="s">
        <v>589</v>
      </c>
      <c r="H47" s="19" t="s">
        <v>1006</v>
      </c>
      <c r="I47" s="20"/>
      <c r="J47" s="18" t="s">
        <v>591</v>
      </c>
      <c r="K47" s="19" t="s">
        <v>1286</v>
      </c>
      <c r="L47" s="20"/>
      <c r="M47" s="18" t="s">
        <v>593</v>
      </c>
      <c r="N47" s="19" t="s">
        <v>2216</v>
      </c>
      <c r="O47" s="20"/>
    </row>
    <row r="48" ht="180.0" customHeight="1">
      <c r="A48" s="21" t="str">
        <f>IMAGE("https://assets.tcgdex.net/de/sv/sv10.5b/056/low.jpg", 1)</f>
        <v/>
      </c>
      <c r="B48" s="22"/>
      <c r="C48" s="20"/>
      <c r="D48" s="21" t="str">
        <f>IMAGE("https://assets.tcgdex.net/de/sv/sv10.5b/057/low.jpg", 1)</f>
        <v/>
      </c>
      <c r="E48" s="22"/>
      <c r="F48" s="20"/>
      <c r="G48" s="21" t="str">
        <f>IMAGE("https://assets.tcgdex.net/de/sv/sv10.5b/058/low.jpg", 1)</f>
        <v/>
      </c>
      <c r="H48" s="22"/>
      <c r="I48" s="20"/>
      <c r="J48" s="21" t="str">
        <f>IMAGE("https://assets.tcgdex.net/de/sv/sv10.5b/059/low.jpg", 1)</f>
        <v/>
      </c>
      <c r="K48" s="22"/>
      <c r="L48" s="20"/>
      <c r="M48" s="21" t="str">
        <f>IMAGE("https://assets.tcgdex.net/de/sv/sv10.5b/060/low.jpg", 1)</f>
        <v/>
      </c>
      <c r="N48" s="22"/>
      <c r="O48" s="20"/>
    </row>
    <row r="49" ht="22.5" customHeight="1">
      <c r="A49" s="23" t="b">
        <v>0</v>
      </c>
      <c r="B49" s="24" t="b">
        <v>0</v>
      </c>
      <c r="C49" s="39" t="s">
        <v>2392</v>
      </c>
      <c r="D49" s="23" t="b">
        <v>0</v>
      </c>
      <c r="E49" s="24" t="b">
        <v>0</v>
      </c>
      <c r="F49" s="39" t="s">
        <v>2392</v>
      </c>
      <c r="G49" s="23" t="b">
        <v>0</v>
      </c>
      <c r="H49" s="24" t="b">
        <v>0</v>
      </c>
      <c r="I49" s="39" t="s">
        <v>2392</v>
      </c>
      <c r="J49" s="23" t="b">
        <v>0</v>
      </c>
      <c r="K49" s="24" t="b">
        <v>0</v>
      </c>
      <c r="L49" s="39" t="s">
        <v>2392</v>
      </c>
      <c r="M49" s="23" t="b">
        <v>0</v>
      </c>
      <c r="N49" s="24" t="b">
        <v>0</v>
      </c>
      <c r="O49" s="39" t="s">
        <v>2392</v>
      </c>
    </row>
    <row r="50" ht="7.5" customHeight="1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</row>
    <row r="51" ht="18.75" customHeight="1">
      <c r="A51" s="18" t="s">
        <v>595</v>
      </c>
      <c r="B51" s="19" t="s">
        <v>2025</v>
      </c>
      <c r="C51" s="20"/>
      <c r="D51" s="18" t="s">
        <v>597</v>
      </c>
      <c r="E51" s="19" t="s">
        <v>2026</v>
      </c>
      <c r="F51" s="20"/>
      <c r="G51" s="18" t="s">
        <v>784</v>
      </c>
      <c r="H51" s="19" t="s">
        <v>2027</v>
      </c>
      <c r="I51" s="20"/>
      <c r="J51" s="18" t="s">
        <v>786</v>
      </c>
      <c r="K51" s="19" t="s">
        <v>648</v>
      </c>
      <c r="L51" s="20"/>
      <c r="M51" s="18" t="s">
        <v>788</v>
      </c>
      <c r="N51" s="19" t="s">
        <v>650</v>
      </c>
      <c r="O51" s="20"/>
    </row>
    <row r="52" ht="180.0" customHeight="1">
      <c r="A52" s="21" t="str">
        <f>IMAGE("https://assets.tcgdex.net/de/sv/sv10.5b/061/low.jpg", 1)</f>
        <v/>
      </c>
      <c r="B52" s="22"/>
      <c r="C52" s="20"/>
      <c r="D52" s="21" t="str">
        <f>IMAGE("https://assets.tcgdex.net/de/sv/sv10.5b/062/low.jpg", 1)</f>
        <v/>
      </c>
      <c r="E52" s="22"/>
      <c r="F52" s="20"/>
      <c r="G52" s="21" t="str">
        <f>IMAGE("https://assets.tcgdex.net/de/sv/sv10.5b/063/low.jpg", 1)</f>
        <v/>
      </c>
      <c r="H52" s="22"/>
      <c r="I52" s="20"/>
      <c r="J52" s="21" t="str">
        <f>IMAGE("https://assets.tcgdex.net/de/sv/sv10.5b/064/low.jpg", 1)</f>
        <v/>
      </c>
      <c r="K52" s="22"/>
      <c r="L52" s="20"/>
      <c r="M52" s="21" t="str">
        <f>IMAGE("https://assets.tcgdex.net/de/sv/sv10.5b/065/low.jpg", 1)</f>
        <v/>
      </c>
      <c r="N52" s="22"/>
      <c r="O52" s="20"/>
    </row>
    <row r="53" ht="22.5" customHeight="1">
      <c r="A53" s="23" t="b">
        <v>0</v>
      </c>
      <c r="B53" s="24" t="b">
        <v>0</v>
      </c>
      <c r="C53" s="39" t="s">
        <v>2392</v>
      </c>
      <c r="D53" s="23" t="b">
        <v>0</v>
      </c>
      <c r="E53" s="24" t="b">
        <v>0</v>
      </c>
      <c r="F53" s="39" t="s">
        <v>2392</v>
      </c>
      <c r="G53" s="23" t="b">
        <v>0</v>
      </c>
      <c r="H53" s="24" t="b">
        <v>0</v>
      </c>
      <c r="I53" s="39" t="s">
        <v>2392</v>
      </c>
      <c r="J53" s="23" t="b">
        <v>0</v>
      </c>
      <c r="K53" s="24" t="b">
        <v>0</v>
      </c>
      <c r="L53" s="39" t="s">
        <v>2392</v>
      </c>
      <c r="M53" s="23" t="b">
        <v>0</v>
      </c>
      <c r="N53" s="24" t="b">
        <v>0</v>
      </c>
      <c r="O53" s="39" t="s">
        <v>2392</v>
      </c>
    </row>
    <row r="54" ht="7.5" customHeight="1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</row>
    <row r="55" ht="18.75" customHeight="1">
      <c r="A55" s="18" t="s">
        <v>790</v>
      </c>
      <c r="B55" s="19" t="s">
        <v>2400</v>
      </c>
      <c r="C55" s="20"/>
      <c r="D55" s="18" t="s">
        <v>791</v>
      </c>
      <c r="E55" s="19" t="s">
        <v>2401</v>
      </c>
      <c r="F55" s="20"/>
      <c r="G55" s="18" t="s">
        <v>793</v>
      </c>
      <c r="H55" s="19" t="s">
        <v>1970</v>
      </c>
      <c r="I55" s="20"/>
      <c r="J55" s="18" t="s">
        <v>795</v>
      </c>
      <c r="K55" s="19" t="s">
        <v>1971</v>
      </c>
      <c r="L55" s="20"/>
      <c r="M55" s="18" t="s">
        <v>797</v>
      </c>
      <c r="N55" s="19" t="s">
        <v>1972</v>
      </c>
      <c r="O55" s="20"/>
    </row>
    <row r="56" ht="180.0" customHeight="1">
      <c r="A56" s="21" t="str">
        <f>IMAGE("https://assets.tcgdex.net/de/sv/sv10.5b/066/low.jpg", 1)</f>
        <v/>
      </c>
      <c r="B56" s="22"/>
      <c r="C56" s="20"/>
      <c r="D56" s="21" t="str">
        <f>IMAGE("https://assets.tcgdex.net/de/sv/sv10.5b/067/low.jpg", 1)</f>
        <v/>
      </c>
      <c r="E56" s="22"/>
      <c r="F56" s="20"/>
      <c r="G56" s="21" t="str">
        <f>IMAGE("https://assets.tcgdex.net/de/sv/sv10.5b/068/low.jpg", 1)</f>
        <v/>
      </c>
      <c r="H56" s="22"/>
      <c r="I56" s="20"/>
      <c r="J56" s="21" t="str">
        <f>IMAGE("https://assets.tcgdex.net/de/sv/sv10.5b/069/low.jpg", 1)</f>
        <v/>
      </c>
      <c r="K56" s="22"/>
      <c r="L56" s="20"/>
      <c r="M56" s="21" t="str">
        <f>IMAGE("https://assets.tcgdex.net/de/sv/sv10.5b/070/low.jpg", 1)</f>
        <v/>
      </c>
      <c r="N56" s="22"/>
      <c r="O56" s="20"/>
    </row>
    <row r="57" ht="22.5" customHeight="1">
      <c r="A57" s="23" t="b">
        <v>0</v>
      </c>
      <c r="B57" s="24" t="b">
        <v>0</v>
      </c>
      <c r="C57" s="39" t="s">
        <v>2392</v>
      </c>
      <c r="D57" s="23" t="b">
        <v>0</v>
      </c>
      <c r="E57" s="24" t="b">
        <v>0</v>
      </c>
      <c r="F57" s="39" t="s">
        <v>2392</v>
      </c>
      <c r="G57" s="23" t="b">
        <v>0</v>
      </c>
      <c r="H57" s="24" t="b">
        <v>0</v>
      </c>
      <c r="I57" s="39" t="s">
        <v>2392</v>
      </c>
      <c r="J57" s="23" t="b">
        <v>0</v>
      </c>
      <c r="K57" s="24" t="b">
        <v>0</v>
      </c>
      <c r="L57" s="39" t="s">
        <v>2392</v>
      </c>
      <c r="M57" s="23" t="b">
        <v>0</v>
      </c>
      <c r="N57" s="24" t="b">
        <v>0</v>
      </c>
      <c r="O57" s="39" t="s">
        <v>2392</v>
      </c>
    </row>
    <row r="58" ht="7.5" customHeight="1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</row>
    <row r="59" ht="18.75" customHeight="1">
      <c r="A59" s="18" t="s">
        <v>799</v>
      </c>
      <c r="B59" s="19" t="s">
        <v>1844</v>
      </c>
      <c r="C59" s="20"/>
      <c r="D59" s="18" t="s">
        <v>801</v>
      </c>
      <c r="E59" s="19" t="s">
        <v>1845</v>
      </c>
      <c r="F59" s="20"/>
      <c r="G59" s="18" t="s">
        <v>803</v>
      </c>
      <c r="H59" s="19" t="s">
        <v>1846</v>
      </c>
      <c r="I59" s="20"/>
      <c r="J59" s="18" t="s">
        <v>805</v>
      </c>
      <c r="K59" s="19" t="s">
        <v>1459</v>
      </c>
      <c r="L59" s="20"/>
      <c r="M59" s="18" t="s">
        <v>806</v>
      </c>
      <c r="N59" s="19" t="s">
        <v>1847</v>
      </c>
      <c r="O59" s="20"/>
    </row>
    <row r="60" ht="180.0" customHeight="1">
      <c r="A60" s="21" t="str">
        <f>IMAGE("https://assets.tcgdex.net/de/sv/sv10.5b/071/low.jpg", 1)</f>
        <v/>
      </c>
      <c r="B60" s="22"/>
      <c r="C60" s="20"/>
      <c r="D60" s="21" t="str">
        <f>IMAGE("https://assets.tcgdex.net/de/sv/sv10.5b/072/low.jpg", 1)</f>
        <v/>
      </c>
      <c r="E60" s="22"/>
      <c r="F60" s="20"/>
      <c r="G60" s="21" t="str">
        <f>IMAGE("https://assets.tcgdex.net/de/sv/sv10.5b/073/low.jpg", 1)</f>
        <v/>
      </c>
      <c r="H60" s="22"/>
      <c r="I60" s="20"/>
      <c r="J60" s="21" t="str">
        <f>IMAGE("https://assets.tcgdex.net/de/sv/sv10.5b/074/low.jpg", 1)</f>
        <v/>
      </c>
      <c r="K60" s="22"/>
      <c r="L60" s="20"/>
      <c r="M60" s="21" t="str">
        <f>IMAGE("https://assets.tcgdex.net/de/sv/sv10.5b/075/low.jpg", 1)</f>
        <v/>
      </c>
      <c r="N60" s="22"/>
      <c r="O60" s="20"/>
    </row>
    <row r="61" ht="22.5" customHeight="1">
      <c r="A61" s="23" t="b">
        <v>0</v>
      </c>
      <c r="B61" s="24" t="b">
        <v>0</v>
      </c>
      <c r="C61" s="39" t="s">
        <v>2392</v>
      </c>
      <c r="D61" s="23" t="b">
        <v>0</v>
      </c>
      <c r="E61" s="24" t="b">
        <v>0</v>
      </c>
      <c r="F61" s="39" t="s">
        <v>2392</v>
      </c>
      <c r="G61" s="23" t="b">
        <v>0</v>
      </c>
      <c r="H61" s="24" t="b">
        <v>0</v>
      </c>
      <c r="I61" s="39" t="s">
        <v>2392</v>
      </c>
      <c r="J61" s="23" t="b">
        <v>0</v>
      </c>
      <c r="K61" s="24" t="b">
        <v>0</v>
      </c>
      <c r="L61" s="39" t="s">
        <v>2392</v>
      </c>
      <c r="M61" s="23" t="b">
        <v>0</v>
      </c>
      <c r="N61" s="24" t="b">
        <v>0</v>
      </c>
      <c r="O61" s="39" t="s">
        <v>2392</v>
      </c>
    </row>
    <row r="62" ht="7.5" customHeight="1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</row>
    <row r="63" ht="18.75" customHeight="1">
      <c r="A63" s="18" t="s">
        <v>808</v>
      </c>
      <c r="B63" s="19" t="s">
        <v>1848</v>
      </c>
      <c r="C63" s="20"/>
      <c r="D63" s="18" t="s">
        <v>809</v>
      </c>
      <c r="E63" s="19" t="s">
        <v>2107</v>
      </c>
      <c r="F63" s="20"/>
      <c r="G63" s="18" t="s">
        <v>811</v>
      </c>
      <c r="H63" s="19" t="s">
        <v>2108</v>
      </c>
      <c r="I63" s="20"/>
      <c r="J63" s="18" t="s">
        <v>599</v>
      </c>
      <c r="K63" s="19" t="s">
        <v>2402</v>
      </c>
      <c r="L63" s="20"/>
      <c r="M63" s="18" t="s">
        <v>601</v>
      </c>
      <c r="N63" s="19" t="s">
        <v>2039</v>
      </c>
      <c r="O63" s="20"/>
    </row>
    <row r="64" ht="180.0" customHeight="1">
      <c r="A64" s="21" t="str">
        <f>IMAGE("https://assets.tcgdex.net/de/sv/sv10.5b/076/low.jpg", 1)</f>
        <v/>
      </c>
      <c r="B64" s="22"/>
      <c r="C64" s="20"/>
      <c r="D64" s="21" t="str">
        <f>IMAGE("https://assets.tcgdex.net/de/sv/sv10.5b/077/low.jpg", 1)</f>
        <v/>
      </c>
      <c r="E64" s="22"/>
      <c r="F64" s="20"/>
      <c r="G64" s="21" t="str">
        <f>IMAGE("https://assets.tcgdex.net/de/sv/sv10.5b/078/low.jpg", 1)</f>
        <v/>
      </c>
      <c r="H64" s="22"/>
      <c r="I64" s="20"/>
      <c r="J64" s="21" t="str">
        <f>IMAGE("https://assets.tcgdex.net/de/sv/sv10.5b/079/low.jpg", 1)</f>
        <v/>
      </c>
      <c r="K64" s="22"/>
      <c r="L64" s="20"/>
      <c r="M64" s="21" t="str">
        <f>IMAGE("https://assets.tcgdex.net/de/sv/sv10.5b/080/low.jpg", 1)</f>
        <v/>
      </c>
      <c r="N64" s="22"/>
      <c r="O64" s="20"/>
    </row>
    <row r="65" ht="22.5" customHeight="1">
      <c r="A65" s="23" t="b">
        <v>0</v>
      </c>
      <c r="B65" s="24" t="b">
        <v>0</v>
      </c>
      <c r="C65" s="39" t="s">
        <v>2392</v>
      </c>
      <c r="D65" s="23" t="b">
        <v>0</v>
      </c>
      <c r="E65" s="24" t="b">
        <v>0</v>
      </c>
      <c r="F65" s="39" t="s">
        <v>2392</v>
      </c>
      <c r="G65" s="23" t="b">
        <v>0</v>
      </c>
      <c r="H65" s="24" t="b">
        <v>0</v>
      </c>
      <c r="I65" s="39" t="s">
        <v>2392</v>
      </c>
      <c r="J65" s="23" t="b">
        <v>0</v>
      </c>
      <c r="K65" s="24" t="b">
        <v>0</v>
      </c>
      <c r="L65" s="39" t="s">
        <v>2392</v>
      </c>
      <c r="M65" s="23" t="b">
        <v>0</v>
      </c>
      <c r="N65" s="24" t="b">
        <v>0</v>
      </c>
      <c r="O65" s="39" t="s">
        <v>2392</v>
      </c>
    </row>
    <row r="66" ht="7.5" customHeight="1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</row>
    <row r="67" ht="18.75" customHeight="1">
      <c r="A67" s="18" t="s">
        <v>603</v>
      </c>
      <c r="B67" s="19" t="s">
        <v>2403</v>
      </c>
      <c r="C67" s="20"/>
      <c r="D67" s="18" t="s">
        <v>604</v>
      </c>
      <c r="E67" s="19" t="s">
        <v>2404</v>
      </c>
      <c r="F67" s="20"/>
      <c r="G67" s="18" t="s">
        <v>606</v>
      </c>
      <c r="H67" s="19" t="s">
        <v>2405</v>
      </c>
      <c r="I67" s="20"/>
      <c r="J67" s="18" t="s">
        <v>608</v>
      </c>
      <c r="K67" s="19" t="s">
        <v>1239</v>
      </c>
      <c r="L67" s="20"/>
      <c r="M67" s="18" t="s">
        <v>609</v>
      </c>
      <c r="N67" s="19" t="s">
        <v>1040</v>
      </c>
      <c r="O67" s="20"/>
    </row>
    <row r="68" ht="180.0" customHeight="1">
      <c r="A68" s="21" t="str">
        <f>IMAGE("https://assets.tcgdex.net/de/sv/sv10.5b/081/low.jpg", 1)</f>
        <v/>
      </c>
      <c r="B68" s="22"/>
      <c r="C68" s="20"/>
      <c r="D68" s="21" t="str">
        <f>IMAGE("https://assets.tcgdex.net/de/sv/sv10.5b/082/low.jpg", 1)</f>
        <v/>
      </c>
      <c r="E68" s="22"/>
      <c r="F68" s="20"/>
      <c r="G68" s="21" t="str">
        <f>IMAGE("https://assets.tcgdex.net/de/sv/sv10.5b/083/low.jpg", 1)</f>
        <v/>
      </c>
      <c r="H68" s="22"/>
      <c r="I68" s="20"/>
      <c r="J68" s="21" t="str">
        <f>IMAGE("https://assets.tcgdex.net/de/sv/sv10.5b/084/low.jpg", 1)</f>
        <v/>
      </c>
      <c r="K68" s="22"/>
      <c r="L68" s="20"/>
      <c r="M68" s="21" t="str">
        <f>IMAGE("https://assets.tcgdex.net/de/sv/sv10.5b/085/low.jpg", 1)</f>
        <v/>
      </c>
      <c r="N68" s="22"/>
      <c r="O68" s="20"/>
    </row>
    <row r="69" ht="22.5" customHeight="1">
      <c r="A69" s="23" t="b">
        <v>0</v>
      </c>
      <c r="B69" s="24" t="b">
        <v>0</v>
      </c>
      <c r="C69" s="39" t="s">
        <v>2392</v>
      </c>
      <c r="D69" s="23" t="b">
        <v>0</v>
      </c>
      <c r="E69" s="24" t="b">
        <v>0</v>
      </c>
      <c r="F69" s="39" t="s">
        <v>2392</v>
      </c>
      <c r="G69" s="23" t="b">
        <v>0</v>
      </c>
      <c r="H69" s="24" t="b">
        <v>0</v>
      </c>
      <c r="I69" s="39" t="s">
        <v>2392</v>
      </c>
      <c r="J69" s="23" t="b">
        <v>0</v>
      </c>
      <c r="K69" s="24" t="b">
        <v>0</v>
      </c>
      <c r="L69" s="39" t="s">
        <v>2392</v>
      </c>
      <c r="M69" s="23" t="b">
        <v>0</v>
      </c>
      <c r="N69" s="24" t="b">
        <v>0</v>
      </c>
      <c r="O69" s="39" t="s">
        <v>2392</v>
      </c>
    </row>
    <row r="70" ht="7.5" customHeight="1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</row>
    <row r="71" ht="18.75" customHeight="1">
      <c r="A71" s="18" t="s">
        <v>611</v>
      </c>
      <c r="B71" s="19" t="s">
        <v>2406</v>
      </c>
      <c r="C71" s="20"/>
      <c r="D71" s="18" t="s">
        <v>613</v>
      </c>
      <c r="E71" s="19" t="s">
        <v>2389</v>
      </c>
      <c r="F71" s="20"/>
      <c r="G71" s="18" t="s">
        <v>615</v>
      </c>
      <c r="H71" s="19" t="s">
        <v>2390</v>
      </c>
      <c r="I71" s="20"/>
      <c r="J71" s="18" t="s">
        <v>617</v>
      </c>
      <c r="K71" s="19" t="s">
        <v>1593</v>
      </c>
      <c r="L71" s="20"/>
      <c r="M71" s="18" t="s">
        <v>619</v>
      </c>
      <c r="N71" s="19" t="s">
        <v>1594</v>
      </c>
      <c r="O71" s="20"/>
    </row>
    <row r="72" ht="180.0" customHeight="1">
      <c r="A72" s="21" t="str">
        <f>IMAGE("https://assets.tcgdex.net/de/sv/sv10.5b/086/low.jpg", 1)</f>
        <v/>
      </c>
      <c r="B72" s="22"/>
      <c r="C72" s="20"/>
      <c r="D72" s="21" t="str">
        <f>IMAGE("https://assets.tcgdex.net/de/sv/sv10.5b/087/low.jpg", 1)</f>
        <v/>
      </c>
      <c r="E72" s="22"/>
      <c r="F72" s="20"/>
      <c r="G72" s="21" t="str">
        <f>IMAGE("https://assets.tcgdex.net/de/sv/sv10.5b/088/low.jpg", 1)</f>
        <v/>
      </c>
      <c r="H72" s="22"/>
      <c r="I72" s="20"/>
      <c r="J72" s="21" t="str">
        <f>IMAGE("https://assets.tcgdex.net/de/sv/sv10.5b/089/low.jpg", 1)</f>
        <v/>
      </c>
      <c r="K72" s="22"/>
      <c r="L72" s="20"/>
      <c r="M72" s="21" t="str">
        <f>IMAGE("https://assets.tcgdex.net/de/sv/sv10.5b/090/low.jpg", 1)</f>
        <v/>
      </c>
      <c r="N72" s="22"/>
      <c r="O72" s="20"/>
    </row>
    <row r="73" ht="22.5" customHeight="1">
      <c r="A73" s="23" t="b">
        <v>0</v>
      </c>
      <c r="B73" s="24" t="b">
        <v>0</v>
      </c>
      <c r="C73" s="39" t="s">
        <v>2392</v>
      </c>
      <c r="D73" s="23" t="b">
        <v>0</v>
      </c>
      <c r="E73" s="24" t="b">
        <v>0</v>
      </c>
      <c r="F73" s="39" t="s">
        <v>2392</v>
      </c>
      <c r="G73" s="23" t="b">
        <v>0</v>
      </c>
      <c r="H73" s="24" t="b">
        <v>0</v>
      </c>
      <c r="I73" s="39" t="s">
        <v>2392</v>
      </c>
      <c r="J73" s="23" t="b">
        <v>0</v>
      </c>
      <c r="K73" s="24" t="b">
        <v>0</v>
      </c>
      <c r="L73" s="39" t="s">
        <v>2392</v>
      </c>
      <c r="M73" s="23" t="b">
        <v>0</v>
      </c>
      <c r="N73" s="24" t="b">
        <v>0</v>
      </c>
      <c r="O73" s="39" t="s">
        <v>2392</v>
      </c>
    </row>
    <row r="74" ht="7.5" customHeight="1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</row>
    <row r="75" ht="18.75" customHeight="1">
      <c r="A75" s="18" t="s">
        <v>621</v>
      </c>
      <c r="B75" s="19" t="s">
        <v>2175</v>
      </c>
      <c r="C75" s="20"/>
      <c r="D75" s="18" t="s">
        <v>623</v>
      </c>
      <c r="E75" s="19" t="s">
        <v>2176</v>
      </c>
      <c r="F75" s="20"/>
      <c r="G75" s="18" t="s">
        <v>625</v>
      </c>
      <c r="H75" s="19" t="s">
        <v>1726</v>
      </c>
      <c r="I75" s="20"/>
      <c r="J75" s="18" t="s">
        <v>627</v>
      </c>
      <c r="K75" s="19" t="s">
        <v>2177</v>
      </c>
      <c r="L75" s="20"/>
      <c r="M75" s="18" t="s">
        <v>812</v>
      </c>
      <c r="N75" s="19" t="s">
        <v>1366</v>
      </c>
      <c r="O75" s="20"/>
    </row>
    <row r="76" ht="180.0" customHeight="1">
      <c r="A76" s="21" t="str">
        <f>IMAGE("https://assets.tcgdex.net/de/sv/sv10.5b/091/low.jpg", 1)</f>
        <v/>
      </c>
      <c r="B76" s="22"/>
      <c r="C76" s="20"/>
      <c r="D76" s="21" t="str">
        <f>IMAGE("https://assets.tcgdex.net/de/sv/sv10.5b/092/low.jpg", 1)</f>
        <v/>
      </c>
      <c r="E76" s="22"/>
      <c r="F76" s="20"/>
      <c r="G76" s="21" t="str">
        <f>IMAGE("https://assets.tcgdex.net/de/sv/sv10.5b/093/low.jpg", 1)</f>
        <v/>
      </c>
      <c r="H76" s="22"/>
      <c r="I76" s="20"/>
      <c r="J76" s="21" t="str">
        <f>IMAGE("https://assets.tcgdex.net/de/sv/sv10.5b/094/low.jpg", 1)</f>
        <v/>
      </c>
      <c r="K76" s="22"/>
      <c r="L76" s="20"/>
      <c r="M76" s="21" t="str">
        <f>IMAGE("https://assets.tcgdex.net/de/sv/sv10.5b/095/low.jpg", 1)</f>
        <v/>
      </c>
      <c r="N76" s="22"/>
      <c r="O76" s="20"/>
    </row>
    <row r="77" ht="22.5" customHeight="1">
      <c r="A77" s="23" t="b">
        <v>0</v>
      </c>
      <c r="B77" s="24" t="b">
        <v>0</v>
      </c>
      <c r="C77" s="39" t="s">
        <v>2392</v>
      </c>
      <c r="D77" s="23" t="b">
        <v>0</v>
      </c>
      <c r="E77" s="24" t="b">
        <v>0</v>
      </c>
      <c r="F77" s="39" t="s">
        <v>2392</v>
      </c>
      <c r="G77" s="23" t="b">
        <v>0</v>
      </c>
      <c r="H77" s="24" t="b">
        <v>0</v>
      </c>
      <c r="I77" s="39" t="s">
        <v>2392</v>
      </c>
      <c r="J77" s="23" t="b">
        <v>0</v>
      </c>
      <c r="K77" s="24" t="b">
        <v>0</v>
      </c>
      <c r="L77" s="39" t="s">
        <v>2392</v>
      </c>
      <c r="M77" s="23" t="b">
        <v>0</v>
      </c>
      <c r="N77" s="24" t="b">
        <v>0</v>
      </c>
      <c r="O77" s="39" t="s">
        <v>2392</v>
      </c>
    </row>
    <row r="78" ht="7.5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</row>
    <row r="79" ht="18.75" customHeight="1">
      <c r="A79" s="18" t="s">
        <v>813</v>
      </c>
      <c r="B79" s="19" t="s">
        <v>1367</v>
      </c>
      <c r="C79" s="20"/>
      <c r="D79" s="18" t="s">
        <v>815</v>
      </c>
      <c r="E79" s="19" t="s">
        <v>1382</v>
      </c>
      <c r="F79" s="20"/>
      <c r="G79" s="18" t="s">
        <v>817</v>
      </c>
      <c r="H79" s="19" t="s">
        <v>1383</v>
      </c>
      <c r="I79" s="20"/>
      <c r="J79" s="18" t="s">
        <v>819</v>
      </c>
      <c r="K79" s="19" t="s">
        <v>972</v>
      </c>
      <c r="L79" s="20"/>
      <c r="M79" s="18" t="s">
        <v>821</v>
      </c>
      <c r="N79" s="19" t="s">
        <v>973</v>
      </c>
      <c r="O79" s="20"/>
    </row>
    <row r="80" ht="180.0" customHeight="1">
      <c r="A80" s="21" t="str">
        <f>IMAGE("https://assets.tcgdex.net/de/sv/sv10.5b/096/low.jpg", 1)</f>
        <v/>
      </c>
      <c r="B80" s="22"/>
      <c r="C80" s="20"/>
      <c r="D80" s="21" t="str">
        <f>IMAGE("https://assets.tcgdex.net/de/sv/sv10.5b/097/low.jpg", 1)</f>
        <v/>
      </c>
      <c r="E80" s="22"/>
      <c r="F80" s="20"/>
      <c r="G80" s="21" t="str">
        <f>IMAGE("https://assets.tcgdex.net/de/sv/sv10.5b/098/low.jpg", 1)</f>
        <v/>
      </c>
      <c r="H80" s="22"/>
      <c r="I80" s="20"/>
      <c r="J80" s="21" t="str">
        <f>IMAGE("https://assets.tcgdex.net/de/sv/sv10.5b/099/low.jpg", 1)</f>
        <v/>
      </c>
      <c r="K80" s="22"/>
      <c r="L80" s="20"/>
      <c r="M80" s="21" t="str">
        <f>IMAGE("https://assets.tcgdex.net/de/sv/sv10.5b/100/low.jpg", 1)</f>
        <v/>
      </c>
      <c r="N80" s="22"/>
      <c r="O80" s="20"/>
    </row>
    <row r="81" ht="22.5" customHeight="1">
      <c r="A81" s="23" t="b">
        <v>0</v>
      </c>
      <c r="B81" s="24" t="b">
        <v>0</v>
      </c>
      <c r="C81" s="39" t="s">
        <v>2392</v>
      </c>
      <c r="D81" s="23" t="b">
        <v>0</v>
      </c>
      <c r="E81" s="24" t="b">
        <v>0</v>
      </c>
      <c r="F81" s="39" t="s">
        <v>2392</v>
      </c>
      <c r="G81" s="23" t="b">
        <v>0</v>
      </c>
      <c r="H81" s="24" t="b">
        <v>0</v>
      </c>
      <c r="I81" s="39" t="s">
        <v>2392</v>
      </c>
      <c r="J81" s="23" t="b">
        <v>0</v>
      </c>
      <c r="K81" s="24" t="b">
        <v>0</v>
      </c>
      <c r="L81" s="39" t="s">
        <v>2392</v>
      </c>
      <c r="M81" s="23" t="b">
        <v>0</v>
      </c>
      <c r="N81" s="24" t="b">
        <v>0</v>
      </c>
      <c r="O81" s="39" t="s">
        <v>2392</v>
      </c>
    </row>
    <row r="82" ht="7.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</row>
    <row r="83" ht="18.75" customHeight="1">
      <c r="A83" s="18" t="s">
        <v>629</v>
      </c>
      <c r="B83" s="19" t="s">
        <v>1614</v>
      </c>
      <c r="C83" s="20"/>
      <c r="D83" s="18" t="s">
        <v>630</v>
      </c>
      <c r="E83" s="19" t="s">
        <v>1615</v>
      </c>
      <c r="F83" s="20"/>
      <c r="G83" s="18" t="s">
        <v>632</v>
      </c>
      <c r="H83" s="19" t="s">
        <v>1390</v>
      </c>
      <c r="I83" s="20"/>
      <c r="J83" s="18" t="s">
        <v>634</v>
      </c>
      <c r="K83" s="19" t="s">
        <v>1391</v>
      </c>
      <c r="L83" s="20"/>
      <c r="M83" s="18" t="s">
        <v>636</v>
      </c>
      <c r="N83" s="19" t="s">
        <v>1392</v>
      </c>
      <c r="O83" s="20"/>
    </row>
    <row r="84" ht="180.0" customHeight="1">
      <c r="A84" s="21" t="str">
        <f>IMAGE("https://assets.tcgdex.net/de/sv/sv10.5b/101/low.jpg", 1)</f>
        <v/>
      </c>
      <c r="B84" s="22"/>
      <c r="C84" s="20"/>
      <c r="D84" s="21" t="str">
        <f>IMAGE("https://assets.tcgdex.net/de/sv/sv10.5b/102/low.jpg", 1)</f>
        <v/>
      </c>
      <c r="E84" s="22"/>
      <c r="F84" s="20"/>
      <c r="G84" s="21" t="str">
        <f>IMAGE("https://assets.tcgdex.net/de/sv/sv10.5b/103/low.jpg", 1)</f>
        <v/>
      </c>
      <c r="H84" s="22"/>
      <c r="I84" s="20"/>
      <c r="J84" s="21" t="str">
        <f>IMAGE("https://assets.tcgdex.net/de/sv/sv10.5b/104/low.jpg", 1)</f>
        <v/>
      </c>
      <c r="K84" s="22"/>
      <c r="L84" s="20"/>
      <c r="M84" s="21" t="str">
        <f>IMAGE("https://assets.tcgdex.net/de/sv/sv10.5b/105/low.jpg", 1)</f>
        <v/>
      </c>
      <c r="N84" s="22"/>
      <c r="O84" s="20"/>
    </row>
    <row r="85" ht="22.5" customHeight="1">
      <c r="A85" s="23" t="b">
        <v>0</v>
      </c>
      <c r="B85" s="24" t="b">
        <v>0</v>
      </c>
      <c r="C85" s="39" t="s">
        <v>2392</v>
      </c>
      <c r="D85" s="23" t="b">
        <v>0</v>
      </c>
      <c r="E85" s="24" t="b">
        <v>0</v>
      </c>
      <c r="F85" s="39" t="s">
        <v>2392</v>
      </c>
      <c r="G85" s="23" t="b">
        <v>0</v>
      </c>
      <c r="H85" s="24" t="b">
        <v>0</v>
      </c>
      <c r="I85" s="39" t="s">
        <v>2392</v>
      </c>
      <c r="J85" s="23" t="b">
        <v>0</v>
      </c>
      <c r="K85" s="24" t="b">
        <v>0</v>
      </c>
      <c r="L85" s="39" t="s">
        <v>2392</v>
      </c>
      <c r="M85" s="23" t="b">
        <v>0</v>
      </c>
      <c r="N85" s="24" t="b">
        <v>0</v>
      </c>
      <c r="O85" s="39" t="s">
        <v>2392</v>
      </c>
    </row>
    <row r="86" ht="7.5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</row>
    <row r="87" ht="18.75" customHeight="1">
      <c r="A87" s="18" t="s">
        <v>638</v>
      </c>
      <c r="B87" s="19" t="s">
        <v>2005</v>
      </c>
      <c r="C87" s="20"/>
      <c r="D87" s="18" t="s">
        <v>640</v>
      </c>
      <c r="E87" s="19" t="s">
        <v>2006</v>
      </c>
      <c r="F87" s="20"/>
      <c r="G87" s="18" t="s">
        <v>642</v>
      </c>
      <c r="H87" s="19" t="s">
        <v>1262</v>
      </c>
      <c r="I87" s="20"/>
      <c r="J87" s="18" t="s">
        <v>643</v>
      </c>
      <c r="K87" s="19" t="s">
        <v>1393</v>
      </c>
      <c r="L87" s="20"/>
      <c r="M87" s="18" t="s">
        <v>645</v>
      </c>
      <c r="N87" s="19" t="s">
        <v>1394</v>
      </c>
      <c r="O87" s="20"/>
    </row>
    <row r="88" ht="180.0" customHeight="1">
      <c r="A88" s="21" t="str">
        <f>IMAGE("https://assets.tcgdex.net/de/sv/sv10.5b/106/low.jpg", 1)</f>
        <v/>
      </c>
      <c r="B88" s="22"/>
      <c r="C88" s="20"/>
      <c r="D88" s="21" t="str">
        <f>IMAGE("https://assets.tcgdex.net/de/sv/sv10.5b/107/low.jpg", 1)</f>
        <v/>
      </c>
      <c r="E88" s="22"/>
      <c r="F88" s="20"/>
      <c r="G88" s="21" t="str">
        <f>IMAGE("https://assets.tcgdex.net/de/sv/sv10.5b/108/low.jpg", 1)</f>
        <v/>
      </c>
      <c r="H88" s="22"/>
      <c r="I88" s="20"/>
      <c r="J88" s="21" t="str">
        <f>IMAGE("https://assets.tcgdex.net/de/sv/sv10.5b/109/low.jpg", 1)</f>
        <v/>
      </c>
      <c r="K88" s="22"/>
      <c r="L88" s="20"/>
      <c r="M88" s="21" t="str">
        <f>IMAGE("https://assets.tcgdex.net/de/sv/sv10.5b/110/low.jpg", 1)</f>
        <v/>
      </c>
      <c r="N88" s="22"/>
      <c r="O88" s="20"/>
    </row>
    <row r="89" ht="22.5" customHeight="1">
      <c r="A89" s="23" t="b">
        <v>0</v>
      </c>
      <c r="B89" s="24" t="b">
        <v>0</v>
      </c>
      <c r="C89" s="39" t="s">
        <v>2392</v>
      </c>
      <c r="D89" s="23" t="b">
        <v>0</v>
      </c>
      <c r="E89" s="24" t="b">
        <v>0</v>
      </c>
      <c r="F89" s="39" t="s">
        <v>2392</v>
      </c>
      <c r="G89" s="23" t="b">
        <v>0</v>
      </c>
      <c r="H89" s="24" t="b">
        <v>0</v>
      </c>
      <c r="I89" s="39" t="s">
        <v>2392</v>
      </c>
      <c r="J89" s="23" t="b">
        <v>0</v>
      </c>
      <c r="K89" s="24" t="b">
        <v>0</v>
      </c>
      <c r="L89" s="39" t="s">
        <v>2392</v>
      </c>
      <c r="M89" s="23" t="b">
        <v>0</v>
      </c>
      <c r="N89" s="24" t="b">
        <v>0</v>
      </c>
      <c r="O89" s="39" t="s">
        <v>2392</v>
      </c>
    </row>
    <row r="90" ht="7.5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</row>
    <row r="91" ht="18.75" customHeight="1">
      <c r="A91" s="18" t="s">
        <v>647</v>
      </c>
      <c r="B91" s="19" t="s">
        <v>1395</v>
      </c>
      <c r="C91" s="20"/>
      <c r="D91" s="18" t="s">
        <v>649</v>
      </c>
      <c r="E91" s="19" t="s">
        <v>983</v>
      </c>
      <c r="F91" s="20"/>
      <c r="G91" s="18" t="s">
        <v>651</v>
      </c>
      <c r="H91" s="19" t="s">
        <v>1400</v>
      </c>
      <c r="I91" s="20"/>
      <c r="J91" s="18" t="s">
        <v>823</v>
      </c>
      <c r="K91" s="19" t="s">
        <v>924</v>
      </c>
      <c r="L91" s="20"/>
      <c r="M91" s="18" t="s">
        <v>653</v>
      </c>
      <c r="N91" s="19" t="s">
        <v>1401</v>
      </c>
      <c r="O91" s="20"/>
    </row>
    <row r="92" ht="180.0" customHeight="1">
      <c r="A92" s="21" t="str">
        <f>IMAGE("https://assets.tcgdex.net/de/sv/sv10.5b/111/low.jpg", 1)</f>
        <v/>
      </c>
      <c r="B92" s="22"/>
      <c r="C92" s="20"/>
      <c r="D92" s="21" t="str">
        <f>IMAGE("https://assets.tcgdex.net/de/sv/sv10.5b/112/low.jpg", 1)</f>
        <v/>
      </c>
      <c r="E92" s="22"/>
      <c r="F92" s="20"/>
      <c r="G92" s="21" t="str">
        <f>IMAGE("https://assets.tcgdex.net/de/sv/sv10.5b/113/low.jpg", 1)</f>
        <v/>
      </c>
      <c r="H92" s="22"/>
      <c r="I92" s="20"/>
      <c r="J92" s="21" t="str">
        <f>IMAGE("https://assets.tcgdex.net/de/sv/sv10.5b/114/low.jpg", 1)</f>
        <v/>
      </c>
      <c r="K92" s="22"/>
      <c r="L92" s="20"/>
      <c r="M92" s="21" t="str">
        <f>IMAGE("https://assets.tcgdex.net/de/sv/sv10.5b/115/low.jpg", 1)</f>
        <v/>
      </c>
      <c r="N92" s="22"/>
      <c r="O92" s="20"/>
    </row>
    <row r="93" ht="22.5" customHeight="1">
      <c r="A93" s="23" t="b">
        <v>0</v>
      </c>
      <c r="B93" s="24" t="b">
        <v>0</v>
      </c>
      <c r="C93" s="39" t="s">
        <v>2392</v>
      </c>
      <c r="D93" s="23" t="b">
        <v>0</v>
      </c>
      <c r="E93" s="24" t="b">
        <v>0</v>
      </c>
      <c r="F93" s="39" t="s">
        <v>2392</v>
      </c>
      <c r="G93" s="23" t="b">
        <v>0</v>
      </c>
      <c r="H93" s="24" t="b">
        <v>0</v>
      </c>
      <c r="I93" s="39" t="s">
        <v>2392</v>
      </c>
      <c r="J93" s="23" t="b">
        <v>0</v>
      </c>
      <c r="K93" s="24" t="b">
        <v>0</v>
      </c>
      <c r="L93" s="39" t="s">
        <v>2392</v>
      </c>
      <c r="M93" s="23" t="b">
        <v>0</v>
      </c>
      <c r="N93" s="24" t="b">
        <v>0</v>
      </c>
      <c r="O93" s="39" t="s">
        <v>2392</v>
      </c>
    </row>
    <row r="94" ht="7.5" customHeigh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</row>
    <row r="95" ht="18.75" customHeight="1">
      <c r="A95" s="18" t="s">
        <v>825</v>
      </c>
      <c r="B95" s="19" t="s">
        <v>2395</v>
      </c>
      <c r="C95" s="20"/>
      <c r="D95" s="18" t="s">
        <v>655</v>
      </c>
      <c r="E95" s="19" t="s">
        <v>2396</v>
      </c>
      <c r="F95" s="20"/>
      <c r="G95" s="18" t="s">
        <v>827</v>
      </c>
      <c r="H95" s="19" t="s">
        <v>1809</v>
      </c>
      <c r="I95" s="20"/>
      <c r="J95" s="18" t="s">
        <v>657</v>
      </c>
      <c r="K95" s="19" t="s">
        <v>1810</v>
      </c>
      <c r="L95" s="20"/>
      <c r="M95" s="18" t="s">
        <v>659</v>
      </c>
      <c r="N95" s="19" t="s">
        <v>1812</v>
      </c>
      <c r="O95" s="20"/>
    </row>
    <row r="96" ht="180.0" customHeight="1">
      <c r="A96" s="21" t="str">
        <f>IMAGE("https://assets.tcgdex.net/de/sv/sv10.5b/116/low.jpg", 1)</f>
        <v/>
      </c>
      <c r="B96" s="22"/>
      <c r="C96" s="20"/>
      <c r="D96" s="21" t="str">
        <f>IMAGE("https://assets.tcgdex.net/de/sv/sv10.5b/117/low.jpg", 1)</f>
        <v/>
      </c>
      <c r="E96" s="22"/>
      <c r="F96" s="20"/>
      <c r="G96" s="21" t="str">
        <f>IMAGE("https://assets.tcgdex.net/de/sv/sv10.5b/118/low.jpg", 1)</f>
        <v/>
      </c>
      <c r="H96" s="22"/>
      <c r="I96" s="20"/>
      <c r="J96" s="21" t="str">
        <f>IMAGE("https://assets.tcgdex.net/de/sv/sv10.5b/119/low.jpg", 1)</f>
        <v/>
      </c>
      <c r="K96" s="22"/>
      <c r="L96" s="20"/>
      <c r="M96" s="21" t="str">
        <f>IMAGE("https://assets.tcgdex.net/de/sv/sv10.5b/120/low.jpg", 1)</f>
        <v/>
      </c>
      <c r="N96" s="22"/>
      <c r="O96" s="20"/>
    </row>
    <row r="97" ht="22.5" customHeight="1">
      <c r="A97" s="23" t="b">
        <v>0</v>
      </c>
      <c r="B97" s="24" t="b">
        <v>0</v>
      </c>
      <c r="C97" s="39" t="s">
        <v>2392</v>
      </c>
      <c r="D97" s="23" t="b">
        <v>0</v>
      </c>
      <c r="E97" s="24" t="b">
        <v>0</v>
      </c>
      <c r="F97" s="39" t="s">
        <v>2392</v>
      </c>
      <c r="G97" s="23" t="b">
        <v>0</v>
      </c>
      <c r="H97" s="24" t="b">
        <v>0</v>
      </c>
      <c r="I97" s="39" t="s">
        <v>2392</v>
      </c>
      <c r="J97" s="23" t="b">
        <v>0</v>
      </c>
      <c r="K97" s="24" t="b">
        <v>0</v>
      </c>
      <c r="L97" s="39" t="s">
        <v>2392</v>
      </c>
      <c r="M97" s="23" t="b">
        <v>0</v>
      </c>
      <c r="N97" s="24" t="b">
        <v>0</v>
      </c>
      <c r="O97" s="39" t="s">
        <v>2392</v>
      </c>
    </row>
    <row r="98" ht="7.5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</row>
    <row r="99" ht="18.75" customHeight="1">
      <c r="A99" s="18" t="s">
        <v>829</v>
      </c>
      <c r="B99" s="19" t="s">
        <v>1813</v>
      </c>
      <c r="C99" s="20"/>
      <c r="D99" s="18" t="s">
        <v>830</v>
      </c>
      <c r="E99" s="19" t="s">
        <v>1818</v>
      </c>
      <c r="F99" s="20"/>
      <c r="G99" s="18" t="s">
        <v>831</v>
      </c>
      <c r="H99" s="19" t="s">
        <v>1819</v>
      </c>
      <c r="I99" s="20"/>
      <c r="J99" s="18" t="s">
        <v>833</v>
      </c>
      <c r="K99" s="19" t="s">
        <v>1424</v>
      </c>
      <c r="L99" s="20"/>
      <c r="M99" s="18" t="s">
        <v>661</v>
      </c>
      <c r="N99" s="19" t="s">
        <v>1909</v>
      </c>
      <c r="O99" s="20"/>
    </row>
    <row r="100" ht="180.0" customHeight="1">
      <c r="A100" s="21" t="str">
        <f>IMAGE("https://assets.tcgdex.net/de/sv/sv10.5b/121/low.jpg", 1)</f>
        <v/>
      </c>
      <c r="B100" s="22"/>
      <c r="C100" s="20"/>
      <c r="D100" s="21" t="str">
        <f>IMAGE("https://assets.tcgdex.net/de/sv/sv10.5b/122/low.jpg", 1)</f>
        <v/>
      </c>
      <c r="E100" s="22"/>
      <c r="F100" s="20"/>
      <c r="G100" s="21" t="str">
        <f>IMAGE("https://assets.tcgdex.net/de/sv/sv10.5b/123/low.jpg", 1)</f>
        <v/>
      </c>
      <c r="H100" s="22"/>
      <c r="I100" s="20"/>
      <c r="J100" s="21" t="str">
        <f>IMAGE("https://assets.tcgdex.net/de/sv/sv10.5b/124/low.jpg", 1)</f>
        <v/>
      </c>
      <c r="K100" s="22"/>
      <c r="L100" s="20"/>
      <c r="M100" s="21" t="str">
        <f>IMAGE("https://assets.tcgdex.net/de/sv/sv10.5b/125/low.jpg", 1)</f>
        <v/>
      </c>
      <c r="N100" s="22"/>
      <c r="O100" s="20"/>
    </row>
    <row r="101" ht="22.5" customHeight="1">
      <c r="A101" s="23" t="b">
        <v>0</v>
      </c>
      <c r="B101" s="24" t="b">
        <v>0</v>
      </c>
      <c r="C101" s="39" t="s">
        <v>2392</v>
      </c>
      <c r="D101" s="23" t="b">
        <v>0</v>
      </c>
      <c r="E101" s="24" t="b">
        <v>0</v>
      </c>
      <c r="F101" s="39" t="s">
        <v>2392</v>
      </c>
      <c r="G101" s="23" t="b">
        <v>0</v>
      </c>
      <c r="H101" s="24" t="b">
        <v>0</v>
      </c>
      <c r="I101" s="39" t="s">
        <v>2392</v>
      </c>
      <c r="J101" s="23" t="b">
        <v>0</v>
      </c>
      <c r="K101" s="24" t="b">
        <v>0</v>
      </c>
      <c r="L101" s="39" t="s">
        <v>2392</v>
      </c>
      <c r="M101" s="23" t="b">
        <v>0</v>
      </c>
      <c r="N101" s="24" t="b">
        <v>0</v>
      </c>
      <c r="O101" s="39" t="s">
        <v>2392</v>
      </c>
    </row>
    <row r="102" ht="7.5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</row>
    <row r="103" ht="18.75" customHeight="1">
      <c r="A103" s="18" t="s">
        <v>835</v>
      </c>
      <c r="B103" s="19" t="s">
        <v>1910</v>
      </c>
      <c r="C103" s="20"/>
      <c r="D103" s="18" t="s">
        <v>662</v>
      </c>
      <c r="E103" s="19" t="s">
        <v>1911</v>
      </c>
      <c r="F103" s="20"/>
      <c r="G103" s="18" t="s">
        <v>837</v>
      </c>
      <c r="H103" s="19" t="s">
        <v>2399</v>
      </c>
      <c r="I103" s="20"/>
      <c r="J103" s="18" t="s">
        <v>839</v>
      </c>
      <c r="K103" s="19" t="s">
        <v>1595</v>
      </c>
      <c r="L103" s="20"/>
      <c r="M103" s="18" t="s">
        <v>841</v>
      </c>
      <c r="N103" s="19" t="s">
        <v>1596</v>
      </c>
      <c r="O103" s="20"/>
    </row>
    <row r="104" ht="180.0" customHeight="1">
      <c r="A104" s="21" t="str">
        <f>IMAGE("https://assets.tcgdex.net/de/sv/sv10.5b/126/low.jpg", 1)</f>
        <v/>
      </c>
      <c r="B104" s="22"/>
      <c r="C104" s="20"/>
      <c r="D104" s="21" t="str">
        <f>IMAGE("https://assets.tcgdex.net/de/sv/sv10.5b/127/low.jpg", 1)</f>
        <v/>
      </c>
      <c r="E104" s="22"/>
      <c r="F104" s="20"/>
      <c r="G104" s="21" t="str">
        <f>IMAGE("https://assets.tcgdex.net/de/sv/sv10.5b/128/low.jpg", 1)</f>
        <v/>
      </c>
      <c r="H104" s="22"/>
      <c r="I104" s="20"/>
      <c r="J104" s="21" t="str">
        <f>IMAGE("https://assets.tcgdex.net/de/sv/sv10.5b/129/low.jpg", 1)</f>
        <v/>
      </c>
      <c r="K104" s="22"/>
      <c r="L104" s="20"/>
      <c r="M104" s="21" t="str">
        <f>IMAGE("https://assets.tcgdex.net/de/sv/sv10.5b/130/low.jpg", 1)</f>
        <v/>
      </c>
      <c r="N104" s="22"/>
      <c r="O104" s="20"/>
    </row>
    <row r="105" ht="22.5" customHeight="1">
      <c r="A105" s="23" t="b">
        <v>0</v>
      </c>
      <c r="B105" s="24" t="b">
        <v>0</v>
      </c>
      <c r="C105" s="39" t="s">
        <v>2392</v>
      </c>
      <c r="D105" s="23" t="b">
        <v>0</v>
      </c>
      <c r="E105" s="24" t="b">
        <v>0</v>
      </c>
      <c r="F105" s="39" t="s">
        <v>2392</v>
      </c>
      <c r="G105" s="23" t="b">
        <v>0</v>
      </c>
      <c r="H105" s="24" t="b">
        <v>0</v>
      </c>
      <c r="I105" s="39" t="s">
        <v>2392</v>
      </c>
      <c r="J105" s="23" t="b">
        <v>0</v>
      </c>
      <c r="K105" s="24" t="b">
        <v>0</v>
      </c>
      <c r="L105" s="39" t="s">
        <v>2392</v>
      </c>
      <c r="M105" s="23" t="b">
        <v>0</v>
      </c>
      <c r="N105" s="24" t="b">
        <v>0</v>
      </c>
      <c r="O105" s="39" t="s">
        <v>2392</v>
      </c>
    </row>
    <row r="106" ht="7.5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</row>
    <row r="107" ht="18.75" customHeight="1">
      <c r="A107" s="18" t="s">
        <v>842</v>
      </c>
      <c r="B107" s="19" t="s">
        <v>2087</v>
      </c>
      <c r="C107" s="20"/>
      <c r="D107" s="18" t="s">
        <v>844</v>
      </c>
      <c r="E107" s="19" t="s">
        <v>1915</v>
      </c>
      <c r="F107" s="20"/>
      <c r="G107" s="18" t="s">
        <v>664</v>
      </c>
      <c r="H107" s="19" t="s">
        <v>1916</v>
      </c>
      <c r="I107" s="20"/>
      <c r="J107" s="18" t="s">
        <v>666</v>
      </c>
      <c r="K107" s="19" t="s">
        <v>1917</v>
      </c>
      <c r="L107" s="20"/>
      <c r="M107" s="18" t="s">
        <v>845</v>
      </c>
      <c r="N107" s="19" t="s">
        <v>1285</v>
      </c>
      <c r="O107" s="20"/>
    </row>
    <row r="108" ht="180.0" customHeight="1">
      <c r="A108" s="21" t="str">
        <f>IMAGE("https://assets.tcgdex.net/de/sv/sv10.5b/131/low.jpg", 1)</f>
        <v/>
      </c>
      <c r="B108" s="22"/>
      <c r="C108" s="20"/>
      <c r="D108" s="21" t="str">
        <f>IMAGE("https://assets.tcgdex.net/de/sv/sv10.5b/132/low.jpg", 1)</f>
        <v/>
      </c>
      <c r="E108" s="22"/>
      <c r="F108" s="20"/>
      <c r="G108" s="21" t="str">
        <f>IMAGE("https://assets.tcgdex.net/de/sv/sv10.5b/133/low.jpg", 1)</f>
        <v/>
      </c>
      <c r="H108" s="22"/>
      <c r="I108" s="20"/>
      <c r="J108" s="21" t="str">
        <f>IMAGE("https://assets.tcgdex.net/de/sv/sv10.5b/134/low.jpg", 1)</f>
        <v/>
      </c>
      <c r="K108" s="22"/>
      <c r="L108" s="20"/>
      <c r="M108" s="21" t="str">
        <f>IMAGE("https://assets.tcgdex.net/de/sv/sv10.5b/135/low.jpg", 1)</f>
        <v/>
      </c>
      <c r="N108" s="22"/>
      <c r="O108" s="20"/>
    </row>
    <row r="109" ht="22.5" customHeight="1">
      <c r="A109" s="23" t="b">
        <v>0</v>
      </c>
      <c r="B109" s="24" t="b">
        <v>0</v>
      </c>
      <c r="C109" s="39" t="s">
        <v>2392</v>
      </c>
      <c r="D109" s="23" t="b">
        <v>0</v>
      </c>
      <c r="E109" s="24" t="b">
        <v>0</v>
      </c>
      <c r="F109" s="39" t="s">
        <v>2392</v>
      </c>
      <c r="G109" s="23" t="b">
        <v>0</v>
      </c>
      <c r="H109" s="24" t="b">
        <v>0</v>
      </c>
      <c r="I109" s="39" t="s">
        <v>2392</v>
      </c>
      <c r="J109" s="23" t="b">
        <v>0</v>
      </c>
      <c r="K109" s="24" t="b">
        <v>0</v>
      </c>
      <c r="L109" s="39" t="s">
        <v>2392</v>
      </c>
      <c r="M109" s="23" t="b">
        <v>0</v>
      </c>
      <c r="N109" s="24" t="b">
        <v>0</v>
      </c>
      <c r="O109" s="39" t="s">
        <v>2392</v>
      </c>
    </row>
    <row r="110" ht="7.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</row>
    <row r="111" ht="18.75" customHeight="1">
      <c r="A111" s="18" t="s">
        <v>668</v>
      </c>
      <c r="B111" s="19" t="s">
        <v>1006</v>
      </c>
      <c r="C111" s="20"/>
      <c r="D111" s="18" t="s">
        <v>670</v>
      </c>
      <c r="E111" s="19" t="s">
        <v>1286</v>
      </c>
      <c r="F111" s="20"/>
      <c r="G111" s="18" t="s">
        <v>672</v>
      </c>
      <c r="H111" s="19" t="s">
        <v>2216</v>
      </c>
      <c r="I111" s="20"/>
      <c r="J111" s="18" t="s">
        <v>674</v>
      </c>
      <c r="K111" s="19" t="s">
        <v>2025</v>
      </c>
      <c r="L111" s="20"/>
      <c r="M111" s="18" t="s">
        <v>847</v>
      </c>
      <c r="N111" s="19" t="s">
        <v>2026</v>
      </c>
      <c r="O111" s="20"/>
    </row>
    <row r="112" ht="180.0" customHeight="1">
      <c r="A112" s="21" t="str">
        <f>IMAGE("https://assets.tcgdex.net/de/sv/sv10.5b/136/low.jpg", 1)</f>
        <v/>
      </c>
      <c r="B112" s="22"/>
      <c r="C112" s="20"/>
      <c r="D112" s="21" t="str">
        <f>IMAGE("https://assets.tcgdex.net/de/sv/sv10.5b/137/low.jpg", 1)</f>
        <v/>
      </c>
      <c r="E112" s="22"/>
      <c r="F112" s="20"/>
      <c r="G112" s="21" t="str">
        <f>IMAGE("https://assets.tcgdex.net/de/sv/sv10.5b/138/low.jpg", 1)</f>
        <v/>
      </c>
      <c r="H112" s="22"/>
      <c r="I112" s="20"/>
      <c r="J112" s="21" t="str">
        <f>IMAGE("https://assets.tcgdex.net/de/sv/sv10.5b/139/low.jpg", 1)</f>
        <v/>
      </c>
      <c r="K112" s="22"/>
      <c r="L112" s="20"/>
      <c r="M112" s="21" t="str">
        <f>IMAGE("https://assets.tcgdex.net/de/sv/sv10.5b/140/low.jpg", 1)</f>
        <v/>
      </c>
      <c r="N112" s="22"/>
      <c r="O112" s="20"/>
    </row>
    <row r="113" ht="22.5" customHeight="1">
      <c r="A113" s="23" t="b">
        <v>0</v>
      </c>
      <c r="B113" s="24" t="b">
        <v>0</v>
      </c>
      <c r="C113" s="39" t="s">
        <v>2392</v>
      </c>
      <c r="D113" s="23" t="b">
        <v>0</v>
      </c>
      <c r="E113" s="24" t="b">
        <v>0</v>
      </c>
      <c r="F113" s="39" t="s">
        <v>2392</v>
      </c>
      <c r="G113" s="23" t="b">
        <v>0</v>
      </c>
      <c r="H113" s="24" t="b">
        <v>0</v>
      </c>
      <c r="I113" s="39" t="s">
        <v>2392</v>
      </c>
      <c r="J113" s="23" t="b">
        <v>0</v>
      </c>
      <c r="K113" s="24" t="b">
        <v>0</v>
      </c>
      <c r="L113" s="39" t="s">
        <v>2392</v>
      </c>
      <c r="M113" s="23" t="b">
        <v>0</v>
      </c>
      <c r="N113" s="24" t="b">
        <v>0</v>
      </c>
      <c r="O113" s="39" t="s">
        <v>2392</v>
      </c>
    </row>
    <row r="114" ht="7.5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</row>
    <row r="115" ht="18.75" customHeight="1">
      <c r="A115" s="18" t="s">
        <v>848</v>
      </c>
      <c r="B115" s="19" t="s">
        <v>2027</v>
      </c>
      <c r="C115" s="20"/>
      <c r="D115" s="18" t="s">
        <v>676</v>
      </c>
      <c r="E115" s="19" t="s">
        <v>648</v>
      </c>
      <c r="F115" s="20"/>
      <c r="G115" s="18" t="s">
        <v>678</v>
      </c>
      <c r="H115" s="19" t="s">
        <v>650</v>
      </c>
      <c r="I115" s="20"/>
      <c r="J115" s="18" t="s">
        <v>679</v>
      </c>
      <c r="K115" s="19" t="s">
        <v>2400</v>
      </c>
      <c r="L115" s="20"/>
      <c r="M115" s="18" t="s">
        <v>850</v>
      </c>
      <c r="N115" s="19" t="s">
        <v>1970</v>
      </c>
      <c r="O115" s="20"/>
    </row>
    <row r="116" ht="180.0" customHeight="1">
      <c r="A116" s="21" t="str">
        <f>IMAGE("https://assets.tcgdex.net/de/sv/sv10.5b/141/low.jpg", 1)</f>
        <v/>
      </c>
      <c r="B116" s="22"/>
      <c r="C116" s="20"/>
      <c r="D116" s="21" t="str">
        <f>IMAGE("https://assets.tcgdex.net/de/sv/sv10.5b/142/low.jpg", 1)</f>
        <v/>
      </c>
      <c r="E116" s="22"/>
      <c r="F116" s="20"/>
      <c r="G116" s="21" t="str">
        <f>IMAGE("https://assets.tcgdex.net/de/sv/sv10.5b/143/low.jpg", 1)</f>
        <v/>
      </c>
      <c r="H116" s="22"/>
      <c r="I116" s="20"/>
      <c r="J116" s="21" t="str">
        <f>IMAGE("https://assets.tcgdex.net/de/sv/sv10.5b/144/low.jpg", 1)</f>
        <v/>
      </c>
      <c r="K116" s="22"/>
      <c r="L116" s="20"/>
      <c r="M116" s="21" t="str">
        <f>IMAGE("https://assets.tcgdex.net/de/sv/sv10.5b/145/low.jpg", 1)</f>
        <v/>
      </c>
      <c r="N116" s="22"/>
      <c r="O116" s="20"/>
    </row>
    <row r="117" ht="22.5" customHeight="1">
      <c r="A117" s="23" t="b">
        <v>0</v>
      </c>
      <c r="B117" s="24" t="b">
        <v>0</v>
      </c>
      <c r="C117" s="39" t="s">
        <v>2392</v>
      </c>
      <c r="D117" s="23" t="b">
        <v>0</v>
      </c>
      <c r="E117" s="24" t="b">
        <v>0</v>
      </c>
      <c r="F117" s="39" t="s">
        <v>2392</v>
      </c>
      <c r="G117" s="23" t="b">
        <v>0</v>
      </c>
      <c r="H117" s="24" t="b">
        <v>0</v>
      </c>
      <c r="I117" s="39" t="s">
        <v>2392</v>
      </c>
      <c r="J117" s="23" t="b">
        <v>0</v>
      </c>
      <c r="K117" s="24" t="b">
        <v>0</v>
      </c>
      <c r="L117" s="39" t="s">
        <v>2392</v>
      </c>
      <c r="M117" s="23" t="b">
        <v>0</v>
      </c>
      <c r="N117" s="24" t="b">
        <v>0</v>
      </c>
      <c r="O117" s="39" t="s">
        <v>2392</v>
      </c>
    </row>
    <row r="118" ht="7.5" customHeigh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</row>
    <row r="119" ht="18.75" customHeight="1">
      <c r="A119" s="18" t="s">
        <v>681</v>
      </c>
      <c r="B119" s="19" t="s">
        <v>1971</v>
      </c>
      <c r="C119" s="20"/>
      <c r="D119" s="18" t="s">
        <v>683</v>
      </c>
      <c r="E119" s="19" t="s">
        <v>1972</v>
      </c>
      <c r="F119" s="20"/>
      <c r="G119" s="18" t="s">
        <v>685</v>
      </c>
      <c r="H119" s="19" t="s">
        <v>1844</v>
      </c>
      <c r="I119" s="20"/>
      <c r="J119" s="18" t="s">
        <v>852</v>
      </c>
      <c r="K119" s="19" t="s">
        <v>1845</v>
      </c>
      <c r="L119" s="20"/>
      <c r="M119" s="18" t="s">
        <v>686</v>
      </c>
      <c r="N119" s="19" t="s">
        <v>1846</v>
      </c>
      <c r="O119" s="20"/>
    </row>
    <row r="120" ht="180.0" customHeight="1">
      <c r="A120" s="21" t="str">
        <f>IMAGE("https://assets.tcgdex.net/de/sv/sv10.5b/146/low.jpg", 1)</f>
        <v/>
      </c>
      <c r="B120" s="22"/>
      <c r="C120" s="20"/>
      <c r="D120" s="21" t="str">
        <f>IMAGE("https://assets.tcgdex.net/de/sv/sv10.5b/147/low.jpg", 1)</f>
        <v/>
      </c>
      <c r="E120" s="22"/>
      <c r="F120" s="20"/>
      <c r="G120" s="21" t="str">
        <f>IMAGE("https://assets.tcgdex.net/de/sv/sv10.5b/148/low.jpg", 1)</f>
        <v/>
      </c>
      <c r="H120" s="22"/>
      <c r="I120" s="20"/>
      <c r="J120" s="21" t="str">
        <f>IMAGE("https://assets.tcgdex.net/de/sv/sv10.5b/149/low.jpg", 1)</f>
        <v/>
      </c>
      <c r="K120" s="22"/>
      <c r="L120" s="20"/>
      <c r="M120" s="21" t="str">
        <f>IMAGE("https://assets.tcgdex.net/de/sv/sv10.5b/150/low.jpg", 1)</f>
        <v/>
      </c>
      <c r="N120" s="22"/>
      <c r="O120" s="20"/>
    </row>
    <row r="121" ht="22.5" customHeight="1">
      <c r="A121" s="23" t="b">
        <v>0</v>
      </c>
      <c r="B121" s="24" t="b">
        <v>0</v>
      </c>
      <c r="C121" s="39" t="s">
        <v>2392</v>
      </c>
      <c r="D121" s="23" t="b">
        <v>0</v>
      </c>
      <c r="E121" s="24" t="b">
        <v>0</v>
      </c>
      <c r="F121" s="39" t="s">
        <v>2392</v>
      </c>
      <c r="G121" s="23" t="b">
        <v>0</v>
      </c>
      <c r="H121" s="24" t="b">
        <v>0</v>
      </c>
      <c r="I121" s="39" t="s">
        <v>2392</v>
      </c>
      <c r="J121" s="23" t="b">
        <v>0</v>
      </c>
      <c r="K121" s="24" t="b">
        <v>0</v>
      </c>
      <c r="L121" s="39" t="s">
        <v>2392</v>
      </c>
      <c r="M121" s="23" t="b">
        <v>0</v>
      </c>
      <c r="N121" s="24" t="b">
        <v>0</v>
      </c>
      <c r="O121" s="39" t="s">
        <v>2392</v>
      </c>
    </row>
    <row r="122" ht="7.5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</row>
    <row r="123" ht="18.75" customHeight="1">
      <c r="A123" s="18" t="s">
        <v>853</v>
      </c>
      <c r="B123" s="19" t="s">
        <v>1459</v>
      </c>
      <c r="C123" s="20"/>
      <c r="D123" s="18" t="s">
        <v>855</v>
      </c>
      <c r="E123" s="19" t="s">
        <v>1847</v>
      </c>
      <c r="F123" s="20"/>
      <c r="G123" s="18" t="s">
        <v>687</v>
      </c>
      <c r="H123" s="19" t="s">
        <v>1848</v>
      </c>
      <c r="I123" s="20"/>
      <c r="J123" s="18" t="s">
        <v>689</v>
      </c>
      <c r="K123" s="19" t="s">
        <v>2107</v>
      </c>
      <c r="L123" s="20"/>
      <c r="M123" s="18" t="s">
        <v>691</v>
      </c>
      <c r="N123" s="19" t="s">
        <v>2108</v>
      </c>
      <c r="O123" s="20"/>
    </row>
    <row r="124" ht="180.0" customHeight="1">
      <c r="A124" s="21" t="str">
        <f>IMAGE("https://assets.tcgdex.net/de/sv/sv10.5b/151/low.jpg", 1)</f>
        <v/>
      </c>
      <c r="B124" s="22"/>
      <c r="C124" s="20"/>
      <c r="D124" s="21" t="str">
        <f>IMAGE("https://assets.tcgdex.net/de/sv/sv10.5b/152/low.jpg", 1)</f>
        <v/>
      </c>
      <c r="E124" s="22"/>
      <c r="F124" s="20"/>
      <c r="G124" s="21" t="str">
        <f>IMAGE("https://assets.tcgdex.net/de/sv/sv10.5b/153/low.jpg", 1)</f>
        <v/>
      </c>
      <c r="H124" s="22"/>
      <c r="I124" s="20"/>
      <c r="J124" s="21" t="str">
        <f>IMAGE("https://assets.tcgdex.net/de/sv/sv10.5b/154/low.jpg", 1)</f>
        <v/>
      </c>
      <c r="K124" s="22"/>
      <c r="L124" s="20"/>
      <c r="M124" s="21" t="str">
        <f>IMAGE("https://assets.tcgdex.net/de/sv/sv10.5b/155/low.jpg", 1)</f>
        <v/>
      </c>
      <c r="N124" s="22"/>
      <c r="O124" s="20"/>
    </row>
    <row r="125" ht="22.5" customHeight="1">
      <c r="A125" s="23" t="b">
        <v>0</v>
      </c>
      <c r="B125" s="24" t="b">
        <v>0</v>
      </c>
      <c r="C125" s="39" t="s">
        <v>2392</v>
      </c>
      <c r="D125" s="23" t="b">
        <v>0</v>
      </c>
      <c r="E125" s="24" t="b">
        <v>0</v>
      </c>
      <c r="F125" s="39" t="s">
        <v>2392</v>
      </c>
      <c r="G125" s="23" t="b">
        <v>0</v>
      </c>
      <c r="H125" s="24" t="b">
        <v>0</v>
      </c>
      <c r="I125" s="39" t="s">
        <v>2392</v>
      </c>
      <c r="J125" s="23" t="b">
        <v>0</v>
      </c>
      <c r="K125" s="24" t="b">
        <v>0</v>
      </c>
      <c r="L125" s="39" t="s">
        <v>2392</v>
      </c>
      <c r="M125" s="23" t="b">
        <v>0</v>
      </c>
      <c r="N125" s="24" t="b">
        <v>0</v>
      </c>
      <c r="O125" s="39" t="s">
        <v>2392</v>
      </c>
    </row>
    <row r="126" ht="7.5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</row>
    <row r="127" ht="18.75" customHeight="1">
      <c r="A127" s="18" t="s">
        <v>857</v>
      </c>
      <c r="B127" s="19" t="s">
        <v>2391</v>
      </c>
      <c r="C127" s="20"/>
      <c r="D127" s="18" t="s">
        <v>859</v>
      </c>
      <c r="E127" s="19" t="s">
        <v>2393</v>
      </c>
      <c r="F127" s="20"/>
      <c r="G127" s="18" t="s">
        <v>693</v>
      </c>
      <c r="H127" s="19" t="s">
        <v>2394</v>
      </c>
      <c r="I127" s="20"/>
      <c r="J127" s="18" t="s">
        <v>861</v>
      </c>
      <c r="K127" s="19" t="s">
        <v>2397</v>
      </c>
      <c r="L127" s="20"/>
      <c r="M127" s="18" t="s">
        <v>695</v>
      </c>
      <c r="N127" s="19" t="s">
        <v>2398</v>
      </c>
      <c r="O127" s="20"/>
    </row>
    <row r="128" ht="180.0" customHeight="1">
      <c r="A128" s="21" t="str">
        <f>IMAGE("https://assets.tcgdex.net/de/sv/sv10.5b/156/low.jpg", 1)</f>
        <v/>
      </c>
      <c r="B128" s="22"/>
      <c r="C128" s="20"/>
      <c r="D128" s="21" t="str">
        <f>IMAGE("https://assets.tcgdex.net/de/sv/sv10.5b/157/low.jpg", 1)</f>
        <v/>
      </c>
      <c r="E128" s="22"/>
      <c r="F128" s="20"/>
      <c r="G128" s="21" t="str">
        <f>IMAGE("https://assets.tcgdex.net/de/sv/sv10.5b/158/low.jpg", 1)</f>
        <v/>
      </c>
      <c r="H128" s="22"/>
      <c r="I128" s="20"/>
      <c r="J128" s="21" t="str">
        <f>IMAGE("https://assets.tcgdex.net/de/sv/sv10.5b/159/low.jpg", 1)</f>
        <v/>
      </c>
      <c r="K128" s="22"/>
      <c r="L128" s="20"/>
      <c r="M128" s="21" t="str">
        <f>IMAGE("https://assets.tcgdex.net/de/sv/sv10.5b/160/low.jpg", 1)</f>
        <v/>
      </c>
      <c r="N128" s="22"/>
      <c r="O128" s="20"/>
    </row>
    <row r="129" ht="22.5" customHeight="1">
      <c r="A129" s="23" t="b">
        <v>0</v>
      </c>
      <c r="B129" s="24" t="b">
        <v>0</v>
      </c>
      <c r="C129" s="39" t="s">
        <v>2392</v>
      </c>
      <c r="D129" s="23" t="b">
        <v>0</v>
      </c>
      <c r="E129" s="24" t="b">
        <v>0</v>
      </c>
      <c r="F129" s="39" t="s">
        <v>2392</v>
      </c>
      <c r="G129" s="23" t="b">
        <v>0</v>
      </c>
      <c r="H129" s="24" t="b">
        <v>0</v>
      </c>
      <c r="I129" s="39" t="s">
        <v>2392</v>
      </c>
      <c r="J129" s="23" t="b">
        <v>0</v>
      </c>
      <c r="K129" s="24" t="b">
        <v>0</v>
      </c>
      <c r="L129" s="39" t="s">
        <v>2392</v>
      </c>
      <c r="M129" s="23" t="b">
        <v>0</v>
      </c>
      <c r="N129" s="24" t="b">
        <v>0</v>
      </c>
      <c r="O129" s="39" t="s">
        <v>2392</v>
      </c>
    </row>
    <row r="130" ht="7.5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</row>
    <row r="131" ht="18.75" customHeight="1">
      <c r="A131" s="18" t="s">
        <v>862</v>
      </c>
      <c r="B131" s="19" t="s">
        <v>2401</v>
      </c>
      <c r="C131" s="20"/>
      <c r="D131" s="18" t="s">
        <v>697</v>
      </c>
      <c r="E131" s="19" t="s">
        <v>2404</v>
      </c>
      <c r="F131" s="20"/>
      <c r="G131" s="18" t="s">
        <v>863</v>
      </c>
      <c r="H131" s="19" t="s">
        <v>2405</v>
      </c>
      <c r="I131" s="20"/>
      <c r="J131" s="18" t="s">
        <v>865</v>
      </c>
      <c r="K131" s="19" t="s">
        <v>2391</v>
      </c>
      <c r="L131" s="20"/>
      <c r="M131" s="18" t="s">
        <v>867</v>
      </c>
      <c r="N131" s="19" t="s">
        <v>2393</v>
      </c>
      <c r="O131" s="20"/>
    </row>
    <row r="132" ht="180.0" customHeight="1">
      <c r="A132" s="21" t="str">
        <f>IMAGE("https://assets.tcgdex.net/de/sv/sv10.5b/161/low.jpg", 1)</f>
        <v/>
      </c>
      <c r="B132" s="22"/>
      <c r="C132" s="20"/>
      <c r="D132" s="21" t="str">
        <f>IMAGE("https://assets.tcgdex.net/de/sv/sv10.5b/162/low.jpg", 1)</f>
        <v/>
      </c>
      <c r="E132" s="22"/>
      <c r="F132" s="20"/>
      <c r="G132" s="21" t="str">
        <f>IMAGE("https://assets.tcgdex.net/de/sv/sv10.5b/163/low.jpg", 1)</f>
        <v/>
      </c>
      <c r="H132" s="22"/>
      <c r="I132" s="20"/>
      <c r="J132" s="21" t="str">
        <f>IMAGE("https://assets.tcgdex.net/de/sv/sv10.5b/164/low.jpg", 1)</f>
        <v/>
      </c>
      <c r="K132" s="22"/>
      <c r="L132" s="20"/>
      <c r="M132" s="21" t="str">
        <f>IMAGE("https://assets.tcgdex.net/de/sv/sv10.5b/165/low.jpg", 1)</f>
        <v/>
      </c>
      <c r="N132" s="22"/>
      <c r="O132" s="20"/>
    </row>
    <row r="133" ht="22.5" customHeight="1">
      <c r="A133" s="23" t="b">
        <v>0</v>
      </c>
      <c r="B133" s="24" t="b">
        <v>0</v>
      </c>
      <c r="C133" s="39" t="s">
        <v>2392</v>
      </c>
      <c r="D133" s="23" t="b">
        <v>0</v>
      </c>
      <c r="E133" s="24" t="b">
        <v>0</v>
      </c>
      <c r="F133" s="39" t="s">
        <v>2392</v>
      </c>
      <c r="G133" s="23" t="b">
        <v>0</v>
      </c>
      <c r="H133" s="24" t="b">
        <v>0</v>
      </c>
      <c r="I133" s="39" t="s">
        <v>2392</v>
      </c>
      <c r="J133" s="23" t="b">
        <v>0</v>
      </c>
      <c r="K133" s="24" t="b">
        <v>0</v>
      </c>
      <c r="L133" s="39" t="s">
        <v>2392</v>
      </c>
      <c r="M133" s="23" t="b">
        <v>0</v>
      </c>
      <c r="N133" s="24" t="b">
        <v>0</v>
      </c>
      <c r="O133" s="39" t="s">
        <v>2392</v>
      </c>
    </row>
    <row r="134" ht="7.5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</row>
    <row r="135" ht="18.75" customHeight="1">
      <c r="A135" s="18" t="s">
        <v>869</v>
      </c>
      <c r="B135" s="19" t="s">
        <v>2394</v>
      </c>
      <c r="C135" s="20"/>
      <c r="D135" s="18" t="s">
        <v>871</v>
      </c>
      <c r="E135" s="19" t="s">
        <v>2397</v>
      </c>
      <c r="F135" s="20"/>
      <c r="G135" s="18" t="s">
        <v>873</v>
      </c>
      <c r="H135" s="19" t="s">
        <v>2398</v>
      </c>
      <c r="I135" s="20"/>
      <c r="J135" s="18" t="s">
        <v>875</v>
      </c>
      <c r="K135" s="19" t="s">
        <v>2401</v>
      </c>
      <c r="L135" s="20"/>
      <c r="M135" s="18" t="s">
        <v>877</v>
      </c>
      <c r="N135" s="19" t="s">
        <v>2405</v>
      </c>
      <c r="O135" s="20"/>
    </row>
    <row r="136" ht="180.0" customHeight="1">
      <c r="A136" s="21" t="str">
        <f>IMAGE("https://assets.tcgdex.net/de/sv/sv10.5b/166/low.jpg", 1)</f>
        <v/>
      </c>
      <c r="B136" s="22"/>
      <c r="C136" s="20"/>
      <c r="D136" s="21" t="str">
        <f>IMAGE("https://assets.tcgdex.net/de/sv/sv10.5b/167/low.jpg", 1)</f>
        <v/>
      </c>
      <c r="E136" s="22"/>
      <c r="F136" s="20"/>
      <c r="G136" s="21" t="str">
        <f>IMAGE("https://assets.tcgdex.net/de/sv/sv10.5b/168/low.jpg", 1)</f>
        <v/>
      </c>
      <c r="H136" s="22"/>
      <c r="I136" s="20"/>
      <c r="J136" s="21" t="str">
        <f>IMAGE("https://assets.tcgdex.net/de/sv/sv10.5b/169/low.jpg", 1)</f>
        <v/>
      </c>
      <c r="K136" s="22"/>
      <c r="L136" s="20"/>
      <c r="M136" s="21" t="str">
        <f>IMAGE("https://assets.tcgdex.net/de/sv/sv10.5b/170/low.jpg", 1)</f>
        <v/>
      </c>
      <c r="N136" s="22"/>
      <c r="O136" s="20"/>
    </row>
    <row r="137" ht="22.5" customHeight="1">
      <c r="A137" s="23" t="b">
        <v>0</v>
      </c>
      <c r="B137" s="24" t="b">
        <v>0</v>
      </c>
      <c r="C137" s="39" t="s">
        <v>2392</v>
      </c>
      <c r="D137" s="23" t="b">
        <v>0</v>
      </c>
      <c r="E137" s="24" t="b">
        <v>0</v>
      </c>
      <c r="F137" s="39" t="s">
        <v>2392</v>
      </c>
      <c r="G137" s="23" t="b">
        <v>0</v>
      </c>
      <c r="H137" s="24" t="b">
        <v>0</v>
      </c>
      <c r="I137" s="39" t="s">
        <v>2392</v>
      </c>
      <c r="J137" s="23" t="b">
        <v>0</v>
      </c>
      <c r="K137" s="24" t="b">
        <v>0</v>
      </c>
      <c r="L137" s="39" t="s">
        <v>2392</v>
      </c>
      <c r="M137" s="23" t="b">
        <v>0</v>
      </c>
      <c r="N137" s="24" t="b">
        <v>0</v>
      </c>
      <c r="O137" s="39" t="s">
        <v>2392</v>
      </c>
    </row>
    <row r="138" ht="7.5" customHeight="1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</row>
    <row r="139" ht="18.75" customHeight="1">
      <c r="A139" s="18" t="s">
        <v>879</v>
      </c>
      <c r="B139" s="19" t="s">
        <v>1789</v>
      </c>
      <c r="C139" s="20"/>
      <c r="D139" s="18" t="s">
        <v>881</v>
      </c>
      <c r="E139" s="19" t="s">
        <v>2394</v>
      </c>
      <c r="F139" s="20"/>
      <c r="G139" s="26"/>
      <c r="H139" s="26"/>
      <c r="I139" s="26"/>
      <c r="J139" s="26"/>
      <c r="K139" s="26"/>
      <c r="L139" s="26"/>
      <c r="M139" s="26"/>
      <c r="N139" s="26"/>
      <c r="O139" s="26"/>
    </row>
    <row r="140" ht="180.0" customHeight="1">
      <c r="A140" s="21" t="str">
        <f>IMAGE("https://assets.tcgdex.net/de/sv/sv10.5b/171/low.jpg", 1)</f>
        <v/>
      </c>
      <c r="B140" s="22"/>
      <c r="C140" s="20"/>
      <c r="D140" s="21" t="str">
        <f>IMAGE("https://assets.tcgdex.net/de/sv/sv10.5b/172/low.jpg", 1)</f>
        <v/>
      </c>
      <c r="E140" s="22"/>
      <c r="F140" s="20"/>
      <c r="G140" s="26"/>
      <c r="H140" s="26"/>
      <c r="I140" s="26"/>
      <c r="J140" s="26"/>
      <c r="K140" s="26"/>
      <c r="L140" s="26"/>
      <c r="M140" s="26"/>
      <c r="N140" s="26"/>
      <c r="O140" s="26"/>
    </row>
    <row r="141" ht="22.5" customHeight="1">
      <c r="A141" s="23" t="b">
        <v>0</v>
      </c>
      <c r="B141" s="24" t="b">
        <v>0</v>
      </c>
      <c r="C141" s="39" t="s">
        <v>2392</v>
      </c>
      <c r="D141" s="23" t="b">
        <v>0</v>
      </c>
      <c r="E141" s="24" t="b">
        <v>0</v>
      </c>
      <c r="F141" s="39" t="s">
        <v>2392</v>
      </c>
      <c r="G141" s="26"/>
      <c r="H141" s="26"/>
      <c r="I141" s="26"/>
      <c r="J141" s="26"/>
      <c r="K141" s="26"/>
      <c r="L141" s="26"/>
      <c r="M141" s="26"/>
      <c r="N141" s="26"/>
      <c r="O141" s="26"/>
    </row>
    <row r="142" ht="7.5" customHeight="1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</row>
  </sheetData>
  <mergeCells count="346">
    <mergeCell ref="B79:C79"/>
    <mergeCell ref="E79:F79"/>
    <mergeCell ref="H79:I79"/>
    <mergeCell ref="K79:L79"/>
    <mergeCell ref="N79:O79"/>
    <mergeCell ref="A80:C80"/>
    <mergeCell ref="D80:F80"/>
    <mergeCell ref="M80:O80"/>
    <mergeCell ref="G80:I80"/>
    <mergeCell ref="J80:L80"/>
    <mergeCell ref="B83:C83"/>
    <mergeCell ref="E83:F83"/>
    <mergeCell ref="H83:I83"/>
    <mergeCell ref="K83:L83"/>
    <mergeCell ref="N83:O83"/>
    <mergeCell ref="H87:I87"/>
    <mergeCell ref="K87:L87"/>
    <mergeCell ref="J88:L88"/>
    <mergeCell ref="M88:O88"/>
    <mergeCell ref="A84:C84"/>
    <mergeCell ref="D84:F84"/>
    <mergeCell ref="G84:I84"/>
    <mergeCell ref="J84:L84"/>
    <mergeCell ref="M84:O84"/>
    <mergeCell ref="E87:F87"/>
    <mergeCell ref="N87:O87"/>
    <mergeCell ref="K91:L91"/>
    <mergeCell ref="N91:O91"/>
    <mergeCell ref="A92:C92"/>
    <mergeCell ref="D92:F92"/>
    <mergeCell ref="G92:I92"/>
    <mergeCell ref="J92:L92"/>
    <mergeCell ref="M92:O92"/>
    <mergeCell ref="B87:C87"/>
    <mergeCell ref="A88:C88"/>
    <mergeCell ref="D88:F88"/>
    <mergeCell ref="G88:I88"/>
    <mergeCell ref="B91:C91"/>
    <mergeCell ref="E91:F91"/>
    <mergeCell ref="H91:I91"/>
    <mergeCell ref="B95:C95"/>
    <mergeCell ref="E95:F95"/>
    <mergeCell ref="H95:I95"/>
    <mergeCell ref="K95:L95"/>
    <mergeCell ref="N95:O95"/>
    <mergeCell ref="A96:C96"/>
    <mergeCell ref="D96:F96"/>
    <mergeCell ref="M96:O96"/>
    <mergeCell ref="G96:I96"/>
    <mergeCell ref="J96:L96"/>
    <mergeCell ref="B99:C99"/>
    <mergeCell ref="E99:F99"/>
    <mergeCell ref="H99:I99"/>
    <mergeCell ref="K99:L99"/>
    <mergeCell ref="N99:O99"/>
    <mergeCell ref="H103:I103"/>
    <mergeCell ref="K103:L103"/>
    <mergeCell ref="J104:L104"/>
    <mergeCell ref="M104:O104"/>
    <mergeCell ref="A100:C100"/>
    <mergeCell ref="D100:F100"/>
    <mergeCell ref="G100:I100"/>
    <mergeCell ref="J100:L100"/>
    <mergeCell ref="M100:O100"/>
    <mergeCell ref="E103:F103"/>
    <mergeCell ref="N103:O103"/>
    <mergeCell ref="K107:L107"/>
    <mergeCell ref="N107:O107"/>
    <mergeCell ref="A108:C108"/>
    <mergeCell ref="D108:F108"/>
    <mergeCell ref="G108:I108"/>
    <mergeCell ref="J108:L108"/>
    <mergeCell ref="M108:O108"/>
    <mergeCell ref="B103:C103"/>
    <mergeCell ref="A104:C104"/>
    <mergeCell ref="D104:F104"/>
    <mergeCell ref="G104:I104"/>
    <mergeCell ref="B107:C107"/>
    <mergeCell ref="E107:F107"/>
    <mergeCell ref="H107:I107"/>
    <mergeCell ref="B127:C127"/>
    <mergeCell ref="E127:F127"/>
    <mergeCell ref="H127:I127"/>
    <mergeCell ref="K127:L127"/>
    <mergeCell ref="N127:O127"/>
    <mergeCell ref="A128:C128"/>
    <mergeCell ref="D128:F128"/>
    <mergeCell ref="M128:O128"/>
    <mergeCell ref="G128:I128"/>
    <mergeCell ref="J128:L128"/>
    <mergeCell ref="B131:C131"/>
    <mergeCell ref="E131:F131"/>
    <mergeCell ref="H131:I131"/>
    <mergeCell ref="K131:L131"/>
    <mergeCell ref="N131:O131"/>
    <mergeCell ref="H135:I135"/>
    <mergeCell ref="K135:L135"/>
    <mergeCell ref="J136:L136"/>
    <mergeCell ref="M136:O136"/>
    <mergeCell ref="B135:C135"/>
    <mergeCell ref="A136:C136"/>
    <mergeCell ref="D136:F136"/>
    <mergeCell ref="G136:I136"/>
    <mergeCell ref="B139:C139"/>
    <mergeCell ref="E139:F139"/>
    <mergeCell ref="A140:C140"/>
    <mergeCell ref="D140:F140"/>
    <mergeCell ref="A132:C132"/>
    <mergeCell ref="D132:F132"/>
    <mergeCell ref="G132:I132"/>
    <mergeCell ref="J132:L132"/>
    <mergeCell ref="M132:O132"/>
    <mergeCell ref="E135:F135"/>
    <mergeCell ref="N135:O135"/>
    <mergeCell ref="B111:C111"/>
    <mergeCell ref="E111:F111"/>
    <mergeCell ref="H111:I111"/>
    <mergeCell ref="K111:L111"/>
    <mergeCell ref="N111:O111"/>
    <mergeCell ref="A112:C112"/>
    <mergeCell ref="D112:F112"/>
    <mergeCell ref="M112:O112"/>
    <mergeCell ref="G112:I112"/>
    <mergeCell ref="J112:L112"/>
    <mergeCell ref="B115:C115"/>
    <mergeCell ref="E115:F115"/>
    <mergeCell ref="H115:I115"/>
    <mergeCell ref="K115:L115"/>
    <mergeCell ref="N115:O115"/>
    <mergeCell ref="H119:I119"/>
    <mergeCell ref="K119:L119"/>
    <mergeCell ref="J120:L120"/>
    <mergeCell ref="M120:O120"/>
    <mergeCell ref="A116:C116"/>
    <mergeCell ref="D116:F116"/>
    <mergeCell ref="G116:I116"/>
    <mergeCell ref="J116:L116"/>
    <mergeCell ref="M116:O116"/>
    <mergeCell ref="E119:F119"/>
    <mergeCell ref="N119:O119"/>
    <mergeCell ref="K123:L123"/>
    <mergeCell ref="N123:O123"/>
    <mergeCell ref="A124:C124"/>
    <mergeCell ref="D124:F124"/>
    <mergeCell ref="G124:I124"/>
    <mergeCell ref="J124:L124"/>
    <mergeCell ref="M124:O124"/>
    <mergeCell ref="B119:C119"/>
    <mergeCell ref="A120:C120"/>
    <mergeCell ref="D120:F120"/>
    <mergeCell ref="G120:I120"/>
    <mergeCell ref="B123:C123"/>
    <mergeCell ref="E123:F123"/>
    <mergeCell ref="H123:I123"/>
    <mergeCell ref="B15:C15"/>
    <mergeCell ref="E15:F15"/>
    <mergeCell ref="H15:I15"/>
    <mergeCell ref="K15:L15"/>
    <mergeCell ref="N15:O15"/>
    <mergeCell ref="A16:C16"/>
    <mergeCell ref="D16:F16"/>
    <mergeCell ref="M16:O16"/>
    <mergeCell ref="G16:I16"/>
    <mergeCell ref="J16:L16"/>
    <mergeCell ref="B19:C19"/>
    <mergeCell ref="E19:F19"/>
    <mergeCell ref="H19:I19"/>
    <mergeCell ref="K19:L19"/>
    <mergeCell ref="N19:O19"/>
    <mergeCell ref="H23:I23"/>
    <mergeCell ref="K23:L23"/>
    <mergeCell ref="A20:C20"/>
    <mergeCell ref="D20:F20"/>
    <mergeCell ref="G20:I20"/>
    <mergeCell ref="J20:L20"/>
    <mergeCell ref="M20:O20"/>
    <mergeCell ref="E23:F23"/>
    <mergeCell ref="N23:O23"/>
    <mergeCell ref="K27:L27"/>
    <mergeCell ref="N27:O27"/>
    <mergeCell ref="B23:C23"/>
    <mergeCell ref="A24:C24"/>
    <mergeCell ref="D24:F24"/>
    <mergeCell ref="G24:I24"/>
    <mergeCell ref="J24:L24"/>
    <mergeCell ref="M24:O24"/>
    <mergeCell ref="B27:C27"/>
    <mergeCell ref="A1:N1"/>
    <mergeCell ref="A2:O2"/>
    <mergeCell ref="B3:C3"/>
    <mergeCell ref="E3:F3"/>
    <mergeCell ref="H3:I3"/>
    <mergeCell ref="K3:L3"/>
    <mergeCell ref="N3:O3"/>
    <mergeCell ref="H7:I7"/>
    <mergeCell ref="K7:L7"/>
    <mergeCell ref="J8:L8"/>
    <mergeCell ref="M8:O8"/>
    <mergeCell ref="A4:C4"/>
    <mergeCell ref="D4:F4"/>
    <mergeCell ref="G4:I4"/>
    <mergeCell ref="J4:L4"/>
    <mergeCell ref="M4:O4"/>
    <mergeCell ref="E7:F7"/>
    <mergeCell ref="N7:O7"/>
    <mergeCell ref="K11:L11"/>
    <mergeCell ref="N11:O11"/>
    <mergeCell ref="A12:C12"/>
    <mergeCell ref="D12:F12"/>
    <mergeCell ref="G12:I12"/>
    <mergeCell ref="J12:L12"/>
    <mergeCell ref="M12:O12"/>
    <mergeCell ref="B7:C7"/>
    <mergeCell ref="A8:C8"/>
    <mergeCell ref="D8:F8"/>
    <mergeCell ref="G8:I8"/>
    <mergeCell ref="B11:C11"/>
    <mergeCell ref="E11:F11"/>
    <mergeCell ref="H11:I11"/>
    <mergeCell ref="E27:F27"/>
    <mergeCell ref="H27:I27"/>
    <mergeCell ref="A28:C28"/>
    <mergeCell ref="D28:F28"/>
    <mergeCell ref="G28:I28"/>
    <mergeCell ref="J28:L28"/>
    <mergeCell ref="M28:O28"/>
    <mergeCell ref="B31:C31"/>
    <mergeCell ref="E31:F31"/>
    <mergeCell ref="H31:I31"/>
    <mergeCell ref="K31:L31"/>
    <mergeCell ref="N31:O31"/>
    <mergeCell ref="A32:C32"/>
    <mergeCell ref="D32:F32"/>
    <mergeCell ref="M32:O32"/>
    <mergeCell ref="G32:I32"/>
    <mergeCell ref="J32:L32"/>
    <mergeCell ref="B35:C35"/>
    <mergeCell ref="E35:F35"/>
    <mergeCell ref="H35:I35"/>
    <mergeCell ref="K35:L35"/>
    <mergeCell ref="N35:O35"/>
    <mergeCell ref="H39:I39"/>
    <mergeCell ref="K39:L39"/>
    <mergeCell ref="J40:L40"/>
    <mergeCell ref="M40:O40"/>
    <mergeCell ref="A36:C36"/>
    <mergeCell ref="D36:F36"/>
    <mergeCell ref="G36:I36"/>
    <mergeCell ref="J36:L36"/>
    <mergeCell ref="M36:O36"/>
    <mergeCell ref="E39:F39"/>
    <mergeCell ref="N39:O39"/>
    <mergeCell ref="K43:L43"/>
    <mergeCell ref="N43:O43"/>
    <mergeCell ref="A44:C44"/>
    <mergeCell ref="D44:F44"/>
    <mergeCell ref="G44:I44"/>
    <mergeCell ref="J44:L44"/>
    <mergeCell ref="M44:O44"/>
    <mergeCell ref="B39:C39"/>
    <mergeCell ref="A40:C40"/>
    <mergeCell ref="D40:F40"/>
    <mergeCell ref="G40:I40"/>
    <mergeCell ref="B43:C43"/>
    <mergeCell ref="E43:F43"/>
    <mergeCell ref="H43:I43"/>
    <mergeCell ref="B47:C47"/>
    <mergeCell ref="E47:F47"/>
    <mergeCell ref="H47:I47"/>
    <mergeCell ref="K47:L47"/>
    <mergeCell ref="N47:O47"/>
    <mergeCell ref="A48:C48"/>
    <mergeCell ref="D48:F48"/>
    <mergeCell ref="M48:O48"/>
    <mergeCell ref="G48:I48"/>
    <mergeCell ref="J48:L48"/>
    <mergeCell ref="B51:C51"/>
    <mergeCell ref="E51:F51"/>
    <mergeCell ref="H51:I51"/>
    <mergeCell ref="K51:L51"/>
    <mergeCell ref="N51:O51"/>
    <mergeCell ref="H55:I55"/>
    <mergeCell ref="K55:L55"/>
    <mergeCell ref="J56:L56"/>
    <mergeCell ref="M56:O56"/>
    <mergeCell ref="A52:C52"/>
    <mergeCell ref="D52:F52"/>
    <mergeCell ref="G52:I52"/>
    <mergeCell ref="J52:L52"/>
    <mergeCell ref="M52:O52"/>
    <mergeCell ref="E55:F55"/>
    <mergeCell ref="N55:O55"/>
    <mergeCell ref="K59:L59"/>
    <mergeCell ref="N59:O59"/>
    <mergeCell ref="A60:C60"/>
    <mergeCell ref="D60:F60"/>
    <mergeCell ref="G60:I60"/>
    <mergeCell ref="J60:L60"/>
    <mergeCell ref="M60:O60"/>
    <mergeCell ref="B55:C55"/>
    <mergeCell ref="A56:C56"/>
    <mergeCell ref="D56:F56"/>
    <mergeCell ref="G56:I56"/>
    <mergeCell ref="B59:C59"/>
    <mergeCell ref="E59:F59"/>
    <mergeCell ref="H59:I59"/>
    <mergeCell ref="B63:C63"/>
    <mergeCell ref="E63:F63"/>
    <mergeCell ref="H63:I63"/>
    <mergeCell ref="K63:L63"/>
    <mergeCell ref="N63:O63"/>
    <mergeCell ref="A64:C64"/>
    <mergeCell ref="D64:F64"/>
    <mergeCell ref="M64:O64"/>
    <mergeCell ref="G64:I64"/>
    <mergeCell ref="J64:L64"/>
    <mergeCell ref="B67:C67"/>
    <mergeCell ref="E67:F67"/>
    <mergeCell ref="H67:I67"/>
    <mergeCell ref="K67:L67"/>
    <mergeCell ref="N67:O67"/>
    <mergeCell ref="H71:I71"/>
    <mergeCell ref="K71:L71"/>
    <mergeCell ref="J72:L72"/>
    <mergeCell ref="M72:O72"/>
    <mergeCell ref="A68:C68"/>
    <mergeCell ref="D68:F68"/>
    <mergeCell ref="G68:I68"/>
    <mergeCell ref="J68:L68"/>
    <mergeCell ref="M68:O68"/>
    <mergeCell ref="E71:F71"/>
    <mergeCell ref="N71:O71"/>
    <mergeCell ref="K75:L75"/>
    <mergeCell ref="N75:O75"/>
    <mergeCell ref="A76:C76"/>
    <mergeCell ref="D76:F76"/>
    <mergeCell ref="G76:I76"/>
    <mergeCell ref="J76:L76"/>
    <mergeCell ref="M76:O76"/>
    <mergeCell ref="B71:C71"/>
    <mergeCell ref="A72:C72"/>
    <mergeCell ref="D72:F72"/>
    <mergeCell ref="G72:I72"/>
    <mergeCell ref="B75:C75"/>
    <mergeCell ref="E75:F75"/>
    <mergeCell ref="H75:I75"/>
  </mergeCells>
  <drawing r:id="rId2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.13"/>
    <col customWidth="1" min="3" max="3" width="12.63"/>
    <col customWidth="1" min="4" max="5" width="5.13"/>
    <col customWidth="1" min="6" max="6" width="12.63"/>
    <col customWidth="1" min="7" max="8" width="5.13"/>
    <col customWidth="1" min="9" max="9" width="12.63"/>
    <col customWidth="1" min="10" max="11" width="5.13"/>
    <col customWidth="1" min="12" max="12" width="12.63"/>
    <col customWidth="1" min="13" max="14" width="5.13"/>
    <col customWidth="1" min="15" max="15" width="12.63"/>
  </cols>
  <sheetData>
    <row r="1" ht="18.75" customHeight="1">
      <c r="A1" s="16" t="s">
        <v>2407</v>
      </c>
      <c r="O1" s="17" t="b">
        <v>0</v>
      </c>
    </row>
    <row r="2" ht="18.75" customHeight="1">
      <c r="A2" s="3" t="s">
        <v>2408</v>
      </c>
    </row>
    <row r="3" ht="18.75" customHeight="1">
      <c r="A3" s="18" t="s">
        <v>736</v>
      </c>
      <c r="B3" s="19" t="s">
        <v>907</v>
      </c>
      <c r="C3" s="20"/>
      <c r="D3" s="18" t="s">
        <v>738</v>
      </c>
      <c r="E3" s="19" t="s">
        <v>908</v>
      </c>
      <c r="F3" s="20"/>
      <c r="G3" s="18" t="s">
        <v>739</v>
      </c>
      <c r="H3" s="19" t="s">
        <v>1508</v>
      </c>
      <c r="I3" s="20"/>
      <c r="J3" s="18" t="s">
        <v>740</v>
      </c>
      <c r="K3" s="19" t="s">
        <v>2409</v>
      </c>
      <c r="L3" s="20"/>
      <c r="M3" s="18" t="s">
        <v>742</v>
      </c>
      <c r="N3" s="19" t="s">
        <v>2188</v>
      </c>
      <c r="O3" s="20"/>
    </row>
    <row r="4" ht="180.0" customHeight="1">
      <c r="A4" s="21" t="str">
        <f>IMAGE("https://assets.tcgdex.net/de/me/me02/001/low.jpg", 1)</f>
        <v/>
      </c>
      <c r="B4" s="22"/>
      <c r="C4" s="20"/>
      <c r="D4" s="21" t="str">
        <f>IMAGE("https://assets.tcgdex.net/de/me/me02/002/low.jpg", 1)</f>
        <v/>
      </c>
      <c r="E4" s="22"/>
      <c r="F4" s="20"/>
      <c r="G4" s="21" t="str">
        <f>IMAGE("https://assets.tcgdex.net/de/me/me02/003/low.jpg", 1)</f>
        <v/>
      </c>
      <c r="H4" s="22"/>
      <c r="I4" s="20"/>
      <c r="J4" s="21" t="str">
        <f>IMAGE("https://assets.tcgdex.net/de/me/me02/004/low.jpg", 1)</f>
        <v/>
      </c>
      <c r="K4" s="22"/>
      <c r="L4" s="20"/>
      <c r="M4" s="21" t="str">
        <f>IMAGE("https://assets.tcgdex.net/de/me/me02/005/low.jpg", 1)</f>
        <v/>
      </c>
      <c r="N4" s="22"/>
      <c r="O4" s="20"/>
    </row>
    <row r="5" ht="22.5" customHeight="1">
      <c r="A5" s="23" t="b">
        <v>0</v>
      </c>
      <c r="B5" s="24" t="b">
        <v>0</v>
      </c>
      <c r="C5" s="25" t="str">
        <f>HYPERLINK("https://www.cardmarket.com/en/Pokemon/Products/Singles?idCategory=1&amp;idProduct=me2-1", "CM")</f>
        <v>CM</v>
      </c>
      <c r="D5" s="23" t="b">
        <v>0</v>
      </c>
      <c r="E5" s="24" t="b">
        <v>0</v>
      </c>
      <c r="F5" s="25" t="str">
        <f>HYPERLINK("https://www.cardmarket.com/en/Pokemon/Products/Singles?idCategory=1&amp;idProduct=me2-2", "CM")</f>
        <v>CM</v>
      </c>
      <c r="G5" s="23" t="b">
        <v>0</v>
      </c>
      <c r="H5" s="24" t="b">
        <v>0</v>
      </c>
      <c r="I5" s="25" t="str">
        <f>HYPERLINK("https://www.cardmarket.com/en/Pokemon/Products/Singles?idCategory=1&amp;idProduct=me2-3", "CM")</f>
        <v>CM</v>
      </c>
      <c r="J5" s="23" t="b">
        <v>0</v>
      </c>
      <c r="K5" s="24" t="b">
        <v>0</v>
      </c>
      <c r="L5" s="25" t="str">
        <f>HYPERLINK("https://www.cardmarket.com/en/Pokemon/Products/Singles?idCategory=1&amp;idProduct=me2-4", "CM")</f>
        <v>CM</v>
      </c>
      <c r="M5" s="23" t="b">
        <v>0</v>
      </c>
      <c r="N5" s="24" t="b">
        <v>0</v>
      </c>
      <c r="O5" s="25" t="str">
        <f>HYPERLINK("https://www.cardmarket.com/en/Pokemon/Products/Singles?idCategory=1&amp;idProduct=me2-5", "CM")</f>
        <v>CM</v>
      </c>
    </row>
    <row r="6" ht="7.5" customHeight="1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</row>
    <row r="7" ht="18.75" customHeight="1">
      <c r="A7" s="18" t="s">
        <v>529</v>
      </c>
      <c r="B7" s="19" t="s">
        <v>2189</v>
      </c>
      <c r="C7" s="20"/>
      <c r="D7" s="18" t="s">
        <v>744</v>
      </c>
      <c r="E7" s="19" t="s">
        <v>2190</v>
      </c>
      <c r="F7" s="20"/>
      <c r="G7" s="18" t="s">
        <v>531</v>
      </c>
      <c r="H7" s="19" t="s">
        <v>1967</v>
      </c>
      <c r="I7" s="20"/>
      <c r="J7" s="18" t="s">
        <v>746</v>
      </c>
      <c r="K7" s="19" t="s">
        <v>1600</v>
      </c>
      <c r="L7" s="20"/>
      <c r="M7" s="18" t="s">
        <v>748</v>
      </c>
      <c r="N7" s="19" t="s">
        <v>1667</v>
      </c>
      <c r="O7" s="20"/>
    </row>
    <row r="8" ht="180.0" customHeight="1">
      <c r="A8" s="21" t="str">
        <f>IMAGE("https://assets.tcgdex.net/de/me/me02/006/low.jpg", 1)</f>
        <v/>
      </c>
      <c r="B8" s="22"/>
      <c r="C8" s="20"/>
      <c r="D8" s="21" t="str">
        <f>IMAGE("https://assets.tcgdex.net/de/me/me02/007/low.jpg", 1)</f>
        <v/>
      </c>
      <c r="E8" s="22"/>
      <c r="F8" s="20"/>
      <c r="G8" s="21" t="str">
        <f>IMAGE("https://assets.tcgdex.net/de/me/me02/008/low.jpg", 1)</f>
        <v/>
      </c>
      <c r="H8" s="22"/>
      <c r="I8" s="20"/>
      <c r="J8" s="21" t="str">
        <f>IMAGE("https://assets.tcgdex.net/de/me/me02/009/low.jpg", 1)</f>
        <v/>
      </c>
      <c r="K8" s="22"/>
      <c r="L8" s="20"/>
      <c r="M8" s="21" t="str">
        <f>IMAGE("https://assets.tcgdex.net/de/me/me02/010/low.jpg", 1)</f>
        <v/>
      </c>
      <c r="N8" s="22"/>
      <c r="O8" s="20"/>
    </row>
    <row r="9" ht="22.5" customHeight="1">
      <c r="A9" s="23" t="b">
        <v>0</v>
      </c>
      <c r="B9" s="24" t="b">
        <v>0</v>
      </c>
      <c r="C9" s="25" t="str">
        <f>HYPERLINK("https://www.cardmarket.com/en/Pokemon/Products/Singles?idCategory=1&amp;idProduct=me2-6", "CM")</f>
        <v>CM</v>
      </c>
      <c r="D9" s="23" t="b">
        <v>0</v>
      </c>
      <c r="E9" s="24" t="b">
        <v>0</v>
      </c>
      <c r="F9" s="25" t="str">
        <f>HYPERLINK("https://www.cardmarket.com/en/Pokemon/Products/Singles?idCategory=1&amp;idProduct=me2-7", "CM")</f>
        <v>CM</v>
      </c>
      <c r="G9" s="23" t="b">
        <v>0</v>
      </c>
      <c r="H9" s="24" t="b">
        <v>0</v>
      </c>
      <c r="I9" s="25" t="str">
        <f>HYPERLINK("https://www.cardmarket.com/en/Pokemon/Products/Singles?idCategory=1&amp;idProduct=me2-8", "CM")</f>
        <v>CM</v>
      </c>
      <c r="J9" s="23" t="b">
        <v>0</v>
      </c>
      <c r="K9" s="24" t="b">
        <v>0</v>
      </c>
      <c r="L9" s="25" t="str">
        <f>HYPERLINK("https://www.cardmarket.com/en/Pokemon/Products/Singles?idCategory=1&amp;idProduct=me2-9", "CM")</f>
        <v>CM</v>
      </c>
      <c r="M9" s="23" t="b">
        <v>0</v>
      </c>
      <c r="N9" s="24" t="b">
        <v>0</v>
      </c>
      <c r="O9" s="25" t="str">
        <f>HYPERLINK("https://www.cardmarket.com/en/Pokemon/Products/Singles?idCategory=1&amp;idProduct=me2-10", "CM")</f>
        <v>CM</v>
      </c>
    </row>
    <row r="10" ht="7.5" customHeight="1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</row>
    <row r="11" ht="18.75" customHeight="1">
      <c r="A11" s="18" t="s">
        <v>750</v>
      </c>
      <c r="B11" s="19" t="s">
        <v>766</v>
      </c>
      <c r="C11" s="20"/>
      <c r="D11" s="18" t="s">
        <v>752</v>
      </c>
      <c r="E11" s="19" t="s">
        <v>1377</v>
      </c>
      <c r="F11" s="20"/>
      <c r="G11" s="18" t="s">
        <v>754</v>
      </c>
      <c r="H11" s="19" t="s">
        <v>2410</v>
      </c>
      <c r="I11" s="20"/>
      <c r="J11" s="18" t="s">
        <v>755</v>
      </c>
      <c r="K11" s="19" t="s">
        <v>1573</v>
      </c>
      <c r="L11" s="20"/>
      <c r="M11" s="18" t="s">
        <v>533</v>
      </c>
      <c r="N11" s="19" t="s">
        <v>1382</v>
      </c>
      <c r="O11" s="20"/>
    </row>
    <row r="12" ht="180.0" customHeight="1">
      <c r="A12" s="21" t="str">
        <f>IMAGE("https://assets.tcgdex.net/de/me/me02/011/low.jpg", 1)</f>
        <v/>
      </c>
      <c r="B12" s="22"/>
      <c r="C12" s="20"/>
      <c r="D12" s="21" t="str">
        <f>IMAGE("https://assets.tcgdex.net/de/me/me02/012/low.jpg", 1)</f>
        <v/>
      </c>
      <c r="E12" s="22"/>
      <c r="F12" s="20"/>
      <c r="G12" s="21" t="str">
        <f>IMAGE("https://assets.tcgdex.net/de/me/me02/013/low.jpg", 1)</f>
        <v/>
      </c>
      <c r="H12" s="22"/>
      <c r="I12" s="20"/>
      <c r="J12" s="21" t="str">
        <f>IMAGE("https://assets.tcgdex.net/de/me/me02/014/low.jpg", 1)</f>
        <v/>
      </c>
      <c r="K12" s="22"/>
      <c r="L12" s="20"/>
      <c r="M12" s="21" t="str">
        <f>IMAGE("https://assets.tcgdex.net/de/me/me02/015/low.jpg", 1)</f>
        <v/>
      </c>
      <c r="N12" s="22"/>
      <c r="O12" s="20"/>
    </row>
    <row r="13" ht="22.5" customHeight="1">
      <c r="A13" s="23" t="b">
        <v>0</v>
      </c>
      <c r="B13" s="24" t="b">
        <v>0</v>
      </c>
      <c r="C13" s="25" t="str">
        <f>HYPERLINK("https://www.cardmarket.com/en/Pokemon/Products/Singles?idCategory=1&amp;idProduct=me2-11", "CM")</f>
        <v>CM</v>
      </c>
      <c r="D13" s="23" t="b">
        <v>0</v>
      </c>
      <c r="E13" s="24" t="b">
        <v>0</v>
      </c>
      <c r="F13" s="25" t="str">
        <f>HYPERLINK("https://www.cardmarket.com/en/Pokemon/Products/Singles?idCategory=1&amp;idProduct=me2-12", "CM")</f>
        <v>CM</v>
      </c>
      <c r="G13" s="23" t="b">
        <v>0</v>
      </c>
      <c r="H13" s="24" t="b">
        <v>0</v>
      </c>
      <c r="I13" s="25" t="str">
        <f>HYPERLINK("https://www.cardmarket.com/en/Pokemon/Products/Singles?idCategory=1&amp;idProduct=me2-13", "CM")</f>
        <v>CM</v>
      </c>
      <c r="J13" s="23" t="b">
        <v>0</v>
      </c>
      <c r="K13" s="24" t="b">
        <v>0</v>
      </c>
      <c r="L13" s="25" t="str">
        <f>HYPERLINK("https://www.cardmarket.com/en/Pokemon/Products/Singles?idCategory=1&amp;idProduct=me2-14", "CM")</f>
        <v>CM</v>
      </c>
      <c r="M13" s="23" t="b">
        <v>0</v>
      </c>
      <c r="N13" s="24" t="b">
        <v>0</v>
      </c>
      <c r="O13" s="25" t="str">
        <f>HYPERLINK("https://www.cardmarket.com/en/Pokemon/Products/Singles?idCategory=1&amp;idProduct=me2-15", "CM")</f>
        <v>CM</v>
      </c>
    </row>
    <row r="14" ht="7.5" customHeight="1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</row>
    <row r="15" ht="18.75" customHeight="1">
      <c r="A15" s="18" t="s">
        <v>535</v>
      </c>
      <c r="B15" s="19" t="s">
        <v>1383</v>
      </c>
      <c r="C15" s="20"/>
      <c r="D15" s="18" t="s">
        <v>537</v>
      </c>
      <c r="E15" s="19" t="s">
        <v>2000</v>
      </c>
      <c r="F15" s="20"/>
      <c r="G15" s="18" t="s">
        <v>756</v>
      </c>
      <c r="H15" s="19" t="s">
        <v>2411</v>
      </c>
      <c r="I15" s="20"/>
      <c r="J15" s="18" t="s">
        <v>539</v>
      </c>
      <c r="K15" s="19" t="s">
        <v>1213</v>
      </c>
      <c r="L15" s="20"/>
      <c r="M15" s="18" t="s">
        <v>541</v>
      </c>
      <c r="N15" s="19" t="s">
        <v>1739</v>
      </c>
      <c r="O15" s="20"/>
    </row>
    <row r="16" ht="180.0" customHeight="1">
      <c r="A16" s="21" t="str">
        <f>IMAGE("https://assets.tcgdex.net/de/me/me02/016/low.jpg", 1)</f>
        <v/>
      </c>
      <c r="B16" s="22"/>
      <c r="C16" s="20"/>
      <c r="D16" s="21" t="str">
        <f>IMAGE("https://assets.tcgdex.net/de/me/me02/017/low.jpg", 1)</f>
        <v/>
      </c>
      <c r="E16" s="22"/>
      <c r="F16" s="20"/>
      <c r="G16" s="21" t="str">
        <f>IMAGE("https://assets.tcgdex.net/de/me/me02/018/low.jpg", 1)</f>
        <v/>
      </c>
      <c r="H16" s="22"/>
      <c r="I16" s="20"/>
      <c r="J16" s="21" t="str">
        <f>IMAGE("https://assets.tcgdex.net/de/me/me02/019/low.jpg", 1)</f>
        <v/>
      </c>
      <c r="K16" s="22"/>
      <c r="L16" s="20"/>
      <c r="M16" s="21" t="str">
        <f>IMAGE("https://assets.tcgdex.net/de/me/me02/020/low.jpg", 1)</f>
        <v/>
      </c>
      <c r="N16" s="22"/>
      <c r="O16" s="20"/>
    </row>
    <row r="17" ht="22.5" customHeight="1">
      <c r="A17" s="23" t="b">
        <v>0</v>
      </c>
      <c r="B17" s="24" t="b">
        <v>0</v>
      </c>
      <c r="C17" s="25" t="str">
        <f>HYPERLINK("https://www.cardmarket.com/en/Pokemon/Products/Singles?idCategory=1&amp;idProduct=me2-16", "CM")</f>
        <v>CM</v>
      </c>
      <c r="D17" s="23" t="b">
        <v>0</v>
      </c>
      <c r="E17" s="24" t="b">
        <v>0</v>
      </c>
      <c r="F17" s="25" t="str">
        <f>HYPERLINK("https://www.cardmarket.com/en/Pokemon/Products/Singles?idCategory=1&amp;idProduct=me2-17", "CM")</f>
        <v>CM</v>
      </c>
      <c r="G17" s="23" t="b">
        <v>0</v>
      </c>
      <c r="H17" s="24" t="b">
        <v>0</v>
      </c>
      <c r="I17" s="25" t="str">
        <f>HYPERLINK("https://www.cardmarket.com/en/Pokemon/Products/Singles?idCategory=1&amp;idProduct=me2-18", "CM")</f>
        <v>CM</v>
      </c>
      <c r="J17" s="23" t="b">
        <v>0</v>
      </c>
      <c r="K17" s="24" t="b">
        <v>0</v>
      </c>
      <c r="L17" s="25" t="str">
        <f>HYPERLINK("https://www.cardmarket.com/en/Pokemon/Products/Singles?idCategory=1&amp;idProduct=me2-19", "CM")</f>
        <v>CM</v>
      </c>
      <c r="M17" s="23" t="b">
        <v>0</v>
      </c>
      <c r="N17" s="24" t="b">
        <v>0</v>
      </c>
      <c r="O17" s="25" t="str">
        <f>HYPERLINK("https://www.cardmarket.com/en/Pokemon/Products/Singles?idCategory=1&amp;idProduct=me2-20", "CM")</f>
        <v>CM</v>
      </c>
    </row>
    <row r="18" ht="7.5" customHeight="1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</row>
    <row r="19" ht="18.75" customHeight="1">
      <c r="A19" s="18" t="s">
        <v>543</v>
      </c>
      <c r="B19" s="19" t="s">
        <v>917</v>
      </c>
      <c r="C19" s="20"/>
      <c r="D19" s="18" t="s">
        <v>545</v>
      </c>
      <c r="E19" s="19" t="s">
        <v>1536</v>
      </c>
      <c r="F19" s="20"/>
      <c r="G19" s="18" t="s">
        <v>547</v>
      </c>
      <c r="H19" s="19" t="s">
        <v>2207</v>
      </c>
      <c r="I19" s="20"/>
      <c r="J19" s="18" t="s">
        <v>549</v>
      </c>
      <c r="K19" s="19" t="s">
        <v>2208</v>
      </c>
      <c r="L19" s="20"/>
      <c r="M19" s="18" t="s">
        <v>758</v>
      </c>
      <c r="N19" s="19" t="s">
        <v>2412</v>
      </c>
      <c r="O19" s="20"/>
    </row>
    <row r="20" ht="180.0" customHeight="1">
      <c r="A20" s="21" t="str">
        <f>IMAGE("https://assets.tcgdex.net/de/me/me02/021/low.jpg", 1)</f>
        <v/>
      </c>
      <c r="B20" s="22"/>
      <c r="C20" s="20"/>
      <c r="D20" s="21" t="str">
        <f>IMAGE("https://assets.tcgdex.net/de/me/me02/022/low.jpg", 1)</f>
        <v/>
      </c>
      <c r="E20" s="22"/>
      <c r="F20" s="20"/>
      <c r="G20" s="21" t="str">
        <f>IMAGE("https://assets.tcgdex.net/de/me/me02/023/low.jpg", 1)</f>
        <v/>
      </c>
      <c r="H20" s="22"/>
      <c r="I20" s="20"/>
      <c r="J20" s="21" t="str">
        <f>IMAGE("https://assets.tcgdex.net/de/me/me02/024/low.jpg", 1)</f>
        <v/>
      </c>
      <c r="K20" s="22"/>
      <c r="L20" s="20"/>
      <c r="M20" s="21" t="str">
        <f>IMAGE("https://assets.tcgdex.net/de/me/me02/025/low.jpg", 1)</f>
        <v/>
      </c>
      <c r="N20" s="22"/>
      <c r="O20" s="20"/>
    </row>
    <row r="21" ht="22.5" customHeight="1">
      <c r="A21" s="23" t="b">
        <v>0</v>
      </c>
      <c r="B21" s="24" t="b">
        <v>0</v>
      </c>
      <c r="C21" s="25" t="str">
        <f>HYPERLINK("https://www.cardmarket.com/en/Pokemon/Products/Singles?idCategory=1&amp;idProduct=me2-21", "CM")</f>
        <v>CM</v>
      </c>
      <c r="D21" s="23" t="b">
        <v>0</v>
      </c>
      <c r="E21" s="24" t="b">
        <v>0</v>
      </c>
      <c r="F21" s="25" t="str">
        <f>HYPERLINK("https://www.cardmarket.com/en/Pokemon/Products/Singles?idCategory=1&amp;idProduct=me2-22", "CM")</f>
        <v>CM</v>
      </c>
      <c r="G21" s="23" t="b">
        <v>0</v>
      </c>
      <c r="H21" s="24" t="b">
        <v>0</v>
      </c>
      <c r="I21" s="25" t="str">
        <f>HYPERLINK("https://www.cardmarket.com/en/Pokemon/Products/Singles?idCategory=1&amp;idProduct=me2-23", "CM")</f>
        <v>CM</v>
      </c>
      <c r="J21" s="23" t="b">
        <v>0</v>
      </c>
      <c r="K21" s="24" t="b">
        <v>0</v>
      </c>
      <c r="L21" s="25" t="str">
        <f>HYPERLINK("https://www.cardmarket.com/en/Pokemon/Products/Singles?idCategory=1&amp;idProduct=me2-24", "CM")</f>
        <v>CM</v>
      </c>
      <c r="M21" s="23" t="b">
        <v>0</v>
      </c>
      <c r="N21" s="24" t="b">
        <v>0</v>
      </c>
      <c r="O21" s="25" t="str">
        <f>HYPERLINK("https://www.cardmarket.com/en/Pokemon/Products/Singles?idCategory=1&amp;idProduct=me2-25", "CM")</f>
        <v>CM</v>
      </c>
    </row>
    <row r="22" ht="7.5" customHeight="1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</row>
    <row r="23" ht="18.75" customHeight="1">
      <c r="A23" s="18" t="s">
        <v>760</v>
      </c>
      <c r="B23" s="19" t="s">
        <v>2150</v>
      </c>
      <c r="C23" s="20"/>
      <c r="D23" s="18" t="s">
        <v>762</v>
      </c>
      <c r="E23" s="19" t="s">
        <v>2413</v>
      </c>
      <c r="F23" s="20"/>
      <c r="G23" s="18" t="s">
        <v>551</v>
      </c>
      <c r="H23" s="19" t="s">
        <v>2414</v>
      </c>
      <c r="I23" s="20"/>
      <c r="J23" s="18" t="s">
        <v>553</v>
      </c>
      <c r="K23" s="19" t="s">
        <v>2415</v>
      </c>
      <c r="L23" s="20"/>
      <c r="M23" s="18" t="s">
        <v>555</v>
      </c>
      <c r="N23" s="19" t="s">
        <v>1803</v>
      </c>
      <c r="O23" s="20"/>
    </row>
    <row r="24" ht="180.0" customHeight="1">
      <c r="A24" s="21" t="str">
        <f>IMAGE("https://assets.tcgdex.net/de/me/me02/026/low.jpg", 1)</f>
        <v/>
      </c>
      <c r="B24" s="22"/>
      <c r="C24" s="20"/>
      <c r="D24" s="21" t="str">
        <f>IMAGE("https://assets.tcgdex.net/de/me/me02/027/low.jpg", 1)</f>
        <v/>
      </c>
      <c r="E24" s="22"/>
      <c r="F24" s="20"/>
      <c r="G24" s="21" t="str">
        <f>IMAGE("https://assets.tcgdex.net/de/me/me02/028/low.jpg", 1)</f>
        <v/>
      </c>
      <c r="H24" s="22"/>
      <c r="I24" s="20"/>
      <c r="J24" s="21" t="str">
        <f>IMAGE("https://assets.tcgdex.net/de/me/me02/029/low.jpg", 1)</f>
        <v/>
      </c>
      <c r="K24" s="22"/>
      <c r="L24" s="20"/>
      <c r="M24" s="21" t="str">
        <f>IMAGE("https://assets.tcgdex.net/de/me/me02/030/low.jpg", 1)</f>
        <v/>
      </c>
      <c r="N24" s="22"/>
      <c r="O24" s="20"/>
    </row>
    <row r="25" ht="22.5" customHeight="1">
      <c r="A25" s="23" t="b">
        <v>0</v>
      </c>
      <c r="B25" s="24" t="b">
        <v>0</v>
      </c>
      <c r="C25" s="25" t="str">
        <f>HYPERLINK("https://www.cardmarket.com/en/Pokemon/Products/Singles?idCategory=1&amp;idProduct=me2-26", "CM")</f>
        <v>CM</v>
      </c>
      <c r="D25" s="23" t="b">
        <v>0</v>
      </c>
      <c r="E25" s="24" t="b">
        <v>0</v>
      </c>
      <c r="F25" s="25" t="str">
        <f>HYPERLINK("https://www.cardmarket.com/en/Pokemon/Products/Singles?idCategory=1&amp;idProduct=me2-27", "CM")</f>
        <v>CM</v>
      </c>
      <c r="G25" s="23" t="b">
        <v>0</v>
      </c>
      <c r="H25" s="24" t="b">
        <v>0</v>
      </c>
      <c r="I25" s="25" t="str">
        <f>HYPERLINK("https://www.cardmarket.com/en/Pokemon/Products/Singles?idCategory=1&amp;idProduct=me2-28", "CM")</f>
        <v>CM</v>
      </c>
      <c r="J25" s="23" t="b">
        <v>0</v>
      </c>
      <c r="K25" s="24" t="b">
        <v>0</v>
      </c>
      <c r="L25" s="25" t="str">
        <f>HYPERLINK("https://www.cardmarket.com/en/Pokemon/Products/Singles?idCategory=1&amp;idProduct=me2-29", "CM")</f>
        <v>CM</v>
      </c>
      <c r="M25" s="23" t="b">
        <v>0</v>
      </c>
      <c r="N25" s="24" t="b">
        <v>0</v>
      </c>
      <c r="O25" s="25" t="str">
        <f>HYPERLINK("https://www.cardmarket.com/en/Pokemon/Products/Singles?idCategory=1&amp;idProduct=me2-30", "CM")</f>
        <v>CM</v>
      </c>
    </row>
    <row r="26" ht="7.5" customHeight="1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</row>
    <row r="27" ht="18.75" customHeight="1">
      <c r="A27" s="18" t="s">
        <v>557</v>
      </c>
      <c r="B27" s="19" t="s">
        <v>1804</v>
      </c>
      <c r="C27" s="20"/>
      <c r="D27" s="18" t="s">
        <v>559</v>
      </c>
      <c r="E27" s="19" t="s">
        <v>576</v>
      </c>
      <c r="F27" s="20"/>
      <c r="G27" s="18" t="s">
        <v>561</v>
      </c>
      <c r="H27" s="19" t="s">
        <v>1270</v>
      </c>
      <c r="I27" s="20"/>
      <c r="J27" s="18" t="s">
        <v>563</v>
      </c>
      <c r="K27" s="19" t="s">
        <v>530</v>
      </c>
      <c r="L27" s="20"/>
      <c r="M27" s="18" t="s">
        <v>565</v>
      </c>
      <c r="N27" s="19" t="s">
        <v>2416</v>
      </c>
      <c r="O27" s="20"/>
    </row>
    <row r="28" ht="180.0" customHeight="1">
      <c r="A28" s="21" t="str">
        <f>IMAGE("https://assets.tcgdex.net/de/me/me02/031/low.jpg", 1)</f>
        <v/>
      </c>
      <c r="B28" s="22"/>
      <c r="C28" s="20"/>
      <c r="D28" s="21" t="str">
        <f>IMAGE("https://assets.tcgdex.net/de/me/me02/032/low.jpg", 1)</f>
        <v/>
      </c>
      <c r="E28" s="22"/>
      <c r="F28" s="20"/>
      <c r="G28" s="21" t="str">
        <f>IMAGE("https://assets.tcgdex.net/de/me/me02/033/low.jpg", 1)</f>
        <v/>
      </c>
      <c r="H28" s="22"/>
      <c r="I28" s="20"/>
      <c r="J28" s="21" t="str">
        <f>IMAGE("https://assets.tcgdex.net/de/me/me02/034/low.jpg", 1)</f>
        <v/>
      </c>
      <c r="K28" s="22"/>
      <c r="L28" s="20"/>
      <c r="M28" s="21" t="str">
        <f>IMAGE("https://assets.tcgdex.net/de/me/me02/035/low.jpg", 1)</f>
        <v/>
      </c>
      <c r="N28" s="22"/>
      <c r="O28" s="20"/>
    </row>
    <row r="29" ht="22.5" customHeight="1">
      <c r="A29" s="23" t="b">
        <v>0</v>
      </c>
      <c r="B29" s="24" t="b">
        <v>0</v>
      </c>
      <c r="C29" s="25" t="str">
        <f>HYPERLINK("https://www.cardmarket.com/en/Pokemon/Products/Singles?idCategory=1&amp;idProduct=me2-31", "CM")</f>
        <v>CM</v>
      </c>
      <c r="D29" s="23" t="b">
        <v>0</v>
      </c>
      <c r="E29" s="24" t="b">
        <v>0</v>
      </c>
      <c r="F29" s="25" t="str">
        <f>HYPERLINK("https://www.cardmarket.com/en/Pokemon/Products/Singles?idCategory=1&amp;idProduct=me2-32", "CM")</f>
        <v>CM</v>
      </c>
      <c r="G29" s="23" t="b">
        <v>0</v>
      </c>
      <c r="H29" s="24" t="b">
        <v>0</v>
      </c>
      <c r="I29" s="25" t="str">
        <f>HYPERLINK("https://www.cardmarket.com/en/Pokemon/Products/Singles?idCategory=1&amp;idProduct=me2-33", "CM")</f>
        <v>CM</v>
      </c>
      <c r="J29" s="23" t="b">
        <v>0</v>
      </c>
      <c r="K29" s="24" t="b">
        <v>0</v>
      </c>
      <c r="L29" s="25" t="str">
        <f>HYPERLINK("https://www.cardmarket.com/en/Pokemon/Products/Singles?idCategory=1&amp;idProduct=me2-34", "CM")</f>
        <v>CM</v>
      </c>
      <c r="M29" s="23" t="b">
        <v>0</v>
      </c>
      <c r="N29" s="24" t="b">
        <v>0</v>
      </c>
      <c r="O29" s="25" t="str">
        <f>HYPERLINK("https://www.cardmarket.com/en/Pokemon/Products/Singles?idCategory=1&amp;idProduct=me2-35", "CM")</f>
        <v>CM</v>
      </c>
    </row>
    <row r="30" ht="7.5" customHeight="1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</row>
    <row r="31" ht="18.75" customHeight="1">
      <c r="A31" s="18" t="s">
        <v>567</v>
      </c>
      <c r="B31" s="19" t="s">
        <v>2417</v>
      </c>
      <c r="C31" s="20"/>
      <c r="D31" s="18" t="s">
        <v>569</v>
      </c>
      <c r="E31" s="19" t="s">
        <v>1410</v>
      </c>
      <c r="F31" s="20"/>
      <c r="G31" s="18" t="s">
        <v>571</v>
      </c>
      <c r="H31" s="19" t="s">
        <v>1411</v>
      </c>
      <c r="I31" s="20"/>
      <c r="J31" s="18" t="s">
        <v>573</v>
      </c>
      <c r="K31" s="19" t="s">
        <v>1958</v>
      </c>
      <c r="L31" s="20"/>
      <c r="M31" s="18" t="s">
        <v>575</v>
      </c>
      <c r="N31" s="19" t="s">
        <v>2418</v>
      </c>
      <c r="O31" s="20"/>
    </row>
    <row r="32" ht="180.0" customHeight="1">
      <c r="A32" s="21" t="str">
        <f>IMAGE("https://assets.tcgdex.net/de/me/me02/036/low.jpg", 1)</f>
        <v/>
      </c>
      <c r="B32" s="22"/>
      <c r="C32" s="20"/>
      <c r="D32" s="21" t="str">
        <f>IMAGE("https://assets.tcgdex.net/de/me/me02/037/low.jpg", 1)</f>
        <v/>
      </c>
      <c r="E32" s="22"/>
      <c r="F32" s="20"/>
      <c r="G32" s="21" t="str">
        <f>IMAGE("https://assets.tcgdex.net/de/me/me02/038/low.jpg", 1)</f>
        <v/>
      </c>
      <c r="H32" s="22"/>
      <c r="I32" s="20"/>
      <c r="J32" s="21" t="str">
        <f>IMAGE("https://assets.tcgdex.net/de/me/me02/039/low.jpg", 1)</f>
        <v/>
      </c>
      <c r="K32" s="22"/>
      <c r="L32" s="20"/>
      <c r="M32" s="21" t="str">
        <f>IMAGE("https://assets.tcgdex.net/de/me/me02/040/low.jpg", 1)</f>
        <v/>
      </c>
      <c r="N32" s="22"/>
      <c r="O32" s="20"/>
    </row>
    <row r="33" ht="22.5" customHeight="1">
      <c r="A33" s="23" t="b">
        <v>0</v>
      </c>
      <c r="B33" s="24" t="b">
        <v>0</v>
      </c>
      <c r="C33" s="25" t="str">
        <f>HYPERLINK("https://www.cardmarket.com/en/Pokemon/Products/Singles?idCategory=1&amp;idProduct=me2-36", "CM")</f>
        <v>CM</v>
      </c>
      <c r="D33" s="23" t="b">
        <v>0</v>
      </c>
      <c r="E33" s="24" t="b">
        <v>0</v>
      </c>
      <c r="F33" s="25" t="str">
        <f>HYPERLINK("https://www.cardmarket.com/en/Pokemon/Products/Singles?idCategory=1&amp;idProduct=me2-37", "CM")</f>
        <v>CM</v>
      </c>
      <c r="G33" s="23" t="b">
        <v>0</v>
      </c>
      <c r="H33" s="24" t="b">
        <v>0</v>
      </c>
      <c r="I33" s="25" t="str">
        <f>HYPERLINK("https://www.cardmarket.com/en/Pokemon/Products/Singles?idCategory=1&amp;idProduct=me2-38", "CM")</f>
        <v>CM</v>
      </c>
      <c r="J33" s="23" t="b">
        <v>0</v>
      </c>
      <c r="K33" s="24" t="b">
        <v>0</v>
      </c>
      <c r="L33" s="25" t="str">
        <f>HYPERLINK("https://www.cardmarket.com/en/Pokemon/Products/Singles?idCategory=1&amp;idProduct=me2-39", "CM")</f>
        <v>CM</v>
      </c>
      <c r="M33" s="23" t="b">
        <v>0</v>
      </c>
      <c r="N33" s="24" t="b">
        <v>0</v>
      </c>
      <c r="O33" s="25" t="str">
        <f>HYPERLINK("https://www.cardmarket.com/en/Pokemon/Products/Singles?idCategory=1&amp;idProduct=me2-40", "CM")</f>
        <v>CM</v>
      </c>
    </row>
    <row r="34" ht="7.5" customHeight="1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</row>
    <row r="35" ht="18.75" customHeight="1">
      <c r="A35" s="18" t="s">
        <v>577</v>
      </c>
      <c r="B35" s="19" t="s">
        <v>2419</v>
      </c>
      <c r="C35" s="20"/>
      <c r="D35" s="18" t="s">
        <v>579</v>
      </c>
      <c r="E35" s="19" t="s">
        <v>807</v>
      </c>
      <c r="F35" s="20"/>
      <c r="G35" s="18" t="s">
        <v>763</v>
      </c>
      <c r="H35" s="19" t="s">
        <v>2012</v>
      </c>
      <c r="I35" s="20"/>
      <c r="J35" s="18" t="s">
        <v>765</v>
      </c>
      <c r="K35" s="19" t="s">
        <v>2013</v>
      </c>
      <c r="L35" s="20"/>
      <c r="M35" s="18" t="s">
        <v>581</v>
      </c>
      <c r="N35" s="19" t="s">
        <v>939</v>
      </c>
      <c r="O35" s="20"/>
    </row>
    <row r="36" ht="180.0" customHeight="1">
      <c r="A36" s="21" t="str">
        <f>IMAGE("https://assets.tcgdex.net/de/me/me02/041/low.jpg", 1)</f>
        <v/>
      </c>
      <c r="B36" s="22"/>
      <c r="C36" s="20"/>
      <c r="D36" s="21" t="str">
        <f>IMAGE("https://assets.tcgdex.net/de/me/me02/042/low.jpg", 1)</f>
        <v/>
      </c>
      <c r="E36" s="22"/>
      <c r="F36" s="20"/>
      <c r="G36" s="21" t="str">
        <f>IMAGE("https://assets.tcgdex.net/de/me/me02/043/low.jpg", 1)</f>
        <v/>
      </c>
      <c r="H36" s="22"/>
      <c r="I36" s="20"/>
      <c r="J36" s="21" t="str">
        <f>IMAGE("https://assets.tcgdex.net/de/me/me02/044/low.jpg", 1)</f>
        <v/>
      </c>
      <c r="K36" s="22"/>
      <c r="L36" s="20"/>
      <c r="M36" s="21" t="str">
        <f>IMAGE("https://assets.tcgdex.net/de/me/me02/045/low.jpg", 1)</f>
        <v/>
      </c>
      <c r="N36" s="22"/>
      <c r="O36" s="20"/>
    </row>
    <row r="37" ht="22.5" customHeight="1">
      <c r="A37" s="23" t="b">
        <v>0</v>
      </c>
      <c r="B37" s="24" t="b">
        <v>0</v>
      </c>
      <c r="C37" s="25" t="str">
        <f>HYPERLINK("https://www.cardmarket.com/en/Pokemon/Products/Singles?idCategory=1&amp;idProduct=me2-41", "CM")</f>
        <v>CM</v>
      </c>
      <c r="D37" s="23" t="b">
        <v>0</v>
      </c>
      <c r="E37" s="24" t="b">
        <v>0</v>
      </c>
      <c r="F37" s="25" t="str">
        <f>HYPERLINK("https://www.cardmarket.com/en/Pokemon/Products/Singles?idCategory=1&amp;idProduct=me2-42", "CM")</f>
        <v>CM</v>
      </c>
      <c r="G37" s="23" t="b">
        <v>0</v>
      </c>
      <c r="H37" s="24" t="b">
        <v>0</v>
      </c>
      <c r="I37" s="25" t="str">
        <f>HYPERLINK("https://www.cardmarket.com/en/Pokemon/Products/Singles?idCategory=1&amp;idProduct=me2-43", "CM")</f>
        <v>CM</v>
      </c>
      <c r="J37" s="23" t="b">
        <v>0</v>
      </c>
      <c r="K37" s="24" t="b">
        <v>0</v>
      </c>
      <c r="L37" s="25" t="str">
        <f>HYPERLINK("https://www.cardmarket.com/en/Pokemon/Products/Singles?idCategory=1&amp;idProduct=me2-44", "CM")</f>
        <v>CM</v>
      </c>
      <c r="M37" s="23" t="b">
        <v>0</v>
      </c>
      <c r="N37" s="24" t="b">
        <v>0</v>
      </c>
      <c r="O37" s="25" t="str">
        <f>HYPERLINK("https://www.cardmarket.com/en/Pokemon/Products/Singles?idCategory=1&amp;idProduct=me2-45", "CM")</f>
        <v>CM</v>
      </c>
    </row>
    <row r="38" ht="7.5" customHeight="1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</row>
    <row r="39" ht="18.75" customHeight="1">
      <c r="A39" s="18" t="s">
        <v>767</v>
      </c>
      <c r="B39" s="19" t="s">
        <v>1784</v>
      </c>
      <c r="C39" s="20"/>
      <c r="D39" s="18" t="s">
        <v>769</v>
      </c>
      <c r="E39" s="19" t="s">
        <v>1785</v>
      </c>
      <c r="F39" s="20"/>
      <c r="G39" s="18" t="s">
        <v>770</v>
      </c>
      <c r="H39" s="19" t="s">
        <v>1760</v>
      </c>
      <c r="I39" s="20"/>
      <c r="J39" s="18" t="s">
        <v>772</v>
      </c>
      <c r="K39" s="19" t="s">
        <v>1644</v>
      </c>
      <c r="L39" s="20"/>
      <c r="M39" s="18" t="s">
        <v>774</v>
      </c>
      <c r="N39" s="19" t="s">
        <v>1645</v>
      </c>
      <c r="O39" s="20"/>
    </row>
    <row r="40" ht="180.0" customHeight="1">
      <c r="A40" s="21" t="str">
        <f>IMAGE("https://assets.tcgdex.net/de/me/me02/046/low.jpg", 1)</f>
        <v/>
      </c>
      <c r="B40" s="22"/>
      <c r="C40" s="20"/>
      <c r="D40" s="21" t="str">
        <f>IMAGE("https://assets.tcgdex.net/de/me/me02/047/low.jpg", 1)</f>
        <v/>
      </c>
      <c r="E40" s="22"/>
      <c r="F40" s="20"/>
      <c r="G40" s="21" t="str">
        <f>IMAGE("https://assets.tcgdex.net/de/me/me02/048/low.jpg", 1)</f>
        <v/>
      </c>
      <c r="H40" s="22"/>
      <c r="I40" s="20"/>
      <c r="J40" s="21" t="str">
        <f>IMAGE("https://assets.tcgdex.net/de/me/me02/049/low.jpg", 1)</f>
        <v/>
      </c>
      <c r="K40" s="22"/>
      <c r="L40" s="20"/>
      <c r="M40" s="21" t="str">
        <f>IMAGE("https://assets.tcgdex.net/de/me/me02/050/low.jpg", 1)</f>
        <v/>
      </c>
      <c r="N40" s="22"/>
      <c r="O40" s="20"/>
    </row>
    <row r="41" ht="22.5" customHeight="1">
      <c r="A41" s="23" t="b">
        <v>0</v>
      </c>
      <c r="B41" s="24" t="b">
        <v>0</v>
      </c>
      <c r="C41" s="25" t="str">
        <f>HYPERLINK("https://www.cardmarket.com/en/Pokemon/Products/Singles?idCategory=1&amp;idProduct=me2-46", "CM")</f>
        <v>CM</v>
      </c>
      <c r="D41" s="23" t="b">
        <v>0</v>
      </c>
      <c r="E41" s="24" t="b">
        <v>0</v>
      </c>
      <c r="F41" s="25" t="str">
        <f>HYPERLINK("https://www.cardmarket.com/en/Pokemon/Products/Singles?idCategory=1&amp;idProduct=me2-47", "CM")</f>
        <v>CM</v>
      </c>
      <c r="G41" s="23" t="b">
        <v>0</v>
      </c>
      <c r="H41" s="24" t="b">
        <v>0</v>
      </c>
      <c r="I41" s="25" t="str">
        <f>HYPERLINK("https://www.cardmarket.com/en/Pokemon/Products/Singles?idCategory=1&amp;idProduct=me2-48", "CM")</f>
        <v>CM</v>
      </c>
      <c r="J41" s="23" t="b">
        <v>0</v>
      </c>
      <c r="K41" s="24" t="b">
        <v>0</v>
      </c>
      <c r="L41" s="25" t="str">
        <f>HYPERLINK("https://www.cardmarket.com/en/Pokemon/Products/Singles?idCategory=1&amp;idProduct=me2-49", "CM")</f>
        <v>CM</v>
      </c>
      <c r="M41" s="23" t="b">
        <v>0</v>
      </c>
      <c r="N41" s="24" t="b">
        <v>0</v>
      </c>
      <c r="O41" s="25" t="str">
        <f>HYPERLINK("https://www.cardmarket.com/en/Pokemon/Products/Singles?idCategory=1&amp;idProduct=me2-50", "CM")</f>
        <v>CM</v>
      </c>
    </row>
    <row r="42" ht="7.5" customHeight="1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</row>
    <row r="43" ht="18.75" customHeight="1">
      <c r="A43" s="18" t="s">
        <v>776</v>
      </c>
      <c r="B43" s="19" t="s">
        <v>2083</v>
      </c>
      <c r="C43" s="20"/>
      <c r="D43" s="18" t="s">
        <v>778</v>
      </c>
      <c r="E43" s="19" t="s">
        <v>2084</v>
      </c>
      <c r="F43" s="20"/>
      <c r="G43" s="18" t="s">
        <v>780</v>
      </c>
      <c r="H43" s="19" t="s">
        <v>2420</v>
      </c>
      <c r="I43" s="20"/>
      <c r="J43" s="18" t="s">
        <v>583</v>
      </c>
      <c r="K43" s="19" t="s">
        <v>1539</v>
      </c>
      <c r="L43" s="20"/>
      <c r="M43" s="18" t="s">
        <v>585</v>
      </c>
      <c r="N43" s="19" t="s">
        <v>1540</v>
      </c>
      <c r="O43" s="20"/>
    </row>
    <row r="44" ht="180.0" customHeight="1">
      <c r="A44" s="21" t="str">
        <f>IMAGE("https://assets.tcgdex.net/de/me/me02/051/low.jpg", 1)</f>
        <v/>
      </c>
      <c r="B44" s="22"/>
      <c r="C44" s="20"/>
      <c r="D44" s="21" t="str">
        <f>IMAGE("https://assets.tcgdex.net/de/me/me02/052/low.jpg", 1)</f>
        <v/>
      </c>
      <c r="E44" s="22"/>
      <c r="F44" s="20"/>
      <c r="G44" s="21" t="str">
        <f>IMAGE("https://assets.tcgdex.net/de/me/me02/053/low.jpg", 1)</f>
        <v/>
      </c>
      <c r="H44" s="22"/>
      <c r="I44" s="20"/>
      <c r="J44" s="21" t="str">
        <f>IMAGE("https://assets.tcgdex.net/de/me/me02/054/low.jpg", 1)</f>
        <v/>
      </c>
      <c r="K44" s="22"/>
      <c r="L44" s="20"/>
      <c r="M44" s="21" t="str">
        <f>IMAGE("https://assets.tcgdex.net/de/me/me02/055/low.jpg", 1)</f>
        <v/>
      </c>
      <c r="N44" s="22"/>
      <c r="O44" s="20"/>
    </row>
    <row r="45" ht="22.5" customHeight="1">
      <c r="A45" s="23" t="b">
        <v>0</v>
      </c>
      <c r="B45" s="24" t="b">
        <v>0</v>
      </c>
      <c r="C45" s="25" t="str">
        <f>HYPERLINK("https://www.cardmarket.com/en/Pokemon/Products/Singles?idCategory=1&amp;idProduct=me2-51", "CM")</f>
        <v>CM</v>
      </c>
      <c r="D45" s="23" t="b">
        <v>0</v>
      </c>
      <c r="E45" s="24" t="b">
        <v>0</v>
      </c>
      <c r="F45" s="25" t="str">
        <f>HYPERLINK("https://www.cardmarket.com/en/Pokemon/Products/Singles?idCategory=1&amp;idProduct=me2-52", "CM")</f>
        <v>CM</v>
      </c>
      <c r="G45" s="23" t="b">
        <v>0</v>
      </c>
      <c r="H45" s="24" t="b">
        <v>0</v>
      </c>
      <c r="I45" s="25" t="str">
        <f>HYPERLINK("https://www.cardmarket.com/en/Pokemon/Products/Singles?idCategory=1&amp;idProduct=me2-53", "CM")</f>
        <v>CM</v>
      </c>
      <c r="J45" s="23" t="b">
        <v>0</v>
      </c>
      <c r="K45" s="24" t="b">
        <v>0</v>
      </c>
      <c r="L45" s="25" t="str">
        <f>HYPERLINK("https://www.cardmarket.com/en/Pokemon/Products/Singles?idCategory=1&amp;idProduct=me2-54", "CM")</f>
        <v>CM</v>
      </c>
      <c r="M45" s="23" t="b">
        <v>0</v>
      </c>
      <c r="N45" s="24" t="b">
        <v>0</v>
      </c>
      <c r="O45" s="25" t="str">
        <f>HYPERLINK("https://www.cardmarket.com/en/Pokemon/Products/Singles?idCategory=1&amp;idProduct=me2-55", "CM")</f>
        <v>CM</v>
      </c>
    </row>
    <row r="46" ht="7.5" customHeight="1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</row>
    <row r="47" ht="18.75" customHeight="1">
      <c r="A47" s="18" t="s">
        <v>782</v>
      </c>
      <c r="B47" s="19" t="s">
        <v>2421</v>
      </c>
      <c r="C47" s="20"/>
      <c r="D47" s="18" t="s">
        <v>587</v>
      </c>
      <c r="E47" s="19" t="s">
        <v>544</v>
      </c>
      <c r="F47" s="20"/>
      <c r="G47" s="18" t="s">
        <v>589</v>
      </c>
      <c r="H47" s="19" t="s">
        <v>2422</v>
      </c>
      <c r="I47" s="20"/>
      <c r="J47" s="18" t="s">
        <v>591</v>
      </c>
      <c r="K47" s="19" t="s">
        <v>1765</v>
      </c>
      <c r="L47" s="20"/>
      <c r="M47" s="18" t="s">
        <v>593</v>
      </c>
      <c r="N47" s="19" t="s">
        <v>626</v>
      </c>
      <c r="O47" s="20"/>
    </row>
    <row r="48" ht="180.0" customHeight="1">
      <c r="A48" s="21" t="str">
        <f>IMAGE("https://assets.tcgdex.net/de/me/me02/056/low.jpg", 1)</f>
        <v/>
      </c>
      <c r="B48" s="22"/>
      <c r="C48" s="20"/>
      <c r="D48" s="21" t="str">
        <f>IMAGE("https://assets.tcgdex.net/de/me/me02/057/low.jpg", 1)</f>
        <v/>
      </c>
      <c r="E48" s="22"/>
      <c r="F48" s="20"/>
      <c r="G48" s="21" t="str">
        <f>IMAGE("https://assets.tcgdex.net/de/me/me02/058/low.jpg", 1)</f>
        <v/>
      </c>
      <c r="H48" s="22"/>
      <c r="I48" s="20"/>
      <c r="J48" s="21" t="str">
        <f>IMAGE("https://assets.tcgdex.net/de/me/me02/059/low.jpg", 1)</f>
        <v/>
      </c>
      <c r="K48" s="22"/>
      <c r="L48" s="20"/>
      <c r="M48" s="21" t="str">
        <f>IMAGE("https://assets.tcgdex.net/de/me/me02/060/low.jpg", 1)</f>
        <v/>
      </c>
      <c r="N48" s="22"/>
      <c r="O48" s="20"/>
    </row>
    <row r="49" ht="22.5" customHeight="1">
      <c r="A49" s="23" t="b">
        <v>0</v>
      </c>
      <c r="B49" s="24" t="b">
        <v>0</v>
      </c>
      <c r="C49" s="25" t="str">
        <f>HYPERLINK("https://www.cardmarket.com/en/Pokemon/Products/Singles?idCategory=1&amp;idProduct=me2-56", "CM")</f>
        <v>CM</v>
      </c>
      <c r="D49" s="23" t="b">
        <v>0</v>
      </c>
      <c r="E49" s="24" t="b">
        <v>0</v>
      </c>
      <c r="F49" s="25" t="str">
        <f>HYPERLINK("https://www.cardmarket.com/en/Pokemon/Products/Singles?idCategory=1&amp;idProduct=me2-57", "CM")</f>
        <v>CM</v>
      </c>
      <c r="G49" s="23" t="b">
        <v>0</v>
      </c>
      <c r="H49" s="24" t="b">
        <v>0</v>
      </c>
      <c r="I49" s="25" t="str">
        <f>HYPERLINK("https://www.cardmarket.com/en/Pokemon/Products/Singles?idCategory=1&amp;idProduct=me2-58", "CM")</f>
        <v>CM</v>
      </c>
      <c r="J49" s="23" t="b">
        <v>0</v>
      </c>
      <c r="K49" s="24" t="b">
        <v>0</v>
      </c>
      <c r="L49" s="25" t="str">
        <f>HYPERLINK("https://www.cardmarket.com/en/Pokemon/Products/Singles?idCategory=1&amp;idProduct=me2-59", "CM")</f>
        <v>CM</v>
      </c>
      <c r="M49" s="23" t="b">
        <v>0</v>
      </c>
      <c r="N49" s="24" t="b">
        <v>0</v>
      </c>
      <c r="O49" s="25" t="str">
        <f>HYPERLINK("https://www.cardmarket.com/en/Pokemon/Products/Singles?idCategory=1&amp;idProduct=me2-60", "CM")</f>
        <v>CM</v>
      </c>
    </row>
    <row r="50" ht="7.5" customHeight="1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</row>
    <row r="51" ht="18.75" customHeight="1">
      <c r="A51" s="18" t="s">
        <v>595</v>
      </c>
      <c r="B51" s="19" t="s">
        <v>2423</v>
      </c>
      <c r="C51" s="20"/>
      <c r="D51" s="18" t="s">
        <v>597</v>
      </c>
      <c r="E51" s="19" t="s">
        <v>1225</v>
      </c>
      <c r="F51" s="20"/>
      <c r="G51" s="18" t="s">
        <v>784</v>
      </c>
      <c r="H51" s="19" t="s">
        <v>1003</v>
      </c>
      <c r="I51" s="20"/>
      <c r="J51" s="18" t="s">
        <v>786</v>
      </c>
      <c r="K51" s="19" t="s">
        <v>1285</v>
      </c>
      <c r="L51" s="20"/>
      <c r="M51" s="18" t="s">
        <v>788</v>
      </c>
      <c r="N51" s="19" t="s">
        <v>1006</v>
      </c>
      <c r="O51" s="20"/>
    </row>
    <row r="52" ht="180.0" customHeight="1">
      <c r="A52" s="21" t="str">
        <f>IMAGE("https://assets.tcgdex.net/de/me/me02/061/low.jpg", 1)</f>
        <v/>
      </c>
      <c r="B52" s="22"/>
      <c r="C52" s="20"/>
      <c r="D52" s="21" t="str">
        <f>IMAGE("https://assets.tcgdex.net/de/me/me02/062/low.jpg", 1)</f>
        <v/>
      </c>
      <c r="E52" s="22"/>
      <c r="F52" s="20"/>
      <c r="G52" s="21" t="str">
        <f>IMAGE("https://assets.tcgdex.net/de/me/me02/063/low.jpg", 1)</f>
        <v/>
      </c>
      <c r="H52" s="22"/>
      <c r="I52" s="20"/>
      <c r="J52" s="21" t="str">
        <f>IMAGE("https://assets.tcgdex.net/de/me/me02/064/low.jpg", 1)</f>
        <v/>
      </c>
      <c r="K52" s="22"/>
      <c r="L52" s="20"/>
      <c r="M52" s="21" t="str">
        <f>IMAGE("https://assets.tcgdex.net/de/me/me02/065/low.jpg", 1)</f>
        <v/>
      </c>
      <c r="N52" s="22"/>
      <c r="O52" s="20"/>
    </row>
    <row r="53" ht="22.5" customHeight="1">
      <c r="A53" s="23" t="b">
        <v>0</v>
      </c>
      <c r="B53" s="24" t="b">
        <v>0</v>
      </c>
      <c r="C53" s="25" t="str">
        <f>HYPERLINK("https://www.cardmarket.com/en/Pokemon/Products/Singles?idCategory=1&amp;idProduct=me2-61", "CM")</f>
        <v>CM</v>
      </c>
      <c r="D53" s="23" t="b">
        <v>0</v>
      </c>
      <c r="E53" s="24" t="b">
        <v>0</v>
      </c>
      <c r="F53" s="25" t="str">
        <f>HYPERLINK("https://www.cardmarket.com/en/Pokemon/Products/Singles?idCategory=1&amp;idProduct=me2-62", "CM")</f>
        <v>CM</v>
      </c>
      <c r="G53" s="23" t="b">
        <v>0</v>
      </c>
      <c r="H53" s="24" t="b">
        <v>0</v>
      </c>
      <c r="I53" s="25" t="str">
        <f>HYPERLINK("https://www.cardmarket.com/en/Pokemon/Products/Singles?idCategory=1&amp;idProduct=me2-63", "CM")</f>
        <v>CM</v>
      </c>
      <c r="J53" s="23" t="b">
        <v>0</v>
      </c>
      <c r="K53" s="24" t="b">
        <v>0</v>
      </c>
      <c r="L53" s="25" t="str">
        <f>HYPERLINK("https://www.cardmarket.com/en/Pokemon/Products/Singles?idCategory=1&amp;idProduct=me2-64", "CM")</f>
        <v>CM</v>
      </c>
      <c r="M53" s="23" t="b">
        <v>0</v>
      </c>
      <c r="N53" s="24" t="b">
        <v>0</v>
      </c>
      <c r="O53" s="25" t="str">
        <f>HYPERLINK("https://www.cardmarket.com/en/Pokemon/Products/Singles?idCategory=1&amp;idProduct=me2-65", "CM")</f>
        <v>CM</v>
      </c>
    </row>
    <row r="54" ht="7.5" customHeight="1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</row>
    <row r="55" ht="18.75" customHeight="1">
      <c r="A55" s="18" t="s">
        <v>790</v>
      </c>
      <c r="B55" s="19" t="s">
        <v>1286</v>
      </c>
      <c r="C55" s="20"/>
      <c r="D55" s="18" t="s">
        <v>791</v>
      </c>
      <c r="E55" s="19" t="s">
        <v>658</v>
      </c>
      <c r="F55" s="20"/>
      <c r="G55" s="18" t="s">
        <v>793</v>
      </c>
      <c r="H55" s="19" t="s">
        <v>1269</v>
      </c>
      <c r="I55" s="20"/>
      <c r="J55" s="18" t="s">
        <v>795</v>
      </c>
      <c r="K55" s="19" t="s">
        <v>2101</v>
      </c>
      <c r="L55" s="20"/>
      <c r="M55" s="18" t="s">
        <v>797</v>
      </c>
      <c r="N55" s="19" t="s">
        <v>2424</v>
      </c>
      <c r="O55" s="20"/>
    </row>
    <row r="56" ht="180.0" customHeight="1">
      <c r="A56" s="21" t="str">
        <f>IMAGE("https://assets.tcgdex.net/de/me/me02/066/low.jpg", 1)</f>
        <v/>
      </c>
      <c r="B56" s="22"/>
      <c r="C56" s="20"/>
      <c r="D56" s="21" t="str">
        <f>IMAGE("https://assets.tcgdex.net/de/me/me02/067/low.jpg", 1)</f>
        <v/>
      </c>
      <c r="E56" s="22"/>
      <c r="F56" s="20"/>
      <c r="G56" s="21" t="str">
        <f>IMAGE("https://assets.tcgdex.net/de/me/me02/068/low.jpg", 1)</f>
        <v/>
      </c>
      <c r="H56" s="22"/>
      <c r="I56" s="20"/>
      <c r="J56" s="21" t="str">
        <f>IMAGE("https://assets.tcgdex.net/de/me/me02/069/low.jpg", 1)</f>
        <v/>
      </c>
      <c r="K56" s="22"/>
      <c r="L56" s="20"/>
      <c r="M56" s="21" t="str">
        <f>IMAGE("https://assets.tcgdex.net/de/me/me02/070/low.jpg", 1)</f>
        <v/>
      </c>
      <c r="N56" s="22"/>
      <c r="O56" s="20"/>
    </row>
    <row r="57" ht="22.5" customHeight="1">
      <c r="A57" s="23" t="b">
        <v>0</v>
      </c>
      <c r="B57" s="24" t="b">
        <v>0</v>
      </c>
      <c r="C57" s="25" t="str">
        <f>HYPERLINK("https://www.cardmarket.com/en/Pokemon/Products/Singles?idCategory=1&amp;idProduct=me2-66", "CM")</f>
        <v>CM</v>
      </c>
      <c r="D57" s="23" t="b">
        <v>0</v>
      </c>
      <c r="E57" s="24" t="b">
        <v>0</v>
      </c>
      <c r="F57" s="25" t="str">
        <f>HYPERLINK("https://www.cardmarket.com/en/Pokemon/Products/Singles?idCategory=1&amp;idProduct=me2-67", "CM")</f>
        <v>CM</v>
      </c>
      <c r="G57" s="23" t="b">
        <v>0</v>
      </c>
      <c r="H57" s="24" t="b">
        <v>0</v>
      </c>
      <c r="I57" s="25" t="str">
        <f>HYPERLINK("https://www.cardmarket.com/en/Pokemon/Products/Singles?idCategory=1&amp;idProduct=me2-68", "CM")</f>
        <v>CM</v>
      </c>
      <c r="J57" s="23" t="b">
        <v>0</v>
      </c>
      <c r="K57" s="24" t="b">
        <v>0</v>
      </c>
      <c r="L57" s="25" t="str">
        <f>HYPERLINK("https://www.cardmarket.com/en/Pokemon/Products/Singles?idCategory=1&amp;idProduct=me2-69", "CM")</f>
        <v>CM</v>
      </c>
      <c r="M57" s="23" t="b">
        <v>0</v>
      </c>
      <c r="N57" s="24" t="b">
        <v>0</v>
      </c>
      <c r="O57" s="25" t="str">
        <f>HYPERLINK("https://www.cardmarket.com/en/Pokemon/Products/Singles?idCategory=1&amp;idProduct=me2-70", "CM")</f>
        <v>CM</v>
      </c>
    </row>
    <row r="58" ht="7.5" customHeight="1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</row>
    <row r="59" ht="18.75" customHeight="1">
      <c r="A59" s="18" t="s">
        <v>799</v>
      </c>
      <c r="B59" s="19" t="s">
        <v>1438</v>
      </c>
      <c r="C59" s="20"/>
      <c r="D59" s="18" t="s">
        <v>801</v>
      </c>
      <c r="E59" s="19" t="s">
        <v>1439</v>
      </c>
      <c r="F59" s="20"/>
      <c r="G59" s="18" t="s">
        <v>803</v>
      </c>
      <c r="H59" s="19" t="s">
        <v>1442</v>
      </c>
      <c r="I59" s="20"/>
      <c r="J59" s="18" t="s">
        <v>805</v>
      </c>
      <c r="K59" s="19" t="s">
        <v>2028</v>
      </c>
      <c r="L59" s="20"/>
      <c r="M59" s="18" t="s">
        <v>806</v>
      </c>
      <c r="N59" s="19" t="s">
        <v>2029</v>
      </c>
      <c r="O59" s="20"/>
    </row>
    <row r="60" ht="180.0" customHeight="1">
      <c r="A60" s="21" t="str">
        <f>IMAGE("https://assets.tcgdex.net/de/me/me02/071/low.jpg", 1)</f>
        <v/>
      </c>
      <c r="B60" s="22"/>
      <c r="C60" s="20"/>
      <c r="D60" s="21" t="str">
        <f>IMAGE("https://assets.tcgdex.net/de/me/me02/072/low.jpg", 1)</f>
        <v/>
      </c>
      <c r="E60" s="22"/>
      <c r="F60" s="20"/>
      <c r="G60" s="21" t="str">
        <f>IMAGE("https://assets.tcgdex.net/de/me/me02/073/low.jpg", 1)</f>
        <v/>
      </c>
      <c r="H60" s="22"/>
      <c r="I60" s="20"/>
      <c r="J60" s="21" t="str">
        <f>IMAGE("https://assets.tcgdex.net/de/me/me02/074/low.jpg", 1)</f>
        <v/>
      </c>
      <c r="K60" s="22"/>
      <c r="L60" s="20"/>
      <c r="M60" s="21" t="str">
        <f>IMAGE("https://assets.tcgdex.net/de/me/me02/075/low.jpg", 1)</f>
        <v/>
      </c>
      <c r="N60" s="22"/>
      <c r="O60" s="20"/>
    </row>
    <row r="61" ht="22.5" customHeight="1">
      <c r="A61" s="23" t="b">
        <v>0</v>
      </c>
      <c r="B61" s="24" t="b">
        <v>0</v>
      </c>
      <c r="C61" s="25" t="str">
        <f>HYPERLINK("https://www.cardmarket.com/en/Pokemon/Products/Singles?idCategory=1&amp;idProduct=me2-71", "CM")</f>
        <v>CM</v>
      </c>
      <c r="D61" s="23" t="b">
        <v>0</v>
      </c>
      <c r="E61" s="24" t="b">
        <v>0</v>
      </c>
      <c r="F61" s="25" t="str">
        <f>HYPERLINK("https://www.cardmarket.com/en/Pokemon/Products/Singles?idCategory=1&amp;idProduct=me2-72", "CM")</f>
        <v>CM</v>
      </c>
      <c r="G61" s="23" t="b">
        <v>0</v>
      </c>
      <c r="H61" s="24" t="b">
        <v>0</v>
      </c>
      <c r="I61" s="25" t="str">
        <f>HYPERLINK("https://www.cardmarket.com/en/Pokemon/Products/Singles?idCategory=1&amp;idProduct=me2-73", "CM")</f>
        <v>CM</v>
      </c>
      <c r="J61" s="23" t="b">
        <v>0</v>
      </c>
      <c r="K61" s="24" t="b">
        <v>0</v>
      </c>
      <c r="L61" s="25" t="str">
        <f>HYPERLINK("https://www.cardmarket.com/en/Pokemon/Products/Singles?idCategory=1&amp;idProduct=me2-74", "CM")</f>
        <v>CM</v>
      </c>
      <c r="M61" s="23" t="b">
        <v>0</v>
      </c>
      <c r="N61" s="24" t="b">
        <v>0</v>
      </c>
      <c r="O61" s="25" t="str">
        <f>HYPERLINK("https://www.cardmarket.com/en/Pokemon/Products/Singles?idCategory=1&amp;idProduct=me2-75", "CM")</f>
        <v>CM</v>
      </c>
    </row>
    <row r="62" ht="7.5" customHeight="1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</row>
    <row r="63" ht="18.75" customHeight="1">
      <c r="A63" s="18" t="s">
        <v>808</v>
      </c>
      <c r="B63" s="19" t="s">
        <v>1504</v>
      </c>
      <c r="C63" s="20"/>
      <c r="D63" s="18" t="s">
        <v>809</v>
      </c>
      <c r="E63" s="19" t="s">
        <v>1761</v>
      </c>
      <c r="F63" s="20"/>
      <c r="G63" s="18" t="s">
        <v>811</v>
      </c>
      <c r="H63" s="19" t="s">
        <v>1681</v>
      </c>
      <c r="I63" s="20"/>
      <c r="J63" s="18" t="s">
        <v>599</v>
      </c>
      <c r="K63" s="19" t="s">
        <v>1682</v>
      </c>
      <c r="L63" s="20"/>
      <c r="M63" s="18" t="s">
        <v>601</v>
      </c>
      <c r="N63" s="19" t="s">
        <v>2425</v>
      </c>
      <c r="O63" s="20"/>
    </row>
    <row r="64" ht="180.0" customHeight="1">
      <c r="A64" s="21" t="str">
        <f>IMAGE("https://assets.tcgdex.net/de/me/me02/076/low.jpg", 1)</f>
        <v/>
      </c>
      <c r="B64" s="22"/>
      <c r="C64" s="20"/>
      <c r="D64" s="21" t="str">
        <f>IMAGE("https://assets.tcgdex.net/de/me/me02/077/low.jpg", 1)</f>
        <v/>
      </c>
      <c r="E64" s="22"/>
      <c r="F64" s="20"/>
      <c r="G64" s="21" t="str">
        <f>IMAGE("https://assets.tcgdex.net/de/me/me02/078/low.jpg", 1)</f>
        <v/>
      </c>
      <c r="H64" s="22"/>
      <c r="I64" s="20"/>
      <c r="J64" s="21" t="str">
        <f>IMAGE("https://assets.tcgdex.net/de/me/me02/079/low.jpg", 1)</f>
        <v/>
      </c>
      <c r="K64" s="22"/>
      <c r="L64" s="20"/>
      <c r="M64" s="21" t="str">
        <f>IMAGE("https://assets.tcgdex.net/de/me/me02/080/low.jpg", 1)</f>
        <v/>
      </c>
      <c r="N64" s="22"/>
      <c r="O64" s="20"/>
    </row>
    <row r="65" ht="22.5" customHeight="1">
      <c r="A65" s="23" t="b">
        <v>0</v>
      </c>
      <c r="B65" s="24" t="b">
        <v>0</v>
      </c>
      <c r="C65" s="25" t="str">
        <f>HYPERLINK("https://www.cardmarket.com/en/Pokemon/Products/Singles?idCategory=1&amp;idProduct=me2-76", "CM")</f>
        <v>CM</v>
      </c>
      <c r="D65" s="23" t="b">
        <v>0</v>
      </c>
      <c r="E65" s="24" t="b">
        <v>0</v>
      </c>
      <c r="F65" s="25" t="str">
        <f>HYPERLINK("https://www.cardmarket.com/en/Pokemon/Products/Singles?idCategory=1&amp;idProduct=me2-77", "CM")</f>
        <v>CM</v>
      </c>
      <c r="G65" s="23" t="b">
        <v>0</v>
      </c>
      <c r="H65" s="24" t="b">
        <v>0</v>
      </c>
      <c r="I65" s="25" t="str">
        <f>HYPERLINK("https://www.cardmarket.com/en/Pokemon/Products/Singles?idCategory=1&amp;idProduct=me2-78", "CM")</f>
        <v>CM</v>
      </c>
      <c r="J65" s="23" t="b">
        <v>0</v>
      </c>
      <c r="K65" s="24" t="b">
        <v>0</v>
      </c>
      <c r="L65" s="25" t="str">
        <f>HYPERLINK("https://www.cardmarket.com/en/Pokemon/Products/Singles?idCategory=1&amp;idProduct=me2-79", "CM")</f>
        <v>CM</v>
      </c>
      <c r="M65" s="23" t="b">
        <v>0</v>
      </c>
      <c r="N65" s="24" t="b">
        <v>0</v>
      </c>
      <c r="O65" s="25" t="str">
        <f>HYPERLINK("https://www.cardmarket.com/en/Pokemon/Products/Singles?idCategory=1&amp;idProduct=me2-80", "CM")</f>
        <v>CM</v>
      </c>
    </row>
    <row r="66" ht="7.5" customHeight="1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</row>
    <row r="67" ht="18.75" customHeight="1">
      <c r="A67" s="18" t="s">
        <v>603</v>
      </c>
      <c r="B67" s="19" t="s">
        <v>1453</v>
      </c>
      <c r="C67" s="20"/>
      <c r="D67" s="18" t="s">
        <v>604</v>
      </c>
      <c r="E67" s="19" t="s">
        <v>1454</v>
      </c>
      <c r="F67" s="20"/>
      <c r="G67" s="18" t="s">
        <v>606</v>
      </c>
      <c r="H67" s="19" t="s">
        <v>2161</v>
      </c>
      <c r="I67" s="20"/>
      <c r="J67" s="18" t="s">
        <v>608</v>
      </c>
      <c r="K67" s="19" t="s">
        <v>2426</v>
      </c>
      <c r="L67" s="20"/>
      <c r="M67" s="18" t="s">
        <v>609</v>
      </c>
      <c r="N67" s="19" t="s">
        <v>2427</v>
      </c>
      <c r="O67" s="20"/>
    </row>
    <row r="68" ht="180.0" customHeight="1">
      <c r="A68" s="21" t="str">
        <f>IMAGE("https://assets.tcgdex.net/de/me/me02/081/low.jpg", 1)</f>
        <v/>
      </c>
      <c r="B68" s="22"/>
      <c r="C68" s="20"/>
      <c r="D68" s="21" t="str">
        <f>IMAGE("https://assets.tcgdex.net/de/me/me02/082/low.jpg", 1)</f>
        <v/>
      </c>
      <c r="E68" s="22"/>
      <c r="F68" s="20"/>
      <c r="G68" s="21" t="str">
        <f>IMAGE("https://assets.tcgdex.net/de/me/me02/083/low.jpg", 1)</f>
        <v/>
      </c>
      <c r="H68" s="22"/>
      <c r="I68" s="20"/>
      <c r="J68" s="21" t="str">
        <f>IMAGE("https://assets.tcgdex.net/de/me/me02/084/low.jpg", 1)</f>
        <v/>
      </c>
      <c r="K68" s="22"/>
      <c r="L68" s="20"/>
      <c r="M68" s="21" t="str">
        <f>IMAGE("https://assets.tcgdex.net/de/me/me02/085/low.jpg", 1)</f>
        <v/>
      </c>
      <c r="N68" s="22"/>
      <c r="O68" s="20"/>
    </row>
    <row r="69" ht="22.5" customHeight="1">
      <c r="A69" s="23" t="b">
        <v>0</v>
      </c>
      <c r="B69" s="24" t="b">
        <v>0</v>
      </c>
      <c r="C69" s="25" t="str">
        <f>HYPERLINK("https://www.cardmarket.com/en/Pokemon/Products/Singles?idCategory=1&amp;idProduct=me2-81", "CM")</f>
        <v>CM</v>
      </c>
      <c r="D69" s="23" t="b">
        <v>0</v>
      </c>
      <c r="E69" s="24" t="b">
        <v>0</v>
      </c>
      <c r="F69" s="25" t="str">
        <f>HYPERLINK("https://www.cardmarket.com/en/Pokemon/Products/Singles?idCategory=1&amp;idProduct=me2-82", "CM")</f>
        <v>CM</v>
      </c>
      <c r="G69" s="23" t="b">
        <v>0</v>
      </c>
      <c r="H69" s="24" t="b">
        <v>0</v>
      </c>
      <c r="I69" s="25" t="str">
        <f>HYPERLINK("https://www.cardmarket.com/en/Pokemon/Products/Singles?idCategory=1&amp;idProduct=me2-83", "CM")</f>
        <v>CM</v>
      </c>
      <c r="J69" s="23" t="b">
        <v>0</v>
      </c>
      <c r="K69" s="24" t="b">
        <v>0</v>
      </c>
      <c r="L69" s="25" t="str">
        <f>HYPERLINK("https://www.cardmarket.com/en/Pokemon/Products/Singles?idCategory=1&amp;idProduct=me2-84", "CM")</f>
        <v>CM</v>
      </c>
      <c r="M69" s="23" t="b">
        <v>0</v>
      </c>
      <c r="N69" s="24" t="b">
        <v>0</v>
      </c>
      <c r="O69" s="25" t="str">
        <f>HYPERLINK("https://www.cardmarket.com/en/Pokemon/Products/Singles?idCategory=1&amp;idProduct=me2-85", "CM")</f>
        <v>CM</v>
      </c>
    </row>
    <row r="70" ht="7.5" customHeight="1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</row>
    <row r="71" ht="18.75" customHeight="1">
      <c r="A71" s="18" t="s">
        <v>611</v>
      </c>
      <c r="B71" s="19" t="s">
        <v>2428</v>
      </c>
      <c r="C71" s="20"/>
      <c r="D71" s="18" t="s">
        <v>613</v>
      </c>
      <c r="E71" s="19" t="s">
        <v>2429</v>
      </c>
      <c r="F71" s="20"/>
      <c r="G71" s="18" t="s">
        <v>615</v>
      </c>
      <c r="H71" s="19" t="s">
        <v>2430</v>
      </c>
      <c r="I71" s="20"/>
      <c r="J71" s="18" t="s">
        <v>617</v>
      </c>
      <c r="K71" s="19" t="s">
        <v>2431</v>
      </c>
      <c r="L71" s="20"/>
      <c r="M71" s="18" t="s">
        <v>619</v>
      </c>
      <c r="N71" s="19" t="s">
        <v>2432</v>
      </c>
      <c r="O71" s="20"/>
    </row>
    <row r="72" ht="180.0" customHeight="1">
      <c r="A72" s="21" t="str">
        <f>IMAGE("https://assets.tcgdex.net/de/me/me02/086/low.jpg", 1)</f>
        <v/>
      </c>
      <c r="B72" s="22"/>
      <c r="C72" s="20"/>
      <c r="D72" s="21" t="str">
        <f>IMAGE("https://assets.tcgdex.net/de/me/me02/087/low.jpg", 1)</f>
        <v/>
      </c>
      <c r="E72" s="22"/>
      <c r="F72" s="20"/>
      <c r="G72" s="21" t="str">
        <f>IMAGE("https://assets.tcgdex.net/de/me/me02/088/low.jpg", 1)</f>
        <v/>
      </c>
      <c r="H72" s="22"/>
      <c r="I72" s="20"/>
      <c r="J72" s="21" t="str">
        <f>IMAGE("https://assets.tcgdex.net/de/me/me02/089/low.jpg", 1)</f>
        <v/>
      </c>
      <c r="K72" s="22"/>
      <c r="L72" s="20"/>
      <c r="M72" s="21" t="str">
        <f>IMAGE("https://assets.tcgdex.net/de/me/me02/090/low.jpg", 1)</f>
        <v/>
      </c>
      <c r="N72" s="22"/>
      <c r="O72" s="20"/>
    </row>
    <row r="73" ht="22.5" customHeight="1">
      <c r="A73" s="23" t="b">
        <v>0</v>
      </c>
      <c r="B73" s="24" t="b">
        <v>0</v>
      </c>
      <c r="C73" s="25" t="str">
        <f>HYPERLINK("https://www.cardmarket.com/en/Pokemon/Products/Singles?idCategory=1&amp;idProduct=me2-86", "CM")</f>
        <v>CM</v>
      </c>
      <c r="D73" s="23" t="b">
        <v>0</v>
      </c>
      <c r="E73" s="24" t="b">
        <v>0</v>
      </c>
      <c r="F73" s="25" t="str">
        <f>HYPERLINK("https://www.cardmarket.com/en/Pokemon/Products/Singles?idCategory=1&amp;idProduct=me2-87", "CM")</f>
        <v>CM</v>
      </c>
      <c r="G73" s="23" t="b">
        <v>0</v>
      </c>
      <c r="H73" s="24" t="b">
        <v>0</v>
      </c>
      <c r="I73" s="25" t="str">
        <f>HYPERLINK("https://www.cardmarket.com/en/Pokemon/Products/Singles?idCategory=1&amp;idProduct=me2-88", "CM")</f>
        <v>CM</v>
      </c>
      <c r="J73" s="23" t="b">
        <v>0</v>
      </c>
      <c r="K73" s="24" t="b">
        <v>0</v>
      </c>
      <c r="L73" s="25" t="str">
        <f>HYPERLINK("https://www.cardmarket.com/en/Pokemon/Products/Singles?idCategory=1&amp;idProduct=me2-89", "CM")</f>
        <v>CM</v>
      </c>
      <c r="M73" s="23" t="b">
        <v>0</v>
      </c>
      <c r="N73" s="24" t="b">
        <v>0</v>
      </c>
      <c r="O73" s="25" t="str">
        <f>HYPERLINK("https://www.cardmarket.com/en/Pokemon/Products/Singles?idCategory=1&amp;idProduct=me2-90", "CM")</f>
        <v>CM</v>
      </c>
    </row>
    <row r="74" ht="7.5" customHeight="1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</row>
    <row r="75" ht="18.75" customHeight="1">
      <c r="A75" s="18" t="s">
        <v>621</v>
      </c>
      <c r="B75" s="19" t="s">
        <v>2433</v>
      </c>
      <c r="C75" s="20"/>
      <c r="D75" s="18" t="s">
        <v>623</v>
      </c>
      <c r="E75" s="19" t="s">
        <v>2434</v>
      </c>
      <c r="F75" s="20"/>
      <c r="G75" s="18" t="s">
        <v>625</v>
      </c>
      <c r="H75" s="19" t="s">
        <v>2435</v>
      </c>
      <c r="I75" s="20"/>
      <c r="J75" s="18" t="s">
        <v>627</v>
      </c>
      <c r="K75" s="19" t="s">
        <v>2436</v>
      </c>
      <c r="L75" s="20"/>
      <c r="M75" s="18" t="s">
        <v>812</v>
      </c>
      <c r="N75" s="19" t="s">
        <v>2190</v>
      </c>
      <c r="O75" s="20"/>
    </row>
    <row r="76" ht="180.0" customHeight="1">
      <c r="A76" s="21" t="str">
        <f>IMAGE("https://assets.tcgdex.net/de/me/me02/091/low.jpg", 1)</f>
        <v/>
      </c>
      <c r="B76" s="22"/>
      <c r="C76" s="20"/>
      <c r="D76" s="21" t="str">
        <f>IMAGE("https://assets.tcgdex.net/de/me/me02/092/low.jpg", 1)</f>
        <v/>
      </c>
      <c r="E76" s="22"/>
      <c r="F76" s="20"/>
      <c r="G76" s="21" t="str">
        <f>IMAGE("https://assets.tcgdex.net/de/me/me02/093/low.jpg", 1)</f>
        <v/>
      </c>
      <c r="H76" s="22"/>
      <c r="I76" s="20"/>
      <c r="J76" s="21" t="str">
        <f>IMAGE("https://assets.tcgdex.net/de/me/me02/094/low.jpg", 1)</f>
        <v/>
      </c>
      <c r="K76" s="22"/>
      <c r="L76" s="20"/>
      <c r="M76" s="21" t="str">
        <f>IMAGE("https://assets.tcgdex.net/de/me/me02/095/low.jpg", 1)</f>
        <v/>
      </c>
      <c r="N76" s="22"/>
      <c r="O76" s="20"/>
    </row>
    <row r="77" ht="22.5" customHeight="1">
      <c r="A77" s="23" t="b">
        <v>0</v>
      </c>
      <c r="B77" s="24" t="b">
        <v>0</v>
      </c>
      <c r="C77" s="25" t="str">
        <f>HYPERLINK("https://www.cardmarket.com/en/Pokemon/Products/Singles?idCategory=1&amp;idProduct=me2-91", "CM")</f>
        <v>CM</v>
      </c>
      <c r="D77" s="23" t="b">
        <v>0</v>
      </c>
      <c r="E77" s="24" t="b">
        <v>0</v>
      </c>
      <c r="F77" s="25" t="str">
        <f>HYPERLINK("https://www.cardmarket.com/en/Pokemon/Products/Singles?idCategory=1&amp;idProduct=me2-92", "CM")</f>
        <v>CM</v>
      </c>
      <c r="G77" s="23" t="b">
        <v>0</v>
      </c>
      <c r="H77" s="24" t="b">
        <v>0</v>
      </c>
      <c r="I77" s="25" t="str">
        <f>HYPERLINK("https://www.cardmarket.com/en/Pokemon/Products/Singles?idCategory=1&amp;idProduct=me2-93", "CM")</f>
        <v>CM</v>
      </c>
      <c r="J77" s="23" t="b">
        <v>0</v>
      </c>
      <c r="K77" s="24" t="b">
        <v>0</v>
      </c>
      <c r="L77" s="25" t="str">
        <f>HYPERLINK("https://www.cardmarket.com/en/Pokemon/Products/Singles?idCategory=1&amp;idProduct=me2-94", "CM")</f>
        <v>CM</v>
      </c>
      <c r="M77" s="23" t="b">
        <v>0</v>
      </c>
      <c r="N77" s="24" t="b">
        <v>0</v>
      </c>
      <c r="O77" s="25" t="str">
        <f>HYPERLINK("https://www.cardmarket.com/en/Pokemon/Products/Singles?idCategory=1&amp;idProduct=me2-95", "CM")</f>
        <v>CM</v>
      </c>
    </row>
    <row r="78" ht="7.5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</row>
    <row r="79" ht="18.75" customHeight="1">
      <c r="A79" s="18" t="s">
        <v>813</v>
      </c>
      <c r="B79" s="19" t="s">
        <v>1600</v>
      </c>
      <c r="C79" s="20"/>
      <c r="D79" s="18" t="s">
        <v>815</v>
      </c>
      <c r="E79" s="19" t="s">
        <v>1536</v>
      </c>
      <c r="F79" s="20"/>
      <c r="G79" s="18" t="s">
        <v>817</v>
      </c>
      <c r="H79" s="19" t="s">
        <v>2413</v>
      </c>
      <c r="I79" s="20"/>
      <c r="J79" s="18" t="s">
        <v>819</v>
      </c>
      <c r="K79" s="19" t="s">
        <v>1803</v>
      </c>
      <c r="L79" s="20"/>
      <c r="M79" s="18" t="s">
        <v>821</v>
      </c>
      <c r="N79" s="19" t="s">
        <v>939</v>
      </c>
      <c r="O79" s="20"/>
    </row>
    <row r="80" ht="180.0" customHeight="1">
      <c r="A80" s="21" t="str">
        <f>IMAGE("https://assets.tcgdex.net/de/me/me02/096/low.jpg", 1)</f>
        <v/>
      </c>
      <c r="B80" s="22"/>
      <c r="C80" s="20"/>
      <c r="D80" s="21" t="str">
        <f>IMAGE("https://assets.tcgdex.net/de/me/me02/097/low.jpg", 1)</f>
        <v/>
      </c>
      <c r="E80" s="22"/>
      <c r="F80" s="20"/>
      <c r="G80" s="21" t="str">
        <f>IMAGE("https://assets.tcgdex.net/de/me/me02/098/low.jpg", 1)</f>
        <v/>
      </c>
      <c r="H80" s="22"/>
      <c r="I80" s="20"/>
      <c r="J80" s="21" t="str">
        <f>IMAGE("https://assets.tcgdex.net/de/me/me02/099/low.jpg", 1)</f>
        <v/>
      </c>
      <c r="K80" s="22"/>
      <c r="L80" s="20"/>
      <c r="M80" s="21" t="str">
        <f>IMAGE("https://assets.tcgdex.net/de/me/me02/100/low.jpg", 1)</f>
        <v/>
      </c>
      <c r="N80" s="22"/>
      <c r="O80" s="20"/>
    </row>
    <row r="81" ht="22.5" customHeight="1">
      <c r="A81" s="23" t="b">
        <v>0</v>
      </c>
      <c r="B81" s="24" t="b">
        <v>0</v>
      </c>
      <c r="C81" s="25" t="str">
        <f>HYPERLINK("https://www.cardmarket.com/en/Pokemon/Products/Singles?idCategory=1&amp;idProduct=me2-96", "CM")</f>
        <v>CM</v>
      </c>
      <c r="D81" s="23" t="b">
        <v>0</v>
      </c>
      <c r="E81" s="24" t="b">
        <v>0</v>
      </c>
      <c r="F81" s="25" t="str">
        <f>HYPERLINK("https://www.cardmarket.com/en/Pokemon/Products/Singles?idCategory=1&amp;idProduct=me2-97", "CM")</f>
        <v>CM</v>
      </c>
      <c r="G81" s="23" t="b">
        <v>0</v>
      </c>
      <c r="H81" s="24" t="b">
        <v>0</v>
      </c>
      <c r="I81" s="25" t="str">
        <f>HYPERLINK("https://www.cardmarket.com/en/Pokemon/Products/Singles?idCategory=1&amp;idProduct=me2-98", "CM")</f>
        <v>CM</v>
      </c>
      <c r="J81" s="23" t="b">
        <v>0</v>
      </c>
      <c r="K81" s="24" t="b">
        <v>0</v>
      </c>
      <c r="L81" s="25" t="str">
        <f>HYPERLINK("https://www.cardmarket.com/en/Pokemon/Products/Singles?idCategory=1&amp;idProduct=me2-99", "CM")</f>
        <v>CM</v>
      </c>
      <c r="M81" s="23" t="b">
        <v>0</v>
      </c>
      <c r="N81" s="24" t="b">
        <v>0</v>
      </c>
      <c r="O81" s="25" t="str">
        <f>HYPERLINK("https://www.cardmarket.com/en/Pokemon/Products/Singles?idCategory=1&amp;idProduct=me2-100", "CM")</f>
        <v>CM</v>
      </c>
    </row>
    <row r="82" ht="7.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</row>
    <row r="83" ht="18.75" customHeight="1">
      <c r="A83" s="18" t="s">
        <v>629</v>
      </c>
      <c r="B83" s="19" t="s">
        <v>2420</v>
      </c>
      <c r="C83" s="20"/>
      <c r="D83" s="18" t="s">
        <v>630</v>
      </c>
      <c r="E83" s="19" t="s">
        <v>578</v>
      </c>
      <c r="F83" s="20"/>
      <c r="G83" s="18" t="s">
        <v>632</v>
      </c>
      <c r="H83" s="19" t="s">
        <v>1269</v>
      </c>
      <c r="I83" s="20"/>
      <c r="J83" s="18" t="s">
        <v>634</v>
      </c>
      <c r="K83" s="19" t="s">
        <v>1442</v>
      </c>
      <c r="L83" s="20"/>
      <c r="M83" s="18" t="s">
        <v>636</v>
      </c>
      <c r="N83" s="19" t="s">
        <v>1761</v>
      </c>
      <c r="O83" s="20"/>
    </row>
    <row r="84" ht="180.0" customHeight="1">
      <c r="A84" s="21" t="str">
        <f>IMAGE("https://assets.tcgdex.net/de/me/me02/101/low.jpg", 1)</f>
        <v/>
      </c>
      <c r="B84" s="22"/>
      <c r="C84" s="20"/>
      <c r="D84" s="21" t="str">
        <f>IMAGE("https://assets.tcgdex.net/de/me/me02/102/low.jpg", 1)</f>
        <v/>
      </c>
      <c r="E84" s="22"/>
      <c r="F84" s="20"/>
      <c r="G84" s="21" t="str">
        <f>IMAGE("https://assets.tcgdex.net/de/me/me02/103/low.jpg", 1)</f>
        <v/>
      </c>
      <c r="H84" s="22"/>
      <c r="I84" s="20"/>
      <c r="J84" s="21" t="str">
        <f>IMAGE("https://assets.tcgdex.net/de/me/me02/104/low.jpg", 1)</f>
        <v/>
      </c>
      <c r="K84" s="22"/>
      <c r="L84" s="20"/>
      <c r="M84" s="21" t="str">
        <f>IMAGE("https://assets.tcgdex.net/de/me/me02/105/low.jpg", 1)</f>
        <v/>
      </c>
      <c r="N84" s="22"/>
      <c r="O84" s="20"/>
    </row>
    <row r="85" ht="22.5" customHeight="1">
      <c r="A85" s="23" t="b">
        <v>0</v>
      </c>
      <c r="B85" s="24" t="b">
        <v>0</v>
      </c>
      <c r="C85" s="25" t="str">
        <f>HYPERLINK("https://www.cardmarket.com/en/Pokemon/Products/Singles?idCategory=1&amp;idProduct=me2-101", "CM")</f>
        <v>CM</v>
      </c>
      <c r="D85" s="23" t="b">
        <v>0</v>
      </c>
      <c r="E85" s="24" t="b">
        <v>0</v>
      </c>
      <c r="F85" s="25" t="str">
        <f>HYPERLINK("https://www.cardmarket.com/en/Pokemon/Products/Singles?idCategory=1&amp;idProduct=me2-102", "CM")</f>
        <v>CM</v>
      </c>
      <c r="G85" s="23" t="b">
        <v>0</v>
      </c>
      <c r="H85" s="24" t="b">
        <v>0</v>
      </c>
      <c r="I85" s="25" t="str">
        <f>HYPERLINK("https://www.cardmarket.com/en/Pokemon/Products/Singles?idCategory=1&amp;idProduct=me2-103", "CM")</f>
        <v>CM</v>
      </c>
      <c r="J85" s="23" t="b">
        <v>0</v>
      </c>
      <c r="K85" s="24" t="b">
        <v>0</v>
      </c>
      <c r="L85" s="25" t="str">
        <f>HYPERLINK("https://www.cardmarket.com/en/Pokemon/Products/Singles?idCategory=1&amp;idProduct=me2-104", "CM")</f>
        <v>CM</v>
      </c>
      <c r="M85" s="23" t="b">
        <v>0</v>
      </c>
      <c r="N85" s="24" t="b">
        <v>0</v>
      </c>
      <c r="O85" s="25" t="str">
        <f>HYPERLINK("https://www.cardmarket.com/en/Pokemon/Products/Singles?idCategory=1&amp;idProduct=me2-105", "CM")</f>
        <v>CM</v>
      </c>
    </row>
    <row r="86" ht="7.5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</row>
    <row r="87" ht="18.75" customHeight="1">
      <c r="A87" s="18" t="s">
        <v>638</v>
      </c>
      <c r="B87" s="19" t="s">
        <v>1512</v>
      </c>
      <c r="C87" s="20"/>
      <c r="D87" s="18" t="s">
        <v>640</v>
      </c>
      <c r="E87" s="19" t="s">
        <v>1682</v>
      </c>
      <c r="F87" s="20"/>
      <c r="G87" s="18" t="s">
        <v>642</v>
      </c>
      <c r="H87" s="19" t="s">
        <v>2409</v>
      </c>
      <c r="I87" s="20"/>
      <c r="J87" s="18" t="s">
        <v>643</v>
      </c>
      <c r="K87" s="19" t="s">
        <v>2410</v>
      </c>
      <c r="L87" s="20"/>
      <c r="M87" s="18" t="s">
        <v>645</v>
      </c>
      <c r="N87" s="19" t="s">
        <v>2411</v>
      </c>
      <c r="O87" s="20"/>
    </row>
    <row r="88" ht="180.0" customHeight="1">
      <c r="A88" s="21" t="str">
        <f>IMAGE("https://assets.tcgdex.net/de/me/me02/106/low.jpg", 1)</f>
        <v/>
      </c>
      <c r="B88" s="22"/>
      <c r="C88" s="20"/>
      <c r="D88" s="21" t="str">
        <f>IMAGE("https://assets.tcgdex.net/de/me/me02/107/low.jpg", 1)</f>
        <v/>
      </c>
      <c r="E88" s="22"/>
      <c r="F88" s="20"/>
      <c r="G88" s="21" t="str">
        <f>IMAGE("https://assets.tcgdex.net/de/me/me02/108/low.jpg", 1)</f>
        <v/>
      </c>
      <c r="H88" s="22"/>
      <c r="I88" s="20"/>
      <c r="J88" s="21" t="str">
        <f>IMAGE("https://assets.tcgdex.net/de/me/me02/109/low.jpg", 1)</f>
        <v/>
      </c>
      <c r="K88" s="22"/>
      <c r="L88" s="20"/>
      <c r="M88" s="21" t="str">
        <f>IMAGE("https://assets.tcgdex.net/de/me/me02/110/low.jpg", 1)</f>
        <v/>
      </c>
      <c r="N88" s="22"/>
      <c r="O88" s="20"/>
    </row>
    <row r="89" ht="22.5" customHeight="1">
      <c r="A89" s="23" t="b">
        <v>0</v>
      </c>
      <c r="B89" s="24" t="b">
        <v>0</v>
      </c>
      <c r="C89" s="25" t="str">
        <f>HYPERLINK("https://www.cardmarket.com/en/Pokemon/Products/Singles?idCategory=1&amp;idProduct=me2-106", "CM")</f>
        <v>CM</v>
      </c>
      <c r="D89" s="23" t="b">
        <v>0</v>
      </c>
      <c r="E89" s="24" t="b">
        <v>0</v>
      </c>
      <c r="F89" s="25" t="str">
        <f>HYPERLINK("https://www.cardmarket.com/en/Pokemon/Products/Singles?idCategory=1&amp;idProduct=me2-107", "CM")</f>
        <v>CM</v>
      </c>
      <c r="G89" s="23" t="b">
        <v>0</v>
      </c>
      <c r="H89" s="24" t="b">
        <v>0</v>
      </c>
      <c r="I89" s="25" t="str">
        <f>HYPERLINK("https://www.cardmarket.com/en/Pokemon/Products/Singles?idCategory=1&amp;idProduct=me2-108", "CM")</f>
        <v>CM</v>
      </c>
      <c r="J89" s="23" t="b">
        <v>0</v>
      </c>
      <c r="K89" s="24" t="b">
        <v>0</v>
      </c>
      <c r="L89" s="25" t="str">
        <f>HYPERLINK("https://www.cardmarket.com/en/Pokemon/Products/Singles?idCategory=1&amp;idProduct=me2-109", "CM")</f>
        <v>CM</v>
      </c>
      <c r="M89" s="23" t="b">
        <v>0</v>
      </c>
      <c r="N89" s="24" t="b">
        <v>0</v>
      </c>
      <c r="O89" s="25" t="str">
        <f>HYPERLINK("https://www.cardmarket.com/en/Pokemon/Products/Singles?idCategory=1&amp;idProduct=me2-110", "CM")</f>
        <v>CM</v>
      </c>
    </row>
    <row r="90" ht="7.5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</row>
    <row r="91" ht="18.75" customHeight="1">
      <c r="A91" s="18" t="s">
        <v>647</v>
      </c>
      <c r="B91" s="19" t="s">
        <v>2415</v>
      </c>
      <c r="C91" s="20"/>
      <c r="D91" s="18" t="s">
        <v>649</v>
      </c>
      <c r="E91" s="19" t="s">
        <v>2417</v>
      </c>
      <c r="F91" s="20"/>
      <c r="G91" s="18" t="s">
        <v>651</v>
      </c>
      <c r="H91" s="19" t="s">
        <v>2423</v>
      </c>
      <c r="I91" s="20"/>
      <c r="J91" s="18" t="s">
        <v>823</v>
      </c>
      <c r="K91" s="19" t="s">
        <v>2424</v>
      </c>
      <c r="L91" s="20"/>
      <c r="M91" s="18" t="s">
        <v>653</v>
      </c>
      <c r="N91" s="19" t="s">
        <v>2426</v>
      </c>
      <c r="O91" s="20"/>
    </row>
    <row r="92" ht="180.0" customHeight="1">
      <c r="A92" s="21" t="str">
        <f>IMAGE("https://assets.tcgdex.net/de/me/me02/111/low.jpg", 1)</f>
        <v/>
      </c>
      <c r="B92" s="22"/>
      <c r="C92" s="20"/>
      <c r="D92" s="21" t="str">
        <f>IMAGE("https://assets.tcgdex.net/de/me/me02/112/low.jpg", 1)</f>
        <v/>
      </c>
      <c r="E92" s="22"/>
      <c r="F92" s="20"/>
      <c r="G92" s="21" t="str">
        <f>IMAGE("https://assets.tcgdex.net/de/me/me02/113/low.jpg", 1)</f>
        <v/>
      </c>
      <c r="H92" s="22"/>
      <c r="I92" s="20"/>
      <c r="J92" s="21" t="str">
        <f>IMAGE("https://assets.tcgdex.net/de/me/me02/114/low.jpg", 1)</f>
        <v/>
      </c>
      <c r="K92" s="22"/>
      <c r="L92" s="20"/>
      <c r="M92" s="21" t="str">
        <f>IMAGE("https://assets.tcgdex.net/de/me/me02/115/low.jpg", 1)</f>
        <v/>
      </c>
      <c r="N92" s="22"/>
      <c r="O92" s="20"/>
    </row>
    <row r="93" ht="22.5" customHeight="1">
      <c r="A93" s="23" t="b">
        <v>0</v>
      </c>
      <c r="B93" s="24" t="b">
        <v>0</v>
      </c>
      <c r="C93" s="25" t="str">
        <f>HYPERLINK("https://www.cardmarket.com/en/Pokemon/Products/Singles?idCategory=1&amp;idProduct=me2-111", "CM")</f>
        <v>CM</v>
      </c>
      <c r="D93" s="23" t="b">
        <v>0</v>
      </c>
      <c r="E93" s="24" t="b">
        <v>0</v>
      </c>
      <c r="F93" s="25" t="str">
        <f>HYPERLINK("https://www.cardmarket.com/en/Pokemon/Products/Singles?idCategory=1&amp;idProduct=me2-112", "CM")</f>
        <v>CM</v>
      </c>
      <c r="G93" s="23" t="b">
        <v>0</v>
      </c>
      <c r="H93" s="24" t="b">
        <v>0</v>
      </c>
      <c r="I93" s="25" t="str">
        <f>HYPERLINK("https://www.cardmarket.com/en/Pokemon/Products/Singles?idCategory=1&amp;idProduct=me2-113", "CM")</f>
        <v>CM</v>
      </c>
      <c r="J93" s="23" t="b">
        <v>0</v>
      </c>
      <c r="K93" s="24" t="b">
        <v>0</v>
      </c>
      <c r="L93" s="25" t="str">
        <f>HYPERLINK("https://www.cardmarket.com/en/Pokemon/Products/Singles?idCategory=1&amp;idProduct=me2-114", "CM")</f>
        <v>CM</v>
      </c>
      <c r="M93" s="23" t="b">
        <v>0</v>
      </c>
      <c r="N93" s="24" t="b">
        <v>0</v>
      </c>
      <c r="O93" s="25" t="str">
        <f>HYPERLINK("https://www.cardmarket.com/en/Pokemon/Products/Singles?idCategory=1&amp;idProduct=me2-115", "CM")</f>
        <v>CM</v>
      </c>
    </row>
    <row r="94" ht="7.5" customHeigh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</row>
    <row r="95" ht="18.75" customHeight="1">
      <c r="A95" s="18" t="s">
        <v>825</v>
      </c>
      <c r="B95" s="19" t="s">
        <v>2427</v>
      </c>
      <c r="C95" s="20"/>
      <c r="D95" s="18" t="s">
        <v>655</v>
      </c>
      <c r="E95" s="19" t="s">
        <v>2428</v>
      </c>
      <c r="F95" s="20"/>
      <c r="G95" s="18" t="s">
        <v>827</v>
      </c>
      <c r="H95" s="19" t="s">
        <v>2429</v>
      </c>
      <c r="I95" s="20"/>
      <c r="J95" s="18" t="s">
        <v>657</v>
      </c>
      <c r="K95" s="19" t="s">
        <v>2431</v>
      </c>
      <c r="L95" s="20"/>
      <c r="M95" s="18" t="s">
        <v>659</v>
      </c>
      <c r="N95" s="19" t="s">
        <v>2432</v>
      </c>
      <c r="O95" s="20"/>
    </row>
    <row r="96" ht="180.0" customHeight="1">
      <c r="A96" s="21" t="str">
        <f>IMAGE("https://assets.tcgdex.net/de/me/me02/116/low.jpg", 1)</f>
        <v/>
      </c>
      <c r="B96" s="22"/>
      <c r="C96" s="20"/>
      <c r="D96" s="21" t="str">
        <f>IMAGE("https://assets.tcgdex.net/de/me/me02/117/low.jpg", 1)</f>
        <v/>
      </c>
      <c r="E96" s="22"/>
      <c r="F96" s="20"/>
      <c r="G96" s="21" t="str">
        <f>IMAGE("https://assets.tcgdex.net/de/me/me02/118/low.jpg", 1)</f>
        <v/>
      </c>
      <c r="H96" s="22"/>
      <c r="I96" s="20"/>
      <c r="J96" s="21" t="str">
        <f>IMAGE("https://assets.tcgdex.net/de/me/me02/119/low.jpg", 1)</f>
        <v/>
      </c>
      <c r="K96" s="22"/>
      <c r="L96" s="20"/>
      <c r="M96" s="21" t="str">
        <f>IMAGE("https://assets.tcgdex.net/de/me/me02/120/low.jpg", 1)</f>
        <v/>
      </c>
      <c r="N96" s="22"/>
      <c r="O96" s="20"/>
    </row>
    <row r="97" ht="22.5" customHeight="1">
      <c r="A97" s="23" t="b">
        <v>0</v>
      </c>
      <c r="B97" s="24" t="b">
        <v>0</v>
      </c>
      <c r="C97" s="25" t="str">
        <f>HYPERLINK("https://www.cardmarket.com/en/Pokemon/Products/Singles?idCategory=1&amp;idProduct=me2-116", "CM")</f>
        <v>CM</v>
      </c>
      <c r="D97" s="23" t="b">
        <v>0</v>
      </c>
      <c r="E97" s="24" t="b">
        <v>0</v>
      </c>
      <c r="F97" s="25" t="str">
        <f>HYPERLINK("https://www.cardmarket.com/en/Pokemon/Products/Singles?idCategory=1&amp;idProduct=me2-117", "CM")</f>
        <v>CM</v>
      </c>
      <c r="G97" s="23" t="b">
        <v>0</v>
      </c>
      <c r="H97" s="24" t="b">
        <v>0</v>
      </c>
      <c r="I97" s="25" t="str">
        <f>HYPERLINK("https://www.cardmarket.com/en/Pokemon/Products/Singles?idCategory=1&amp;idProduct=me2-118", "CM")</f>
        <v>CM</v>
      </c>
      <c r="J97" s="23" t="b">
        <v>0</v>
      </c>
      <c r="K97" s="24" t="b">
        <v>0</v>
      </c>
      <c r="L97" s="25" t="str">
        <f>HYPERLINK("https://www.cardmarket.com/en/Pokemon/Products/Singles?idCategory=1&amp;idProduct=me2-119", "CM")</f>
        <v>CM</v>
      </c>
      <c r="M97" s="23" t="b">
        <v>0</v>
      </c>
      <c r="N97" s="24" t="b">
        <v>0</v>
      </c>
      <c r="O97" s="25" t="str">
        <f>HYPERLINK("https://www.cardmarket.com/en/Pokemon/Products/Singles?idCategory=1&amp;idProduct=me2-120", "CM")</f>
        <v>CM</v>
      </c>
    </row>
    <row r="98" ht="7.5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</row>
    <row r="99" ht="18.75" customHeight="1">
      <c r="A99" s="18" t="s">
        <v>829</v>
      </c>
      <c r="B99" s="19" t="s">
        <v>2434</v>
      </c>
      <c r="C99" s="20"/>
      <c r="D99" s="18" t="s">
        <v>830</v>
      </c>
      <c r="E99" s="19" t="s">
        <v>2435</v>
      </c>
      <c r="F99" s="20"/>
      <c r="G99" s="18" t="s">
        <v>831</v>
      </c>
      <c r="H99" s="19" t="s">
        <v>959</v>
      </c>
      <c r="I99" s="20"/>
      <c r="J99" s="18" t="s">
        <v>833</v>
      </c>
      <c r="K99" s="19" t="s">
        <v>2437</v>
      </c>
      <c r="L99" s="20"/>
      <c r="M99" s="18" t="s">
        <v>661</v>
      </c>
      <c r="N99" s="19" t="s">
        <v>2410</v>
      </c>
      <c r="O99" s="20"/>
    </row>
    <row r="100" ht="180.0" customHeight="1">
      <c r="A100" s="21" t="str">
        <f>IMAGE("https://assets.tcgdex.net/de/me/me02/121/low.jpg", 1)</f>
        <v/>
      </c>
      <c r="B100" s="22"/>
      <c r="C100" s="20"/>
      <c r="D100" s="21" t="str">
        <f>IMAGE("https://assets.tcgdex.net/de/me/me02/122/low.jpg", 1)</f>
        <v/>
      </c>
      <c r="E100" s="22"/>
      <c r="F100" s="20"/>
      <c r="G100" s="21" t="str">
        <f>IMAGE("https://assets.tcgdex.net/de/me/me02/123/low.jpg", 1)</f>
        <v/>
      </c>
      <c r="H100" s="22"/>
      <c r="I100" s="20"/>
      <c r="J100" s="21" t="str">
        <f>IMAGE("https://assets.tcgdex.net/de/me/me02/124/low.jpg", 1)</f>
        <v/>
      </c>
      <c r="K100" s="22"/>
      <c r="L100" s="20"/>
      <c r="M100" s="21" t="str">
        <f>IMAGE("https://assets.tcgdex.net/de/me/me02/125/low.jpg", 1)</f>
        <v/>
      </c>
      <c r="N100" s="22"/>
      <c r="O100" s="20"/>
    </row>
    <row r="101" ht="22.5" customHeight="1">
      <c r="A101" s="23" t="b">
        <v>0</v>
      </c>
      <c r="B101" s="24" t="b">
        <v>0</v>
      </c>
      <c r="C101" s="25" t="str">
        <f>HYPERLINK("https://www.cardmarket.com/en/Pokemon/Products/Singles?idCategory=1&amp;idProduct=me2-121", "CM")</f>
        <v>CM</v>
      </c>
      <c r="D101" s="23" t="b">
        <v>0</v>
      </c>
      <c r="E101" s="24" t="b">
        <v>0</v>
      </c>
      <c r="F101" s="25" t="str">
        <f>HYPERLINK("https://www.cardmarket.com/en/Pokemon/Products/Singles?idCategory=1&amp;idProduct=me2-122", "CM")</f>
        <v>CM</v>
      </c>
      <c r="G101" s="23" t="b">
        <v>0</v>
      </c>
      <c r="H101" s="24" t="b">
        <v>0</v>
      </c>
      <c r="I101" s="25" t="str">
        <f>HYPERLINK("https://www.cardmarket.com/en/Pokemon/Products/Singles?idCategory=1&amp;idProduct=me2-123", "CM")</f>
        <v>CM</v>
      </c>
      <c r="J101" s="23" t="b">
        <v>0</v>
      </c>
      <c r="K101" s="24" t="b">
        <v>0</v>
      </c>
      <c r="L101" s="25" t="str">
        <f>HYPERLINK("https://www.cardmarket.com/en/Pokemon/Products/Singles?idCategory=1&amp;idProduct=me2-124", "CM")</f>
        <v>CM</v>
      </c>
      <c r="M101" s="23" t="b">
        <v>0</v>
      </c>
      <c r="N101" s="24" t="b">
        <v>0</v>
      </c>
      <c r="O101" s="25" t="str">
        <f>HYPERLINK("https://www.cardmarket.com/en/Pokemon/Products/Singles?idCategory=1&amp;idProduct=me2-125", "CM")</f>
        <v>CM</v>
      </c>
    </row>
    <row r="102" ht="7.5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</row>
    <row r="103" ht="18.75" customHeight="1">
      <c r="A103" s="18" t="s">
        <v>835</v>
      </c>
      <c r="B103" s="19" t="s">
        <v>2415</v>
      </c>
      <c r="C103" s="20"/>
      <c r="D103" s="18" t="s">
        <v>662</v>
      </c>
      <c r="E103" s="19" t="s">
        <v>2423</v>
      </c>
      <c r="F103" s="20"/>
      <c r="G103" s="18" t="s">
        <v>837</v>
      </c>
      <c r="H103" s="19" t="s">
        <v>2426</v>
      </c>
      <c r="I103" s="20"/>
      <c r="J103" s="18" t="s">
        <v>839</v>
      </c>
      <c r="K103" s="19" t="s">
        <v>2429</v>
      </c>
      <c r="L103" s="20"/>
      <c r="M103" s="18" t="s">
        <v>841</v>
      </c>
      <c r="N103" s="19" t="s">
        <v>2410</v>
      </c>
      <c r="O103" s="20"/>
    </row>
    <row r="104" ht="180.0" customHeight="1">
      <c r="A104" s="21" t="str">
        <f>IMAGE("https://assets.tcgdex.net/de/me/me02/126/low.jpg", 1)</f>
        <v/>
      </c>
      <c r="B104" s="22"/>
      <c r="C104" s="20"/>
      <c r="D104" s="21" t="str">
        <f>IMAGE("https://assets.tcgdex.net/de/me/me02/127/low.jpg", 1)</f>
        <v/>
      </c>
      <c r="E104" s="22"/>
      <c r="F104" s="20"/>
      <c r="G104" s="21" t="str">
        <f>IMAGE("https://assets.tcgdex.net/de/me/me02/128/low.jpg", 1)</f>
        <v/>
      </c>
      <c r="H104" s="22"/>
      <c r="I104" s="20"/>
      <c r="J104" s="21" t="str">
        <f>IMAGE("https://assets.tcgdex.net/de/me/me02/129/low.jpg", 1)</f>
        <v/>
      </c>
      <c r="K104" s="22"/>
      <c r="L104" s="20"/>
      <c r="M104" s="21" t="str">
        <f>IMAGE("https://assets.tcgdex.net/de/me/me02/130/low.jpg", 1)</f>
        <v/>
      </c>
      <c r="N104" s="22"/>
      <c r="O104" s="20"/>
    </row>
    <row r="105" ht="22.5" customHeight="1">
      <c r="A105" s="23" t="b">
        <v>0</v>
      </c>
      <c r="B105" s="24" t="b">
        <v>0</v>
      </c>
      <c r="C105" s="25" t="str">
        <f>HYPERLINK("https://www.cardmarket.com/en/Pokemon/Products/Singles?idCategory=1&amp;idProduct=me2-126", "CM")</f>
        <v>CM</v>
      </c>
      <c r="D105" s="23" t="b">
        <v>0</v>
      </c>
      <c r="E105" s="24" t="b">
        <v>0</v>
      </c>
      <c r="F105" s="25" t="str">
        <f>HYPERLINK("https://www.cardmarket.com/en/Pokemon/Products/Singles?idCategory=1&amp;idProduct=me2-127", "CM")</f>
        <v>CM</v>
      </c>
      <c r="G105" s="23" t="b">
        <v>0</v>
      </c>
      <c r="H105" s="24" t="b">
        <v>0</v>
      </c>
      <c r="I105" s="25" t="str">
        <f>HYPERLINK("https://www.cardmarket.com/en/Pokemon/Products/Singles?idCategory=1&amp;idProduct=me2-128", "CM")</f>
        <v>CM</v>
      </c>
      <c r="J105" s="23" t="b">
        <v>0</v>
      </c>
      <c r="K105" s="24" t="b">
        <v>0</v>
      </c>
      <c r="L105" s="25" t="str">
        <f>HYPERLINK("https://www.cardmarket.com/en/Pokemon/Products/Singles?idCategory=1&amp;idProduct=me2-129", "CM")</f>
        <v>CM</v>
      </c>
      <c r="M105" s="23" t="b">
        <v>0</v>
      </c>
      <c r="N105" s="24" t="b">
        <v>0</v>
      </c>
      <c r="O105" s="25" t="str">
        <f>HYPERLINK("https://www.cardmarket.com/en/Pokemon/Products/Singles?idCategory=1&amp;idProduct=me2-130", "CM")</f>
        <v>CM</v>
      </c>
    </row>
    <row r="106" ht="7.5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</row>
  </sheetData>
  <mergeCells count="262">
    <mergeCell ref="H3:I3"/>
    <mergeCell ref="K3:L3"/>
    <mergeCell ref="J4:L4"/>
    <mergeCell ref="N3:O3"/>
    <mergeCell ref="M4:O4"/>
    <mergeCell ref="A1:N1"/>
    <mergeCell ref="A2:O2"/>
    <mergeCell ref="B3:C3"/>
    <mergeCell ref="A4:C4"/>
    <mergeCell ref="E3:F3"/>
    <mergeCell ref="D4:F4"/>
    <mergeCell ref="G4:I4"/>
    <mergeCell ref="K7:L7"/>
    <mergeCell ref="N7:O7"/>
    <mergeCell ref="M8:O8"/>
    <mergeCell ref="B7:C7"/>
    <mergeCell ref="A8:C8"/>
    <mergeCell ref="E7:F7"/>
    <mergeCell ref="D8:F8"/>
    <mergeCell ref="H7:I7"/>
    <mergeCell ref="G8:I8"/>
    <mergeCell ref="J8:L8"/>
    <mergeCell ref="K11:L11"/>
    <mergeCell ref="N11:O11"/>
    <mergeCell ref="M12:O12"/>
    <mergeCell ref="B11:C11"/>
    <mergeCell ref="A12:C12"/>
    <mergeCell ref="E11:F11"/>
    <mergeCell ref="D12:F12"/>
    <mergeCell ref="H11:I11"/>
    <mergeCell ref="G12:I12"/>
    <mergeCell ref="J12:L12"/>
    <mergeCell ref="K27:L27"/>
    <mergeCell ref="N27:O27"/>
    <mergeCell ref="M28:O28"/>
    <mergeCell ref="B27:C27"/>
    <mergeCell ref="A28:C28"/>
    <mergeCell ref="E27:F27"/>
    <mergeCell ref="D28:F28"/>
    <mergeCell ref="H27:I27"/>
    <mergeCell ref="G28:I28"/>
    <mergeCell ref="J28:L28"/>
    <mergeCell ref="K31:L31"/>
    <mergeCell ref="N31:O31"/>
    <mergeCell ref="M32:O32"/>
    <mergeCell ref="B31:C31"/>
    <mergeCell ref="A32:C32"/>
    <mergeCell ref="E31:F31"/>
    <mergeCell ref="D32:F32"/>
    <mergeCell ref="H31:I31"/>
    <mergeCell ref="G32:I32"/>
    <mergeCell ref="J32:L32"/>
    <mergeCell ref="K35:L35"/>
    <mergeCell ref="N35:O35"/>
    <mergeCell ref="M36:O36"/>
    <mergeCell ref="B35:C35"/>
    <mergeCell ref="A36:C36"/>
    <mergeCell ref="E35:F35"/>
    <mergeCell ref="D36:F36"/>
    <mergeCell ref="H35:I35"/>
    <mergeCell ref="G36:I36"/>
    <mergeCell ref="J36:L36"/>
    <mergeCell ref="K39:L39"/>
    <mergeCell ref="N39:O39"/>
    <mergeCell ref="M40:O40"/>
    <mergeCell ref="B39:C39"/>
    <mergeCell ref="A40:C40"/>
    <mergeCell ref="E39:F39"/>
    <mergeCell ref="D40:F40"/>
    <mergeCell ref="H39:I39"/>
    <mergeCell ref="G40:I40"/>
    <mergeCell ref="J40:L40"/>
    <mergeCell ref="K43:L43"/>
    <mergeCell ref="N43:O43"/>
    <mergeCell ref="M44:O44"/>
    <mergeCell ref="B43:C43"/>
    <mergeCell ref="A44:C44"/>
    <mergeCell ref="E43:F43"/>
    <mergeCell ref="D44:F44"/>
    <mergeCell ref="H43:I43"/>
    <mergeCell ref="G44:I44"/>
    <mergeCell ref="J44:L44"/>
    <mergeCell ref="K47:L47"/>
    <mergeCell ref="N47:O47"/>
    <mergeCell ref="M48:O48"/>
    <mergeCell ref="B47:C47"/>
    <mergeCell ref="A48:C48"/>
    <mergeCell ref="E47:F47"/>
    <mergeCell ref="D48:F48"/>
    <mergeCell ref="H47:I47"/>
    <mergeCell ref="G48:I48"/>
    <mergeCell ref="J48:L48"/>
    <mergeCell ref="K79:L79"/>
    <mergeCell ref="N79:O79"/>
    <mergeCell ref="M80:O80"/>
    <mergeCell ref="B79:C79"/>
    <mergeCell ref="A80:C80"/>
    <mergeCell ref="E79:F79"/>
    <mergeCell ref="D80:F80"/>
    <mergeCell ref="H79:I79"/>
    <mergeCell ref="G80:I80"/>
    <mergeCell ref="J80:L80"/>
    <mergeCell ref="K83:L83"/>
    <mergeCell ref="N83:O83"/>
    <mergeCell ref="M84:O84"/>
    <mergeCell ref="B83:C83"/>
    <mergeCell ref="A84:C84"/>
    <mergeCell ref="E83:F83"/>
    <mergeCell ref="D84:F84"/>
    <mergeCell ref="H83:I83"/>
    <mergeCell ref="G84:I84"/>
    <mergeCell ref="J84:L84"/>
    <mergeCell ref="K87:L87"/>
    <mergeCell ref="N87:O87"/>
    <mergeCell ref="M88:O88"/>
    <mergeCell ref="B87:C87"/>
    <mergeCell ref="A88:C88"/>
    <mergeCell ref="E87:F87"/>
    <mergeCell ref="D88:F88"/>
    <mergeCell ref="H87:I87"/>
    <mergeCell ref="G88:I88"/>
    <mergeCell ref="J88:L88"/>
    <mergeCell ref="K91:L91"/>
    <mergeCell ref="N91:O91"/>
    <mergeCell ref="M92:O92"/>
    <mergeCell ref="B91:C91"/>
    <mergeCell ref="A92:C92"/>
    <mergeCell ref="E91:F91"/>
    <mergeCell ref="D92:F92"/>
    <mergeCell ref="H91:I91"/>
    <mergeCell ref="G92:I92"/>
    <mergeCell ref="J92:L92"/>
    <mergeCell ref="K95:L95"/>
    <mergeCell ref="N95:O95"/>
    <mergeCell ref="M96:O96"/>
    <mergeCell ref="B95:C95"/>
    <mergeCell ref="A96:C96"/>
    <mergeCell ref="E95:F95"/>
    <mergeCell ref="D96:F96"/>
    <mergeCell ref="H95:I95"/>
    <mergeCell ref="G96:I96"/>
    <mergeCell ref="J96:L96"/>
    <mergeCell ref="K99:L99"/>
    <mergeCell ref="N99:O99"/>
    <mergeCell ref="M100:O100"/>
    <mergeCell ref="B99:C99"/>
    <mergeCell ref="A100:C100"/>
    <mergeCell ref="E99:F99"/>
    <mergeCell ref="D100:F100"/>
    <mergeCell ref="H99:I99"/>
    <mergeCell ref="G100:I100"/>
    <mergeCell ref="J100:L100"/>
    <mergeCell ref="K15:L15"/>
    <mergeCell ref="N15:O15"/>
    <mergeCell ref="M16:O16"/>
    <mergeCell ref="B15:C15"/>
    <mergeCell ref="A16:C16"/>
    <mergeCell ref="E15:F15"/>
    <mergeCell ref="D16:F16"/>
    <mergeCell ref="H15:I15"/>
    <mergeCell ref="G16:I16"/>
    <mergeCell ref="J16:L16"/>
    <mergeCell ref="K19:L19"/>
    <mergeCell ref="N19:O19"/>
    <mergeCell ref="M20:O20"/>
    <mergeCell ref="B19:C19"/>
    <mergeCell ref="A20:C20"/>
    <mergeCell ref="E19:F19"/>
    <mergeCell ref="D20:F20"/>
    <mergeCell ref="H19:I19"/>
    <mergeCell ref="G20:I20"/>
    <mergeCell ref="J20:L20"/>
    <mergeCell ref="K23:L23"/>
    <mergeCell ref="N23:O23"/>
    <mergeCell ref="M24:O24"/>
    <mergeCell ref="B23:C23"/>
    <mergeCell ref="A24:C24"/>
    <mergeCell ref="E23:F23"/>
    <mergeCell ref="D24:F24"/>
    <mergeCell ref="H23:I23"/>
    <mergeCell ref="G24:I24"/>
    <mergeCell ref="J24:L24"/>
    <mergeCell ref="K103:L103"/>
    <mergeCell ref="N103:O103"/>
    <mergeCell ref="M104:O104"/>
    <mergeCell ref="B103:C103"/>
    <mergeCell ref="A104:C104"/>
    <mergeCell ref="E103:F103"/>
    <mergeCell ref="D104:F104"/>
    <mergeCell ref="H103:I103"/>
    <mergeCell ref="G104:I104"/>
    <mergeCell ref="J104:L104"/>
    <mergeCell ref="K51:L51"/>
    <mergeCell ref="N51:O51"/>
    <mergeCell ref="M52:O52"/>
    <mergeCell ref="B51:C51"/>
    <mergeCell ref="A52:C52"/>
    <mergeCell ref="E51:F51"/>
    <mergeCell ref="D52:F52"/>
    <mergeCell ref="H51:I51"/>
    <mergeCell ref="G52:I52"/>
    <mergeCell ref="J52:L52"/>
    <mergeCell ref="K55:L55"/>
    <mergeCell ref="N55:O55"/>
    <mergeCell ref="M56:O56"/>
    <mergeCell ref="B55:C55"/>
    <mergeCell ref="A56:C56"/>
    <mergeCell ref="E55:F55"/>
    <mergeCell ref="D56:F56"/>
    <mergeCell ref="H55:I55"/>
    <mergeCell ref="G56:I56"/>
    <mergeCell ref="J56:L56"/>
    <mergeCell ref="K59:L59"/>
    <mergeCell ref="N59:O59"/>
    <mergeCell ref="M60:O60"/>
    <mergeCell ref="B59:C59"/>
    <mergeCell ref="A60:C60"/>
    <mergeCell ref="E59:F59"/>
    <mergeCell ref="D60:F60"/>
    <mergeCell ref="H59:I59"/>
    <mergeCell ref="G60:I60"/>
    <mergeCell ref="J60:L60"/>
    <mergeCell ref="K63:L63"/>
    <mergeCell ref="N63:O63"/>
    <mergeCell ref="M64:O64"/>
    <mergeCell ref="B63:C63"/>
    <mergeCell ref="A64:C64"/>
    <mergeCell ref="E63:F63"/>
    <mergeCell ref="D64:F64"/>
    <mergeCell ref="H63:I63"/>
    <mergeCell ref="G64:I64"/>
    <mergeCell ref="J64:L64"/>
    <mergeCell ref="K67:L67"/>
    <mergeCell ref="N67:O67"/>
    <mergeCell ref="M68:O68"/>
    <mergeCell ref="B67:C67"/>
    <mergeCell ref="A68:C68"/>
    <mergeCell ref="E67:F67"/>
    <mergeCell ref="D68:F68"/>
    <mergeCell ref="H67:I67"/>
    <mergeCell ref="G68:I68"/>
    <mergeCell ref="J68:L68"/>
    <mergeCell ref="K71:L71"/>
    <mergeCell ref="N71:O71"/>
    <mergeCell ref="M72:O72"/>
    <mergeCell ref="B71:C71"/>
    <mergeCell ref="A72:C72"/>
    <mergeCell ref="E71:F71"/>
    <mergeCell ref="D72:F72"/>
    <mergeCell ref="H71:I71"/>
    <mergeCell ref="G72:I72"/>
    <mergeCell ref="J72:L72"/>
    <mergeCell ref="K75:L75"/>
    <mergeCell ref="N75:O75"/>
    <mergeCell ref="M76:O76"/>
    <mergeCell ref="B75:C75"/>
    <mergeCell ref="A76:C76"/>
    <mergeCell ref="E75:F75"/>
    <mergeCell ref="D76:F76"/>
    <mergeCell ref="H75:I75"/>
    <mergeCell ref="G76:I76"/>
    <mergeCell ref="J76:L76"/>
  </mergeCells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.13"/>
    <col customWidth="1" min="3" max="3" width="12.63"/>
    <col customWidth="1" min="4" max="5" width="5.13"/>
    <col customWidth="1" min="6" max="6" width="12.63"/>
    <col customWidth="1" min="7" max="8" width="5.13"/>
    <col customWidth="1" min="9" max="9" width="12.63"/>
    <col customWidth="1" min="10" max="11" width="5.13"/>
    <col customWidth="1" min="12" max="12" width="12.63"/>
    <col customWidth="1" min="13" max="14" width="5.13"/>
    <col customWidth="1" min="15" max="15" width="12.63"/>
  </cols>
  <sheetData>
    <row r="1" ht="18.75" customHeight="1">
      <c r="A1" s="16" t="s">
        <v>2438</v>
      </c>
      <c r="O1" s="17" t="b">
        <v>0</v>
      </c>
    </row>
    <row r="2" ht="18.75" customHeight="1">
      <c r="A2" s="3" t="s">
        <v>2439</v>
      </c>
    </row>
    <row r="3" ht="18.75" customHeight="1">
      <c r="A3" s="18" t="s">
        <v>736</v>
      </c>
      <c r="B3" s="19" t="s">
        <v>2440</v>
      </c>
      <c r="C3" s="20"/>
      <c r="D3" s="18" t="s">
        <v>738</v>
      </c>
      <c r="E3" s="19" t="s">
        <v>2441</v>
      </c>
      <c r="F3" s="20"/>
      <c r="G3" s="18" t="s">
        <v>739</v>
      </c>
      <c r="H3" s="19" t="s">
        <v>2442</v>
      </c>
      <c r="I3" s="20"/>
      <c r="J3" s="18" t="s">
        <v>740</v>
      </c>
      <c r="K3" s="19" t="s">
        <v>2443</v>
      </c>
      <c r="L3" s="20"/>
      <c r="M3" s="18" t="s">
        <v>742</v>
      </c>
      <c r="N3" s="19" t="s">
        <v>2444</v>
      </c>
      <c r="O3" s="20"/>
    </row>
    <row r="4" ht="180.0" customHeight="1">
      <c r="A4" s="21" t="str">
        <f>IMAGE("https://images.pokedata.ovh/en/me2-5/1.webp", 1)</f>
        <v/>
      </c>
      <c r="B4" s="22"/>
      <c r="C4" s="20"/>
      <c r="D4" s="21" t="str">
        <f>IMAGE("https://images.pokedata.ovh/en/me2-5/2.webp", 1)</f>
        <v/>
      </c>
      <c r="E4" s="22"/>
      <c r="F4" s="20"/>
      <c r="G4" s="21" t="str">
        <f>IMAGE("https://images.pokedata.ovh/en/me2-5/3.webp", 1)</f>
        <v/>
      </c>
      <c r="H4" s="22"/>
      <c r="I4" s="20"/>
      <c r="J4" s="21" t="str">
        <f>IMAGE("https://images.pokedata.ovh/en/me2-5/4.webp", 1)</f>
        <v/>
      </c>
      <c r="K4" s="22"/>
      <c r="L4" s="20"/>
      <c r="M4" s="21" t="str">
        <f>IMAGE("https://images.pokedata.ovh/en/me2-5/5.webp", 1)</f>
        <v/>
      </c>
      <c r="N4" s="22"/>
      <c r="O4" s="20"/>
    </row>
    <row r="5" ht="22.5" customHeight="1">
      <c r="A5" s="23" t="b">
        <v>0</v>
      </c>
      <c r="B5" s="24" t="b">
        <v>0</v>
      </c>
      <c r="C5" s="25" t="str">
        <f>HYPERLINK("https://www.cardmarket.com/en/Pokemon/Products/Singles?idCategory=1&amp;idProduct=me2pt5-1", "CM")</f>
        <v>CM</v>
      </c>
      <c r="D5" s="23" t="b">
        <v>0</v>
      </c>
      <c r="E5" s="24" t="b">
        <v>0</v>
      </c>
      <c r="F5" s="25" t="str">
        <f>HYPERLINK("https://www.cardmarket.com/en/Pokemon/Products/Singles?idCategory=1&amp;idProduct=me2pt5-2", "CM")</f>
        <v>CM</v>
      </c>
      <c r="G5" s="23" t="b">
        <v>0</v>
      </c>
      <c r="H5" s="24" t="b">
        <v>0</v>
      </c>
      <c r="I5" s="25" t="str">
        <f>HYPERLINK("https://www.cardmarket.com/en/Pokemon/Products/Singles?idCategory=1&amp;idProduct=me2pt5-3", "CM")</f>
        <v>CM</v>
      </c>
      <c r="J5" s="23" t="b">
        <v>0</v>
      </c>
      <c r="K5" s="24" t="b">
        <v>0</v>
      </c>
      <c r="L5" s="25" t="str">
        <f>HYPERLINK("https://www.cardmarket.com/en/Pokemon/Products/Singles?idCategory=1&amp;idProduct=me2pt5-4", "CM")</f>
        <v>CM</v>
      </c>
      <c r="M5" s="23" t="b">
        <v>0</v>
      </c>
      <c r="N5" s="24" t="b">
        <v>0</v>
      </c>
      <c r="O5" s="25" t="str">
        <f>HYPERLINK("https://www.cardmarket.com/en/Pokemon/Products/Singles?idCategory=1&amp;idProduct=me2pt5-5", "CM")</f>
        <v>CM</v>
      </c>
    </row>
    <row r="6" ht="7.5" customHeight="1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</row>
    <row r="7" ht="18.75" customHeight="1">
      <c r="A7" s="18" t="s">
        <v>529</v>
      </c>
      <c r="B7" s="19" t="s">
        <v>2445</v>
      </c>
      <c r="C7" s="20"/>
      <c r="D7" s="18" t="s">
        <v>744</v>
      </c>
      <c r="E7" s="19" t="s">
        <v>2446</v>
      </c>
      <c r="F7" s="20"/>
      <c r="G7" s="18" t="s">
        <v>531</v>
      </c>
      <c r="H7" s="19" t="s">
        <v>2447</v>
      </c>
      <c r="I7" s="20"/>
      <c r="J7" s="18" t="s">
        <v>746</v>
      </c>
      <c r="K7" s="19" t="s">
        <v>2448</v>
      </c>
      <c r="L7" s="20"/>
      <c r="M7" s="18" t="s">
        <v>748</v>
      </c>
      <c r="N7" s="19" t="s">
        <v>2449</v>
      </c>
      <c r="O7" s="20"/>
    </row>
    <row r="8" ht="180.0" customHeight="1">
      <c r="A8" s="21" t="str">
        <f>IMAGE("https://images.pokedata.ovh/en/me2-5/6.webp", 1)</f>
        <v/>
      </c>
      <c r="B8" s="22"/>
      <c r="C8" s="20"/>
      <c r="D8" s="21" t="str">
        <f>IMAGE("https://images.pokedata.ovh/en/me2-5/7.webp", 1)</f>
        <v/>
      </c>
      <c r="E8" s="22"/>
      <c r="F8" s="20"/>
      <c r="G8" s="21" t="str">
        <f>IMAGE("https://images.pokedata.ovh/en/me2-5/8.webp", 1)</f>
        <v/>
      </c>
      <c r="H8" s="22"/>
      <c r="I8" s="20"/>
      <c r="J8" s="21" t="str">
        <f>IMAGE("https://images.pokedata.ovh/en/me2-5/9.webp", 1)</f>
        <v/>
      </c>
      <c r="K8" s="22"/>
      <c r="L8" s="20"/>
      <c r="M8" s="21" t="str">
        <f>IMAGE("https://images.pokedata.ovh/en/me2-5/10.webp", 1)</f>
        <v/>
      </c>
      <c r="N8" s="22"/>
      <c r="O8" s="20"/>
    </row>
    <row r="9" ht="22.5" customHeight="1">
      <c r="A9" s="23" t="b">
        <v>0</v>
      </c>
      <c r="B9" s="24" t="b">
        <v>0</v>
      </c>
      <c r="C9" s="25" t="str">
        <f>HYPERLINK("https://www.cardmarket.com/en/Pokemon/Products/Singles?idCategory=1&amp;idProduct=me2pt5-6", "CM")</f>
        <v>CM</v>
      </c>
      <c r="D9" s="23" t="b">
        <v>0</v>
      </c>
      <c r="E9" s="24" t="b">
        <v>0</v>
      </c>
      <c r="F9" s="25" t="str">
        <f>HYPERLINK("https://www.cardmarket.com/en/Pokemon/Products/Singles?idCategory=1&amp;idProduct=me2pt5-7", "CM")</f>
        <v>CM</v>
      </c>
      <c r="G9" s="23" t="b">
        <v>0</v>
      </c>
      <c r="H9" s="24" t="b">
        <v>0</v>
      </c>
      <c r="I9" s="25" t="str">
        <f>HYPERLINK("https://www.cardmarket.com/en/Pokemon/Products/Singles?idCategory=1&amp;idProduct=me2pt5-8", "CM")</f>
        <v>CM</v>
      </c>
      <c r="J9" s="23" t="b">
        <v>0</v>
      </c>
      <c r="K9" s="24" t="b">
        <v>0</v>
      </c>
      <c r="L9" s="25" t="str">
        <f>HYPERLINK("https://www.cardmarket.com/en/Pokemon/Products/Singles?idCategory=1&amp;idProduct=me2pt5-9", "CM")</f>
        <v>CM</v>
      </c>
      <c r="M9" s="23" t="b">
        <v>0</v>
      </c>
      <c r="N9" s="24" t="b">
        <v>0</v>
      </c>
      <c r="O9" s="25" t="str">
        <f>HYPERLINK("https://www.cardmarket.com/en/Pokemon/Products/Singles?idCategory=1&amp;idProduct=me2pt5-10", "CM")</f>
        <v>CM</v>
      </c>
    </row>
    <row r="10" ht="7.5" customHeight="1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</row>
    <row r="11" ht="18.75" customHeight="1">
      <c r="A11" s="18" t="s">
        <v>750</v>
      </c>
      <c r="B11" s="19" t="s">
        <v>2450</v>
      </c>
      <c r="C11" s="20"/>
      <c r="D11" s="18" t="s">
        <v>752</v>
      </c>
      <c r="E11" s="19" t="s">
        <v>2451</v>
      </c>
      <c r="F11" s="20"/>
      <c r="G11" s="18" t="s">
        <v>754</v>
      </c>
      <c r="H11" s="19" t="s">
        <v>2452</v>
      </c>
      <c r="I11" s="20"/>
      <c r="J11" s="18" t="s">
        <v>755</v>
      </c>
      <c r="K11" s="19" t="s">
        <v>2453</v>
      </c>
      <c r="L11" s="20"/>
      <c r="M11" s="18" t="s">
        <v>533</v>
      </c>
      <c r="N11" s="19" t="s">
        <v>2454</v>
      </c>
      <c r="O11" s="20"/>
    </row>
    <row r="12" ht="180.0" customHeight="1">
      <c r="A12" s="21" t="str">
        <f>IMAGE("https://images.pokedata.ovh/en/me2-5/11.webp", 1)</f>
        <v/>
      </c>
      <c r="B12" s="22"/>
      <c r="C12" s="20"/>
      <c r="D12" s="21" t="str">
        <f>IMAGE("https://images.pokedata.ovh/en/me2-5/12.webp", 1)</f>
        <v/>
      </c>
      <c r="E12" s="22"/>
      <c r="F12" s="20"/>
      <c r="G12" s="21" t="str">
        <f>IMAGE("https://images.pokedata.ovh/en/me2-5/13.webp", 1)</f>
        <v/>
      </c>
      <c r="H12" s="22"/>
      <c r="I12" s="20"/>
      <c r="J12" s="21" t="str">
        <f>IMAGE("https://images.pokedata.ovh/en/me2-5/14.webp", 1)</f>
        <v/>
      </c>
      <c r="K12" s="22"/>
      <c r="L12" s="20"/>
      <c r="M12" s="21" t="str">
        <f>IMAGE("https://images.pokedata.ovh/en/me2-5/15.webp", 1)</f>
        <v/>
      </c>
      <c r="N12" s="22"/>
      <c r="O12" s="20"/>
    </row>
    <row r="13" ht="22.5" customHeight="1">
      <c r="A13" s="23" t="b">
        <v>0</v>
      </c>
      <c r="B13" s="24" t="b">
        <v>0</v>
      </c>
      <c r="C13" s="25" t="str">
        <f>HYPERLINK("https://www.cardmarket.com/en/Pokemon/Products/Singles?idCategory=1&amp;idProduct=me2pt5-11", "CM")</f>
        <v>CM</v>
      </c>
      <c r="D13" s="23" t="b">
        <v>0</v>
      </c>
      <c r="E13" s="24" t="b">
        <v>0</v>
      </c>
      <c r="F13" s="25" t="str">
        <f>HYPERLINK("https://www.cardmarket.com/en/Pokemon/Products/Singles?idCategory=1&amp;idProduct=me2pt5-12", "CM")</f>
        <v>CM</v>
      </c>
      <c r="G13" s="23" t="b">
        <v>0</v>
      </c>
      <c r="H13" s="24" t="b">
        <v>0</v>
      </c>
      <c r="I13" s="25" t="str">
        <f>HYPERLINK("https://www.cardmarket.com/en/Pokemon/Products/Singles?idCategory=1&amp;idProduct=me2pt5-13", "CM")</f>
        <v>CM</v>
      </c>
      <c r="J13" s="23" t="b">
        <v>0</v>
      </c>
      <c r="K13" s="24" t="b">
        <v>0</v>
      </c>
      <c r="L13" s="25" t="str">
        <f>HYPERLINK("https://www.cardmarket.com/en/Pokemon/Products/Singles?idCategory=1&amp;idProduct=me2pt5-14", "CM")</f>
        <v>CM</v>
      </c>
      <c r="M13" s="23" t="b">
        <v>0</v>
      </c>
      <c r="N13" s="24" t="b">
        <v>0</v>
      </c>
      <c r="O13" s="25" t="str">
        <f>HYPERLINK("https://www.cardmarket.com/en/Pokemon/Products/Singles?idCategory=1&amp;idProduct=me2pt5-15", "CM")</f>
        <v>CM</v>
      </c>
    </row>
    <row r="14" ht="7.5" customHeight="1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</row>
    <row r="15" ht="18.75" customHeight="1">
      <c r="A15" s="18" t="s">
        <v>535</v>
      </c>
      <c r="B15" s="19" t="s">
        <v>2455</v>
      </c>
      <c r="C15" s="20"/>
      <c r="D15" s="18" t="s">
        <v>537</v>
      </c>
      <c r="E15" s="19" t="s">
        <v>2456</v>
      </c>
      <c r="F15" s="20"/>
      <c r="G15" s="18" t="s">
        <v>756</v>
      </c>
      <c r="H15" s="19" t="s">
        <v>2457</v>
      </c>
      <c r="I15" s="20"/>
      <c r="J15" s="18" t="s">
        <v>539</v>
      </c>
      <c r="K15" s="19" t="s">
        <v>2458</v>
      </c>
      <c r="L15" s="20"/>
      <c r="M15" s="18" t="s">
        <v>541</v>
      </c>
      <c r="N15" s="19" t="s">
        <v>2459</v>
      </c>
      <c r="O15" s="20"/>
    </row>
    <row r="16" ht="180.0" customHeight="1">
      <c r="A16" s="21" t="str">
        <f>IMAGE("https://images.pokedata.ovh/en/me2-5/16.webp", 1)</f>
        <v/>
      </c>
      <c r="B16" s="22"/>
      <c r="C16" s="20"/>
      <c r="D16" s="21" t="str">
        <f>IMAGE("https://images.pokedata.ovh/en/me2-5/17.webp", 1)</f>
        <v/>
      </c>
      <c r="E16" s="22"/>
      <c r="F16" s="20"/>
      <c r="G16" s="21" t="str">
        <f>IMAGE("https://images.pokedata.ovh/en/me2-5/18.webp", 1)</f>
        <v/>
      </c>
      <c r="H16" s="22"/>
      <c r="I16" s="20"/>
      <c r="J16" s="21" t="str">
        <f>IMAGE("https://images.pokedata.ovh/en/me2-5/19.webp", 1)</f>
        <v/>
      </c>
      <c r="K16" s="22"/>
      <c r="L16" s="20"/>
      <c r="M16" s="21" t="str">
        <f>IMAGE("https://images.pokedata.ovh/en/me2-5/20.webp", 1)</f>
        <v/>
      </c>
      <c r="N16" s="22"/>
      <c r="O16" s="20"/>
    </row>
    <row r="17" ht="22.5" customHeight="1">
      <c r="A17" s="23" t="b">
        <v>0</v>
      </c>
      <c r="B17" s="24" t="b">
        <v>0</v>
      </c>
      <c r="C17" s="25" t="str">
        <f>HYPERLINK("https://www.cardmarket.com/en/Pokemon/Products/Singles?idCategory=1&amp;idProduct=me2pt5-16", "CM")</f>
        <v>CM</v>
      </c>
      <c r="D17" s="23" t="b">
        <v>0</v>
      </c>
      <c r="E17" s="24" t="b">
        <v>0</v>
      </c>
      <c r="F17" s="25" t="str">
        <f>HYPERLINK("https://www.cardmarket.com/en/Pokemon/Products/Singles?idCategory=1&amp;idProduct=me2pt5-17", "CM")</f>
        <v>CM</v>
      </c>
      <c r="G17" s="23" t="b">
        <v>0</v>
      </c>
      <c r="H17" s="24" t="b">
        <v>0</v>
      </c>
      <c r="I17" s="25" t="str">
        <f>HYPERLINK("https://www.cardmarket.com/en/Pokemon/Products/Singles?idCategory=1&amp;idProduct=me2pt5-18", "CM")</f>
        <v>CM</v>
      </c>
      <c r="J17" s="23" t="b">
        <v>0</v>
      </c>
      <c r="K17" s="24" t="b">
        <v>0</v>
      </c>
      <c r="L17" s="25" t="str">
        <f>HYPERLINK("https://www.cardmarket.com/en/Pokemon/Products/Singles?idCategory=1&amp;idProduct=me2pt5-19", "CM")</f>
        <v>CM</v>
      </c>
      <c r="M17" s="23" t="b">
        <v>0</v>
      </c>
      <c r="N17" s="24" t="b">
        <v>0</v>
      </c>
      <c r="O17" s="25" t="str">
        <f>HYPERLINK("https://www.cardmarket.com/en/Pokemon/Products/Singles?idCategory=1&amp;idProduct=me2pt5-20", "CM")</f>
        <v>CM</v>
      </c>
    </row>
    <row r="18" ht="7.5" customHeight="1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</row>
    <row r="19" ht="18.75" customHeight="1">
      <c r="A19" s="18" t="s">
        <v>543</v>
      </c>
      <c r="B19" s="19" t="s">
        <v>2460</v>
      </c>
      <c r="C19" s="20"/>
      <c r="D19" s="18" t="s">
        <v>545</v>
      </c>
      <c r="E19" s="19" t="s">
        <v>2461</v>
      </c>
      <c r="F19" s="20"/>
      <c r="G19" s="18" t="s">
        <v>547</v>
      </c>
      <c r="H19" s="19" t="s">
        <v>2462</v>
      </c>
      <c r="I19" s="20"/>
      <c r="J19" s="18" t="s">
        <v>549</v>
      </c>
      <c r="K19" s="19" t="s">
        <v>2463</v>
      </c>
      <c r="L19" s="20"/>
      <c r="M19" s="18" t="s">
        <v>758</v>
      </c>
      <c r="N19" s="19" t="s">
        <v>969</v>
      </c>
      <c r="O19" s="20"/>
    </row>
    <row r="20" ht="180.0" customHeight="1">
      <c r="A20" s="21" t="str">
        <f>IMAGE("https://images.pokedata.ovh/en/me2-5/21.webp", 1)</f>
        <v/>
      </c>
      <c r="B20" s="22"/>
      <c r="C20" s="20"/>
      <c r="D20" s="21" t="str">
        <f>IMAGE("https://images.pokedata.ovh/en/me2-5/22.webp", 1)</f>
        <v/>
      </c>
      <c r="E20" s="22"/>
      <c r="F20" s="20"/>
      <c r="G20" s="21" t="str">
        <f>IMAGE("https://images.pokedata.ovh/en/me2-5/23.webp", 1)</f>
        <v/>
      </c>
      <c r="H20" s="22"/>
      <c r="I20" s="20"/>
      <c r="J20" s="21" t="str">
        <f>IMAGE("https://images.pokedata.ovh/en/me2-5/24.webp", 1)</f>
        <v/>
      </c>
      <c r="K20" s="22"/>
      <c r="L20" s="20"/>
      <c r="M20" s="21" t="str">
        <f>IMAGE("https://images.pokedata.ovh/en/me2-5/25.webp", 1)</f>
        <v/>
      </c>
      <c r="N20" s="22"/>
      <c r="O20" s="20"/>
    </row>
    <row r="21" ht="22.5" customHeight="1">
      <c r="A21" s="23" t="b">
        <v>0</v>
      </c>
      <c r="B21" s="24" t="b">
        <v>0</v>
      </c>
      <c r="C21" s="25" t="str">
        <f>HYPERLINK("https://www.cardmarket.com/en/Pokemon/Products/Singles?idCategory=1&amp;idProduct=me2pt5-21", "CM")</f>
        <v>CM</v>
      </c>
      <c r="D21" s="23" t="b">
        <v>0</v>
      </c>
      <c r="E21" s="24" t="b">
        <v>0</v>
      </c>
      <c r="F21" s="25" t="str">
        <f>HYPERLINK("https://www.cardmarket.com/en/Pokemon/Products/Singles?idCategory=1&amp;idProduct=me2pt5-22", "CM")</f>
        <v>CM</v>
      </c>
      <c r="G21" s="23" t="b">
        <v>0</v>
      </c>
      <c r="H21" s="24" t="b">
        <v>0</v>
      </c>
      <c r="I21" s="25" t="str">
        <f>HYPERLINK("https://www.cardmarket.com/en/Pokemon/Products/Singles?idCategory=1&amp;idProduct=me2pt5-23", "CM")</f>
        <v>CM</v>
      </c>
      <c r="J21" s="23" t="b">
        <v>0</v>
      </c>
      <c r="K21" s="24" t="b">
        <v>0</v>
      </c>
      <c r="L21" s="25" t="str">
        <f>HYPERLINK("https://www.cardmarket.com/en/Pokemon/Products/Singles?idCategory=1&amp;idProduct=me2pt5-24", "CM")</f>
        <v>CM</v>
      </c>
      <c r="M21" s="23" t="b">
        <v>0</v>
      </c>
      <c r="N21" s="24" t="b">
        <v>0</v>
      </c>
      <c r="O21" s="25" t="str">
        <f>HYPERLINK("https://www.cardmarket.com/en/Pokemon/Products/Singles?idCategory=1&amp;idProduct=me2pt5-25", "CM")</f>
        <v>CM</v>
      </c>
    </row>
    <row r="22" ht="7.5" customHeight="1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</row>
    <row r="23" ht="18.75" customHeight="1">
      <c r="A23" s="18" t="s">
        <v>760</v>
      </c>
      <c r="B23" s="19" t="s">
        <v>2464</v>
      </c>
      <c r="C23" s="20"/>
      <c r="D23" s="18" t="s">
        <v>762</v>
      </c>
      <c r="E23" s="19" t="s">
        <v>2465</v>
      </c>
      <c r="F23" s="20"/>
      <c r="G23" s="18" t="s">
        <v>551</v>
      </c>
      <c r="H23" s="19" t="s">
        <v>1381</v>
      </c>
      <c r="I23" s="20"/>
      <c r="J23" s="18" t="s">
        <v>553</v>
      </c>
      <c r="K23" s="19" t="s">
        <v>2466</v>
      </c>
      <c r="L23" s="20"/>
      <c r="M23" s="18" t="s">
        <v>555</v>
      </c>
      <c r="N23" s="19" t="s">
        <v>2467</v>
      </c>
      <c r="O23" s="20"/>
    </row>
    <row r="24" ht="180.0" customHeight="1">
      <c r="A24" s="21" t="str">
        <f>IMAGE("https://images.pokedata.ovh/en/me2-5/26.webp", 1)</f>
        <v/>
      </c>
      <c r="B24" s="22"/>
      <c r="C24" s="20"/>
      <c r="D24" s="21" t="str">
        <f>IMAGE("https://images.pokedata.ovh/en/me2-5/27.webp", 1)</f>
        <v/>
      </c>
      <c r="E24" s="22"/>
      <c r="F24" s="20"/>
      <c r="G24" s="21" t="str">
        <f>IMAGE("https://images.pokedata.ovh/en/me2-5/28.webp", 1)</f>
        <v/>
      </c>
      <c r="H24" s="22"/>
      <c r="I24" s="20"/>
      <c r="J24" s="21" t="str">
        <f>IMAGE("https://images.pokedata.ovh/en/me2-5/29.webp", 1)</f>
        <v/>
      </c>
      <c r="K24" s="22"/>
      <c r="L24" s="20"/>
      <c r="M24" s="21" t="str">
        <f>IMAGE("https://images.pokedata.ovh/en/me2-5/30.webp", 1)</f>
        <v/>
      </c>
      <c r="N24" s="22"/>
      <c r="O24" s="20"/>
    </row>
    <row r="25" ht="22.5" customHeight="1">
      <c r="A25" s="23" t="b">
        <v>0</v>
      </c>
      <c r="B25" s="24" t="b">
        <v>0</v>
      </c>
      <c r="C25" s="25" t="str">
        <f>HYPERLINK("https://www.cardmarket.com/en/Pokemon/Products/Singles?idCategory=1&amp;idProduct=me2pt5-26", "CM")</f>
        <v>CM</v>
      </c>
      <c r="D25" s="23" t="b">
        <v>0</v>
      </c>
      <c r="E25" s="24" t="b">
        <v>0</v>
      </c>
      <c r="F25" s="25" t="str">
        <f>HYPERLINK("https://www.cardmarket.com/en/Pokemon/Products/Singles?idCategory=1&amp;idProduct=me2pt5-27", "CM")</f>
        <v>CM</v>
      </c>
      <c r="G25" s="23" t="b">
        <v>0</v>
      </c>
      <c r="H25" s="24" t="b">
        <v>0</v>
      </c>
      <c r="I25" s="25" t="str">
        <f>HYPERLINK("https://www.cardmarket.com/en/Pokemon/Products/Singles?idCategory=1&amp;idProduct=me2pt5-28", "CM")</f>
        <v>CM</v>
      </c>
      <c r="J25" s="23" t="b">
        <v>0</v>
      </c>
      <c r="K25" s="24" t="b">
        <v>0</v>
      </c>
      <c r="L25" s="25" t="str">
        <f>HYPERLINK("https://www.cardmarket.com/en/Pokemon/Products/Singles?idCategory=1&amp;idProduct=me2pt5-29", "CM")</f>
        <v>CM</v>
      </c>
      <c r="M25" s="23" t="b">
        <v>0</v>
      </c>
      <c r="N25" s="24" t="b">
        <v>0</v>
      </c>
      <c r="O25" s="25" t="str">
        <f>HYPERLINK("https://www.cardmarket.com/en/Pokemon/Products/Singles?idCategory=1&amp;idProduct=me2pt5-30", "CM")</f>
        <v>CM</v>
      </c>
    </row>
    <row r="26" ht="7.5" customHeight="1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</row>
    <row r="27" ht="18.75" customHeight="1">
      <c r="A27" s="18" t="s">
        <v>557</v>
      </c>
      <c r="B27" s="19" t="s">
        <v>2468</v>
      </c>
      <c r="C27" s="20"/>
      <c r="D27" s="18" t="s">
        <v>559</v>
      </c>
      <c r="E27" s="19" t="s">
        <v>2469</v>
      </c>
      <c r="F27" s="20"/>
      <c r="G27" s="18" t="s">
        <v>561</v>
      </c>
      <c r="H27" s="19" t="s">
        <v>2470</v>
      </c>
      <c r="I27" s="20"/>
      <c r="J27" s="18" t="s">
        <v>563</v>
      </c>
      <c r="K27" s="19" t="s">
        <v>2471</v>
      </c>
      <c r="L27" s="20"/>
      <c r="M27" s="18" t="s">
        <v>565</v>
      </c>
      <c r="N27" s="19" t="s">
        <v>2472</v>
      </c>
      <c r="O27" s="20"/>
    </row>
    <row r="28" ht="180.0" customHeight="1">
      <c r="A28" s="21" t="str">
        <f>IMAGE("https://images.pokedata.ovh/en/me2-5/31.webp", 1)</f>
        <v/>
      </c>
      <c r="B28" s="22"/>
      <c r="C28" s="20"/>
      <c r="D28" s="21" t="str">
        <f>IMAGE("https://images.pokedata.ovh/en/me2-5/32.webp", 1)</f>
        <v/>
      </c>
      <c r="E28" s="22"/>
      <c r="F28" s="20"/>
      <c r="G28" s="21" t="str">
        <f>IMAGE("https://images.pokedata.ovh/en/me2-5/33.webp", 1)</f>
        <v/>
      </c>
      <c r="H28" s="22"/>
      <c r="I28" s="20"/>
      <c r="J28" s="21" t="str">
        <f>IMAGE("https://images.pokedata.ovh/en/me2-5/34.webp", 1)</f>
        <v/>
      </c>
      <c r="K28" s="22"/>
      <c r="L28" s="20"/>
      <c r="M28" s="21" t="str">
        <f>IMAGE("https://images.pokedata.ovh/en/me2-5/35.webp", 1)</f>
        <v/>
      </c>
      <c r="N28" s="22"/>
      <c r="O28" s="20"/>
    </row>
    <row r="29" ht="22.5" customHeight="1">
      <c r="A29" s="23" t="b">
        <v>0</v>
      </c>
      <c r="B29" s="24" t="b">
        <v>0</v>
      </c>
      <c r="C29" s="25" t="str">
        <f>HYPERLINK("https://www.cardmarket.com/en/Pokemon/Products/Singles?idCategory=1&amp;idProduct=me2pt5-31", "CM")</f>
        <v>CM</v>
      </c>
      <c r="D29" s="23" t="b">
        <v>0</v>
      </c>
      <c r="E29" s="24" t="b">
        <v>0</v>
      </c>
      <c r="F29" s="25" t="str">
        <f>HYPERLINK("https://www.cardmarket.com/en/Pokemon/Products/Singles?idCategory=1&amp;idProduct=me2pt5-32", "CM")</f>
        <v>CM</v>
      </c>
      <c r="G29" s="23" t="b">
        <v>0</v>
      </c>
      <c r="H29" s="24" t="b">
        <v>0</v>
      </c>
      <c r="I29" s="25" t="str">
        <f>HYPERLINK("https://www.cardmarket.com/en/Pokemon/Products/Singles?idCategory=1&amp;idProduct=me2pt5-33", "CM")</f>
        <v>CM</v>
      </c>
      <c r="J29" s="23" t="b">
        <v>0</v>
      </c>
      <c r="K29" s="24" t="b">
        <v>0</v>
      </c>
      <c r="L29" s="25" t="str">
        <f>HYPERLINK("https://www.cardmarket.com/en/Pokemon/Products/Singles?idCategory=1&amp;idProduct=me2pt5-34", "CM")</f>
        <v>CM</v>
      </c>
      <c r="M29" s="23" t="b">
        <v>0</v>
      </c>
      <c r="N29" s="24" t="b">
        <v>0</v>
      </c>
      <c r="O29" s="25" t="str">
        <f>HYPERLINK("https://www.cardmarket.com/en/Pokemon/Products/Singles?idCategory=1&amp;idProduct=me2pt5-35", "CM")</f>
        <v>CM</v>
      </c>
    </row>
    <row r="30" ht="7.5" customHeight="1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</row>
    <row r="31" ht="18.75" customHeight="1">
      <c r="A31" s="18" t="s">
        <v>567</v>
      </c>
      <c r="B31" s="19" t="s">
        <v>2473</v>
      </c>
      <c r="C31" s="20"/>
      <c r="D31" s="18" t="s">
        <v>569</v>
      </c>
      <c r="E31" s="19" t="s">
        <v>2474</v>
      </c>
      <c r="F31" s="20"/>
      <c r="G31" s="18" t="s">
        <v>571</v>
      </c>
      <c r="H31" s="19" t="s">
        <v>2475</v>
      </c>
      <c r="I31" s="20"/>
      <c r="J31" s="18" t="s">
        <v>573</v>
      </c>
      <c r="K31" s="19" t="s">
        <v>2476</v>
      </c>
      <c r="L31" s="20"/>
      <c r="M31" s="18" t="s">
        <v>575</v>
      </c>
      <c r="N31" s="19" t="s">
        <v>2477</v>
      </c>
      <c r="O31" s="20"/>
    </row>
    <row r="32" ht="180.0" customHeight="1">
      <c r="A32" s="21" t="str">
        <f>IMAGE("https://images.pokedata.ovh/en/me2-5/36.webp", 1)</f>
        <v/>
      </c>
      <c r="B32" s="22"/>
      <c r="C32" s="20"/>
      <c r="D32" s="21" t="str">
        <f>IMAGE("https://images.pokedata.ovh/en/me2-5/37.webp", 1)</f>
        <v/>
      </c>
      <c r="E32" s="22"/>
      <c r="F32" s="20"/>
      <c r="G32" s="21" t="str">
        <f>IMAGE("https://images.pokedata.ovh/en/me2-5/38.webp", 1)</f>
        <v/>
      </c>
      <c r="H32" s="22"/>
      <c r="I32" s="20"/>
      <c r="J32" s="21" t="str">
        <f>IMAGE("https://images.pokedata.ovh/en/me2-5/39.webp", 1)</f>
        <v/>
      </c>
      <c r="K32" s="22"/>
      <c r="L32" s="20"/>
      <c r="M32" s="21" t="str">
        <f>IMAGE("https://images.pokedata.ovh/en/me2-5/40.webp", 1)</f>
        <v/>
      </c>
      <c r="N32" s="22"/>
      <c r="O32" s="20"/>
    </row>
    <row r="33" ht="22.5" customHeight="1">
      <c r="A33" s="23" t="b">
        <v>0</v>
      </c>
      <c r="B33" s="24" t="b">
        <v>0</v>
      </c>
      <c r="C33" s="25" t="str">
        <f>HYPERLINK("https://www.cardmarket.com/en/Pokemon/Products/Singles?idCategory=1&amp;idProduct=me2pt5-36", "CM")</f>
        <v>CM</v>
      </c>
      <c r="D33" s="23" t="b">
        <v>0</v>
      </c>
      <c r="E33" s="24" t="b">
        <v>0</v>
      </c>
      <c r="F33" s="25" t="str">
        <f>HYPERLINK("https://www.cardmarket.com/en/Pokemon/Products/Singles?idCategory=1&amp;idProduct=me2pt5-37", "CM")</f>
        <v>CM</v>
      </c>
      <c r="G33" s="23" t="b">
        <v>0</v>
      </c>
      <c r="H33" s="24" t="b">
        <v>0</v>
      </c>
      <c r="I33" s="25" t="str">
        <f>HYPERLINK("https://www.cardmarket.com/en/Pokemon/Products/Singles?idCategory=1&amp;idProduct=me2pt5-38", "CM")</f>
        <v>CM</v>
      </c>
      <c r="J33" s="23" t="b">
        <v>0</v>
      </c>
      <c r="K33" s="24" t="b">
        <v>0</v>
      </c>
      <c r="L33" s="25" t="str">
        <f>HYPERLINK("https://www.cardmarket.com/en/Pokemon/Products/Singles?idCategory=1&amp;idProduct=me2pt5-39", "CM")</f>
        <v>CM</v>
      </c>
      <c r="M33" s="23" t="b">
        <v>0</v>
      </c>
      <c r="N33" s="24" t="b">
        <v>0</v>
      </c>
      <c r="O33" s="25" t="str">
        <f>HYPERLINK("https://www.cardmarket.com/en/Pokemon/Products/Singles?idCategory=1&amp;idProduct=me2pt5-40", "CM")</f>
        <v>CM</v>
      </c>
    </row>
    <row r="34" ht="7.5" customHeight="1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</row>
    <row r="35" ht="18.75" customHeight="1">
      <c r="A35" s="18" t="s">
        <v>577</v>
      </c>
      <c r="B35" s="19" t="s">
        <v>2478</v>
      </c>
      <c r="C35" s="20"/>
      <c r="D35" s="18" t="s">
        <v>579</v>
      </c>
      <c r="E35" s="19" t="s">
        <v>2479</v>
      </c>
      <c r="F35" s="20"/>
      <c r="G35" s="18" t="s">
        <v>763</v>
      </c>
      <c r="H35" s="19" t="s">
        <v>2480</v>
      </c>
      <c r="I35" s="20"/>
      <c r="J35" s="18" t="s">
        <v>765</v>
      </c>
      <c r="K35" s="19" t="s">
        <v>2481</v>
      </c>
      <c r="L35" s="20"/>
      <c r="M35" s="18" t="s">
        <v>581</v>
      </c>
      <c r="N35" s="19" t="s">
        <v>2482</v>
      </c>
      <c r="O35" s="20"/>
    </row>
    <row r="36" ht="180.0" customHeight="1">
      <c r="A36" s="21" t="str">
        <f>IMAGE("https://images.pokedata.ovh/en/me2-5/41.webp", 1)</f>
        <v/>
      </c>
      <c r="B36" s="22"/>
      <c r="C36" s="20"/>
      <c r="D36" s="21" t="str">
        <f>IMAGE("https://images.pokedata.ovh/en/me2-5/42.webp", 1)</f>
        <v/>
      </c>
      <c r="E36" s="22"/>
      <c r="F36" s="20"/>
      <c r="G36" s="21" t="str">
        <f>IMAGE("https://images.pokedata.ovh/en/me2-5/43.webp", 1)</f>
        <v/>
      </c>
      <c r="H36" s="22"/>
      <c r="I36" s="20"/>
      <c r="J36" s="21" t="str">
        <f>IMAGE("https://images.pokedata.ovh/en/me2-5/44.webp", 1)</f>
        <v/>
      </c>
      <c r="K36" s="22"/>
      <c r="L36" s="20"/>
      <c r="M36" s="21" t="str">
        <f>IMAGE("https://images.pokedata.ovh/en/me2-5/45.webp", 1)</f>
        <v/>
      </c>
      <c r="N36" s="22"/>
      <c r="O36" s="20"/>
    </row>
    <row r="37" ht="22.5" customHeight="1">
      <c r="A37" s="23" t="b">
        <v>0</v>
      </c>
      <c r="B37" s="24" t="b">
        <v>0</v>
      </c>
      <c r="C37" s="25" t="str">
        <f>HYPERLINK("https://www.cardmarket.com/en/Pokemon/Products/Singles?idCategory=1&amp;idProduct=me2pt5-41", "CM")</f>
        <v>CM</v>
      </c>
      <c r="D37" s="23" t="b">
        <v>0</v>
      </c>
      <c r="E37" s="24" t="b">
        <v>0</v>
      </c>
      <c r="F37" s="25" t="str">
        <f>HYPERLINK("https://www.cardmarket.com/en/Pokemon/Products/Singles?idCategory=1&amp;idProduct=me2pt5-42", "CM")</f>
        <v>CM</v>
      </c>
      <c r="G37" s="23" t="b">
        <v>0</v>
      </c>
      <c r="H37" s="24" t="b">
        <v>0</v>
      </c>
      <c r="I37" s="25" t="str">
        <f>HYPERLINK("https://www.cardmarket.com/en/Pokemon/Products/Singles?idCategory=1&amp;idProduct=me2pt5-43", "CM")</f>
        <v>CM</v>
      </c>
      <c r="J37" s="23" t="b">
        <v>0</v>
      </c>
      <c r="K37" s="24" t="b">
        <v>0</v>
      </c>
      <c r="L37" s="25" t="str">
        <f>HYPERLINK("https://www.cardmarket.com/en/Pokemon/Products/Singles?idCategory=1&amp;idProduct=me2pt5-44", "CM")</f>
        <v>CM</v>
      </c>
      <c r="M37" s="23" t="b">
        <v>0</v>
      </c>
      <c r="N37" s="24" t="b">
        <v>0</v>
      </c>
      <c r="O37" s="25" t="str">
        <f>HYPERLINK("https://www.cardmarket.com/en/Pokemon/Products/Singles?idCategory=1&amp;idProduct=me2pt5-45", "CM")</f>
        <v>CM</v>
      </c>
    </row>
    <row r="38" ht="7.5" customHeight="1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</row>
    <row r="39" ht="18.75" customHeight="1">
      <c r="A39" s="18" t="s">
        <v>767</v>
      </c>
      <c r="B39" s="19" t="s">
        <v>2483</v>
      </c>
      <c r="C39" s="20"/>
      <c r="D39" s="18" t="s">
        <v>769</v>
      </c>
      <c r="E39" s="19" t="s">
        <v>2484</v>
      </c>
      <c r="F39" s="20"/>
      <c r="G39" s="18" t="s">
        <v>770</v>
      </c>
      <c r="H39" s="19" t="s">
        <v>2485</v>
      </c>
      <c r="I39" s="20"/>
      <c r="J39" s="18" t="s">
        <v>772</v>
      </c>
      <c r="K39" s="19" t="s">
        <v>2486</v>
      </c>
      <c r="L39" s="20"/>
      <c r="M39" s="18" t="s">
        <v>774</v>
      </c>
      <c r="N39" s="19" t="s">
        <v>2487</v>
      </c>
      <c r="O39" s="20"/>
    </row>
    <row r="40" ht="180.0" customHeight="1">
      <c r="A40" s="21" t="str">
        <f>IMAGE("https://images.pokedata.ovh/en/me2-5/46.webp", 1)</f>
        <v/>
      </c>
      <c r="B40" s="22"/>
      <c r="C40" s="20"/>
      <c r="D40" s="21" t="str">
        <f>IMAGE("https://images.pokedata.ovh/en/me2-5/47.webp", 1)</f>
        <v/>
      </c>
      <c r="E40" s="22"/>
      <c r="F40" s="20"/>
      <c r="G40" s="21" t="str">
        <f>IMAGE("https://images.pokedata.ovh/en/me2-5/48.webp", 1)</f>
        <v/>
      </c>
      <c r="H40" s="22"/>
      <c r="I40" s="20"/>
      <c r="J40" s="21" t="str">
        <f>IMAGE("https://images.pokedata.ovh/en/me2-5/49.webp", 1)</f>
        <v/>
      </c>
      <c r="K40" s="22"/>
      <c r="L40" s="20"/>
      <c r="M40" s="21" t="str">
        <f>IMAGE("https://images.pokedata.ovh/en/me2-5/50.webp", 1)</f>
        <v/>
      </c>
      <c r="N40" s="22"/>
      <c r="O40" s="20"/>
    </row>
    <row r="41" ht="22.5" customHeight="1">
      <c r="A41" s="23" t="b">
        <v>0</v>
      </c>
      <c r="B41" s="24" t="b">
        <v>0</v>
      </c>
      <c r="C41" s="25" t="str">
        <f>HYPERLINK("https://www.cardmarket.com/en/Pokemon/Products/Singles?idCategory=1&amp;idProduct=me2pt5-46", "CM")</f>
        <v>CM</v>
      </c>
      <c r="D41" s="23" t="b">
        <v>0</v>
      </c>
      <c r="E41" s="24" t="b">
        <v>0</v>
      </c>
      <c r="F41" s="25" t="str">
        <f>HYPERLINK("https://www.cardmarket.com/en/Pokemon/Products/Singles?idCategory=1&amp;idProduct=me2pt5-47", "CM")</f>
        <v>CM</v>
      </c>
      <c r="G41" s="23" t="b">
        <v>0</v>
      </c>
      <c r="H41" s="24" t="b">
        <v>0</v>
      </c>
      <c r="I41" s="25" t="str">
        <f>HYPERLINK("https://www.cardmarket.com/en/Pokemon/Products/Singles?idCategory=1&amp;idProduct=me2pt5-48", "CM")</f>
        <v>CM</v>
      </c>
      <c r="J41" s="23" t="b">
        <v>0</v>
      </c>
      <c r="K41" s="24" t="b">
        <v>0</v>
      </c>
      <c r="L41" s="25" t="str">
        <f>HYPERLINK("https://www.cardmarket.com/en/Pokemon/Products/Singles?idCategory=1&amp;idProduct=me2pt5-49", "CM")</f>
        <v>CM</v>
      </c>
      <c r="M41" s="23" t="b">
        <v>0</v>
      </c>
      <c r="N41" s="24" t="b">
        <v>0</v>
      </c>
      <c r="O41" s="25" t="str">
        <f>HYPERLINK("https://www.cardmarket.com/en/Pokemon/Products/Singles?idCategory=1&amp;idProduct=me2pt5-50", "CM")</f>
        <v>CM</v>
      </c>
    </row>
    <row r="42" ht="7.5" customHeight="1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</row>
    <row r="43" ht="18.75" customHeight="1">
      <c r="A43" s="18" t="s">
        <v>776</v>
      </c>
      <c r="B43" s="19" t="s">
        <v>2488</v>
      </c>
      <c r="C43" s="20"/>
      <c r="D43" s="18" t="s">
        <v>778</v>
      </c>
      <c r="E43" s="19" t="s">
        <v>2489</v>
      </c>
      <c r="F43" s="20"/>
      <c r="G43" s="18" t="s">
        <v>780</v>
      </c>
      <c r="H43" s="19" t="s">
        <v>2490</v>
      </c>
      <c r="I43" s="20"/>
      <c r="J43" s="18" t="s">
        <v>583</v>
      </c>
      <c r="K43" s="19" t="s">
        <v>2491</v>
      </c>
      <c r="L43" s="20"/>
      <c r="M43" s="18" t="s">
        <v>585</v>
      </c>
      <c r="N43" s="19" t="s">
        <v>616</v>
      </c>
      <c r="O43" s="20"/>
    </row>
    <row r="44" ht="180.0" customHeight="1">
      <c r="A44" s="21" t="str">
        <f>IMAGE("https://images.pokedata.ovh/en/me2-5/51.webp", 1)</f>
        <v/>
      </c>
      <c r="B44" s="22"/>
      <c r="C44" s="20"/>
      <c r="D44" s="21" t="str">
        <f>IMAGE("https://images.pokedata.ovh/en/me2-5/52.webp", 1)</f>
        <v/>
      </c>
      <c r="E44" s="22"/>
      <c r="F44" s="20"/>
      <c r="G44" s="21" t="str">
        <f>IMAGE("https://images.pokedata.ovh/en/me2-5/53.webp", 1)</f>
        <v/>
      </c>
      <c r="H44" s="22"/>
      <c r="I44" s="20"/>
      <c r="J44" s="21" t="str">
        <f>IMAGE("https://images.pokedata.ovh/en/me2-5/54.webp", 1)</f>
        <v/>
      </c>
      <c r="K44" s="22"/>
      <c r="L44" s="20"/>
      <c r="M44" s="21" t="str">
        <f>IMAGE("https://images.pokedata.ovh/en/me2-5/55.webp", 1)</f>
        <v/>
      </c>
      <c r="N44" s="22"/>
      <c r="O44" s="20"/>
    </row>
    <row r="45" ht="22.5" customHeight="1">
      <c r="A45" s="23" t="b">
        <v>0</v>
      </c>
      <c r="B45" s="24" t="b">
        <v>0</v>
      </c>
      <c r="C45" s="25" t="str">
        <f>HYPERLINK("https://www.cardmarket.com/en/Pokemon/Products/Singles?idCategory=1&amp;idProduct=me2pt5-51", "CM")</f>
        <v>CM</v>
      </c>
      <c r="D45" s="23" t="b">
        <v>0</v>
      </c>
      <c r="E45" s="24" t="b">
        <v>0</v>
      </c>
      <c r="F45" s="25" t="str">
        <f>HYPERLINK("https://www.cardmarket.com/en/Pokemon/Products/Singles?idCategory=1&amp;idProduct=me2pt5-52", "CM")</f>
        <v>CM</v>
      </c>
      <c r="G45" s="23" t="b">
        <v>0</v>
      </c>
      <c r="H45" s="24" t="b">
        <v>0</v>
      </c>
      <c r="I45" s="25" t="str">
        <f>HYPERLINK("https://www.cardmarket.com/en/Pokemon/Products/Singles?idCategory=1&amp;idProduct=me2pt5-53", "CM")</f>
        <v>CM</v>
      </c>
      <c r="J45" s="23" t="b">
        <v>0</v>
      </c>
      <c r="K45" s="24" t="b">
        <v>0</v>
      </c>
      <c r="L45" s="25" t="str">
        <f>HYPERLINK("https://www.cardmarket.com/en/Pokemon/Products/Singles?idCategory=1&amp;idProduct=me2pt5-54", "CM")</f>
        <v>CM</v>
      </c>
      <c r="M45" s="23" t="b">
        <v>0</v>
      </c>
      <c r="N45" s="24" t="b">
        <v>0</v>
      </c>
      <c r="O45" s="25" t="str">
        <f>HYPERLINK("https://www.cardmarket.com/en/Pokemon/Products/Singles?idCategory=1&amp;idProduct=me2pt5-55", "CM")</f>
        <v>CM</v>
      </c>
    </row>
    <row r="46" ht="7.5" customHeight="1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</row>
    <row r="47" ht="18.75" customHeight="1">
      <c r="A47" s="18" t="s">
        <v>782</v>
      </c>
      <c r="B47" s="19" t="s">
        <v>1493</v>
      </c>
      <c r="C47" s="20"/>
      <c r="D47" s="18" t="s">
        <v>587</v>
      </c>
      <c r="E47" s="19" t="s">
        <v>2492</v>
      </c>
      <c r="F47" s="20"/>
      <c r="G47" s="18" t="s">
        <v>589</v>
      </c>
      <c r="H47" s="19" t="s">
        <v>2493</v>
      </c>
      <c r="I47" s="20"/>
      <c r="J47" s="18" t="s">
        <v>591</v>
      </c>
      <c r="K47" s="19" t="s">
        <v>2494</v>
      </c>
      <c r="L47" s="20"/>
      <c r="M47" s="18" t="s">
        <v>593</v>
      </c>
      <c r="N47" s="19" t="s">
        <v>2495</v>
      </c>
      <c r="O47" s="20"/>
    </row>
    <row r="48" ht="180.0" customHeight="1">
      <c r="A48" s="21" t="str">
        <f>IMAGE("https://images.pokedata.ovh/en/me2-5/56.webp", 1)</f>
        <v/>
      </c>
      <c r="B48" s="22"/>
      <c r="C48" s="20"/>
      <c r="D48" s="21" t="str">
        <f>IMAGE("https://images.pokedata.ovh/en/me2-5/57.webp", 1)</f>
        <v/>
      </c>
      <c r="E48" s="22"/>
      <c r="F48" s="20"/>
      <c r="G48" s="21" t="str">
        <f>IMAGE("https://images.pokedata.ovh/en/me2-5/58.webp", 1)</f>
        <v/>
      </c>
      <c r="H48" s="22"/>
      <c r="I48" s="20"/>
      <c r="J48" s="21" t="str">
        <f>IMAGE("https://images.pokedata.ovh/en/me2-5/59.webp", 1)</f>
        <v/>
      </c>
      <c r="K48" s="22"/>
      <c r="L48" s="20"/>
      <c r="M48" s="21" t="str">
        <f>IMAGE("https://images.pokedata.ovh/en/me2-5/60.webp", 1)</f>
        <v/>
      </c>
      <c r="N48" s="22"/>
      <c r="O48" s="20"/>
    </row>
    <row r="49" ht="22.5" customHeight="1">
      <c r="A49" s="23" t="b">
        <v>0</v>
      </c>
      <c r="B49" s="24" t="b">
        <v>0</v>
      </c>
      <c r="C49" s="25" t="str">
        <f>HYPERLINK("https://www.cardmarket.com/en/Pokemon/Products/Singles?idCategory=1&amp;idProduct=me2pt5-56", "CM")</f>
        <v>CM</v>
      </c>
      <c r="D49" s="23" t="b">
        <v>0</v>
      </c>
      <c r="E49" s="24" t="b">
        <v>0</v>
      </c>
      <c r="F49" s="25" t="str">
        <f>HYPERLINK("https://www.cardmarket.com/en/Pokemon/Products/Singles?idCategory=1&amp;idProduct=me2pt5-57", "CM")</f>
        <v>CM</v>
      </c>
      <c r="G49" s="23" t="b">
        <v>0</v>
      </c>
      <c r="H49" s="24" t="b">
        <v>0</v>
      </c>
      <c r="I49" s="25" t="str">
        <f>HYPERLINK("https://www.cardmarket.com/en/Pokemon/Products/Singles?idCategory=1&amp;idProduct=me2pt5-58", "CM")</f>
        <v>CM</v>
      </c>
      <c r="J49" s="23" t="b">
        <v>0</v>
      </c>
      <c r="K49" s="24" t="b">
        <v>0</v>
      </c>
      <c r="L49" s="25" t="str">
        <f>HYPERLINK("https://www.cardmarket.com/en/Pokemon/Products/Singles?idCategory=1&amp;idProduct=me2pt5-59", "CM")</f>
        <v>CM</v>
      </c>
      <c r="M49" s="23" t="b">
        <v>0</v>
      </c>
      <c r="N49" s="24" t="b">
        <v>0</v>
      </c>
      <c r="O49" s="25" t="str">
        <f>HYPERLINK("https://www.cardmarket.com/en/Pokemon/Products/Singles?idCategory=1&amp;idProduct=me2pt5-60", "CM")</f>
        <v>CM</v>
      </c>
    </row>
    <row r="50" ht="7.5" customHeight="1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</row>
    <row r="51" ht="18.75" customHeight="1">
      <c r="A51" s="18" t="s">
        <v>595</v>
      </c>
      <c r="B51" s="19" t="s">
        <v>2496</v>
      </c>
      <c r="C51" s="20"/>
      <c r="D51" s="18" t="s">
        <v>597</v>
      </c>
      <c r="E51" s="19" t="s">
        <v>2497</v>
      </c>
      <c r="F51" s="20"/>
      <c r="G51" s="18" t="s">
        <v>784</v>
      </c>
      <c r="H51" s="19" t="s">
        <v>2498</v>
      </c>
      <c r="I51" s="20"/>
      <c r="J51" s="18" t="s">
        <v>786</v>
      </c>
      <c r="K51" s="19" t="s">
        <v>2499</v>
      </c>
      <c r="L51" s="20"/>
      <c r="M51" s="18" t="s">
        <v>788</v>
      </c>
      <c r="N51" s="19" t="s">
        <v>2500</v>
      </c>
      <c r="O51" s="20"/>
    </row>
    <row r="52" ht="180.0" customHeight="1">
      <c r="A52" s="21" t="str">
        <f>IMAGE("https://images.pokedata.ovh/en/me2-5/61.webp", 1)</f>
        <v/>
      </c>
      <c r="B52" s="22"/>
      <c r="C52" s="20"/>
      <c r="D52" s="21" t="str">
        <f>IMAGE("https://images.pokedata.ovh/en/me2-5/62.webp", 1)</f>
        <v/>
      </c>
      <c r="E52" s="22"/>
      <c r="F52" s="20"/>
      <c r="G52" s="21" t="str">
        <f>IMAGE("https://images.pokedata.ovh/en/me2-5/63.webp", 1)</f>
        <v/>
      </c>
      <c r="H52" s="22"/>
      <c r="I52" s="20"/>
      <c r="J52" s="21" t="str">
        <f>IMAGE("https://images.pokedata.ovh/en/me2-5/64.webp", 1)</f>
        <v/>
      </c>
      <c r="K52" s="22"/>
      <c r="L52" s="20"/>
      <c r="M52" s="21" t="str">
        <f>IMAGE("https://images.pokedata.ovh/en/me2-5/65.webp", 1)</f>
        <v/>
      </c>
      <c r="N52" s="22"/>
      <c r="O52" s="20"/>
    </row>
    <row r="53" ht="22.5" customHeight="1">
      <c r="A53" s="23" t="b">
        <v>0</v>
      </c>
      <c r="B53" s="24" t="b">
        <v>0</v>
      </c>
      <c r="C53" s="25" t="str">
        <f>HYPERLINK("https://www.cardmarket.com/en/Pokemon/Products/Singles?idCategory=1&amp;idProduct=me2pt5-61", "CM")</f>
        <v>CM</v>
      </c>
      <c r="D53" s="23" t="b">
        <v>0</v>
      </c>
      <c r="E53" s="24" t="b">
        <v>0</v>
      </c>
      <c r="F53" s="25" t="str">
        <f>HYPERLINK("https://www.cardmarket.com/en/Pokemon/Products/Singles?idCategory=1&amp;idProduct=me2pt5-62", "CM")</f>
        <v>CM</v>
      </c>
      <c r="G53" s="23" t="b">
        <v>0</v>
      </c>
      <c r="H53" s="24" t="b">
        <v>0</v>
      </c>
      <c r="I53" s="25" t="str">
        <f>HYPERLINK("https://www.cardmarket.com/en/Pokemon/Products/Singles?idCategory=1&amp;idProduct=me2pt5-63", "CM")</f>
        <v>CM</v>
      </c>
      <c r="J53" s="23" t="b">
        <v>0</v>
      </c>
      <c r="K53" s="24" t="b">
        <v>0</v>
      </c>
      <c r="L53" s="25" t="str">
        <f>HYPERLINK("https://www.cardmarket.com/en/Pokemon/Products/Singles?idCategory=1&amp;idProduct=me2pt5-64", "CM")</f>
        <v>CM</v>
      </c>
      <c r="M53" s="23" t="b">
        <v>0</v>
      </c>
      <c r="N53" s="24" t="b">
        <v>0</v>
      </c>
      <c r="O53" s="25" t="str">
        <f>HYPERLINK("https://www.cardmarket.com/en/Pokemon/Products/Singles?idCategory=1&amp;idProduct=me2pt5-65", "CM")</f>
        <v>CM</v>
      </c>
    </row>
    <row r="54" ht="7.5" customHeight="1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</row>
    <row r="55" ht="18.75" customHeight="1">
      <c r="A55" s="18" t="s">
        <v>790</v>
      </c>
      <c r="B55" s="19" t="s">
        <v>2501</v>
      </c>
      <c r="C55" s="20"/>
      <c r="D55" s="18" t="s">
        <v>791</v>
      </c>
      <c r="E55" s="19" t="s">
        <v>2502</v>
      </c>
      <c r="F55" s="20"/>
      <c r="G55" s="18" t="s">
        <v>793</v>
      </c>
      <c r="H55" s="19" t="s">
        <v>2503</v>
      </c>
      <c r="I55" s="20"/>
      <c r="J55" s="18" t="s">
        <v>795</v>
      </c>
      <c r="K55" s="19" t="s">
        <v>2504</v>
      </c>
      <c r="L55" s="20"/>
      <c r="M55" s="18" t="s">
        <v>797</v>
      </c>
      <c r="N55" s="19" t="s">
        <v>2505</v>
      </c>
      <c r="O55" s="20"/>
    </row>
    <row r="56" ht="180.0" customHeight="1">
      <c r="A56" s="21" t="str">
        <f>IMAGE("https://images.pokedata.ovh/en/me2-5/66.webp", 1)</f>
        <v/>
      </c>
      <c r="B56" s="22"/>
      <c r="C56" s="20"/>
      <c r="D56" s="21" t="str">
        <f>IMAGE("https://images.pokedata.ovh/en/me2-5/67.webp", 1)</f>
        <v/>
      </c>
      <c r="E56" s="22"/>
      <c r="F56" s="20"/>
      <c r="G56" s="21" t="str">
        <f>IMAGE("https://images.pokedata.ovh/en/me2-5/68.webp", 1)</f>
        <v/>
      </c>
      <c r="H56" s="22"/>
      <c r="I56" s="20"/>
      <c r="J56" s="21" t="str">
        <f>IMAGE("https://images.pokedata.ovh/en/me2-5/69.webp", 1)</f>
        <v/>
      </c>
      <c r="K56" s="22"/>
      <c r="L56" s="20"/>
      <c r="M56" s="21" t="str">
        <f>IMAGE("https://images.pokedata.ovh/en/me2-5/70.webp", 1)</f>
        <v/>
      </c>
      <c r="N56" s="22"/>
      <c r="O56" s="20"/>
    </row>
    <row r="57" ht="22.5" customHeight="1">
      <c r="A57" s="23" t="b">
        <v>0</v>
      </c>
      <c r="B57" s="24" t="b">
        <v>0</v>
      </c>
      <c r="C57" s="25" t="str">
        <f>HYPERLINK("https://www.cardmarket.com/en/Pokemon/Products/Singles?idCategory=1&amp;idProduct=me2pt5-66", "CM")</f>
        <v>CM</v>
      </c>
      <c r="D57" s="23" t="b">
        <v>0</v>
      </c>
      <c r="E57" s="24" t="b">
        <v>0</v>
      </c>
      <c r="F57" s="25" t="str">
        <f>HYPERLINK("https://www.cardmarket.com/en/Pokemon/Products/Singles?idCategory=1&amp;idProduct=me2pt5-67", "CM")</f>
        <v>CM</v>
      </c>
      <c r="G57" s="23" t="b">
        <v>0</v>
      </c>
      <c r="H57" s="24" t="b">
        <v>0</v>
      </c>
      <c r="I57" s="25" t="str">
        <f>HYPERLINK("https://www.cardmarket.com/en/Pokemon/Products/Singles?idCategory=1&amp;idProduct=me2pt5-68", "CM")</f>
        <v>CM</v>
      </c>
      <c r="J57" s="23" t="b">
        <v>0</v>
      </c>
      <c r="K57" s="24" t="b">
        <v>0</v>
      </c>
      <c r="L57" s="25" t="str">
        <f>HYPERLINK("https://www.cardmarket.com/en/Pokemon/Products/Singles?idCategory=1&amp;idProduct=me2pt5-69", "CM")</f>
        <v>CM</v>
      </c>
      <c r="M57" s="23" t="b">
        <v>0</v>
      </c>
      <c r="N57" s="24" t="b">
        <v>0</v>
      </c>
      <c r="O57" s="25" t="str">
        <f>HYPERLINK("https://www.cardmarket.com/en/Pokemon/Products/Singles?idCategory=1&amp;idProduct=me2pt5-70", "CM")</f>
        <v>CM</v>
      </c>
    </row>
    <row r="58" ht="7.5" customHeight="1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</row>
    <row r="59" ht="18.75" customHeight="1">
      <c r="A59" s="18" t="s">
        <v>799</v>
      </c>
      <c r="B59" s="19" t="s">
        <v>2506</v>
      </c>
      <c r="C59" s="20"/>
      <c r="D59" s="18" t="s">
        <v>801</v>
      </c>
      <c r="E59" s="19" t="s">
        <v>2507</v>
      </c>
      <c r="F59" s="20"/>
      <c r="G59" s="18" t="s">
        <v>803</v>
      </c>
      <c r="H59" s="19" t="s">
        <v>2508</v>
      </c>
      <c r="I59" s="20"/>
      <c r="J59" s="18" t="s">
        <v>805</v>
      </c>
      <c r="K59" s="19" t="s">
        <v>2509</v>
      </c>
      <c r="L59" s="20"/>
      <c r="M59" s="18" t="s">
        <v>806</v>
      </c>
      <c r="N59" s="19" t="s">
        <v>2510</v>
      </c>
      <c r="O59" s="20"/>
    </row>
    <row r="60" ht="180.0" customHeight="1">
      <c r="A60" s="21" t="str">
        <f>IMAGE("https://images.pokedata.ovh/en/me2-5/71.webp", 1)</f>
        <v/>
      </c>
      <c r="B60" s="22"/>
      <c r="C60" s="20"/>
      <c r="D60" s="21" t="str">
        <f>IMAGE("https://images.pokedata.ovh/en/me2-5/72.webp", 1)</f>
        <v/>
      </c>
      <c r="E60" s="22"/>
      <c r="F60" s="20"/>
      <c r="G60" s="21" t="str">
        <f>IMAGE("https://images.pokedata.ovh/en/me2-5/73.webp", 1)</f>
        <v/>
      </c>
      <c r="H60" s="22"/>
      <c r="I60" s="20"/>
      <c r="J60" s="21" t="str">
        <f>IMAGE("https://images.pokedata.ovh/en/me2-5/74.webp", 1)</f>
        <v/>
      </c>
      <c r="K60" s="22"/>
      <c r="L60" s="20"/>
      <c r="M60" s="21" t="str">
        <f>IMAGE("https://images.pokedata.ovh/en/me2-5/75.webp", 1)</f>
        <v/>
      </c>
      <c r="N60" s="22"/>
      <c r="O60" s="20"/>
    </row>
    <row r="61" ht="22.5" customHeight="1">
      <c r="A61" s="23" t="b">
        <v>0</v>
      </c>
      <c r="B61" s="24" t="b">
        <v>0</v>
      </c>
      <c r="C61" s="25" t="str">
        <f>HYPERLINK("https://www.cardmarket.com/en/Pokemon/Products/Singles?idCategory=1&amp;idProduct=me2pt5-71", "CM")</f>
        <v>CM</v>
      </c>
      <c r="D61" s="23" t="b">
        <v>0</v>
      </c>
      <c r="E61" s="24" t="b">
        <v>0</v>
      </c>
      <c r="F61" s="25" t="str">
        <f>HYPERLINK("https://www.cardmarket.com/en/Pokemon/Products/Singles?idCategory=1&amp;idProduct=me2pt5-72", "CM")</f>
        <v>CM</v>
      </c>
      <c r="G61" s="23" t="b">
        <v>0</v>
      </c>
      <c r="H61" s="24" t="b">
        <v>0</v>
      </c>
      <c r="I61" s="25" t="str">
        <f>HYPERLINK("https://www.cardmarket.com/en/Pokemon/Products/Singles?idCategory=1&amp;idProduct=me2pt5-73", "CM")</f>
        <v>CM</v>
      </c>
      <c r="J61" s="23" t="b">
        <v>0</v>
      </c>
      <c r="K61" s="24" t="b">
        <v>0</v>
      </c>
      <c r="L61" s="25" t="str">
        <f>HYPERLINK("https://www.cardmarket.com/en/Pokemon/Products/Singles?idCategory=1&amp;idProduct=me2pt5-74", "CM")</f>
        <v>CM</v>
      </c>
      <c r="M61" s="23" t="b">
        <v>0</v>
      </c>
      <c r="N61" s="24" t="b">
        <v>0</v>
      </c>
      <c r="O61" s="25" t="str">
        <f>HYPERLINK("https://www.cardmarket.com/en/Pokemon/Products/Singles?idCategory=1&amp;idProduct=me2pt5-75", "CM")</f>
        <v>CM</v>
      </c>
    </row>
    <row r="62" ht="7.5" customHeight="1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</row>
    <row r="63" ht="18.75" customHeight="1">
      <c r="A63" s="18" t="s">
        <v>808</v>
      </c>
      <c r="B63" s="19" t="s">
        <v>2511</v>
      </c>
      <c r="C63" s="20"/>
      <c r="D63" s="18" t="s">
        <v>809</v>
      </c>
      <c r="E63" s="19" t="s">
        <v>2512</v>
      </c>
      <c r="F63" s="20"/>
      <c r="G63" s="18" t="s">
        <v>811</v>
      </c>
      <c r="H63" s="19" t="s">
        <v>2513</v>
      </c>
      <c r="I63" s="20"/>
      <c r="J63" s="18" t="s">
        <v>599</v>
      </c>
      <c r="K63" s="19" t="s">
        <v>2514</v>
      </c>
      <c r="L63" s="20"/>
      <c r="M63" s="18" t="s">
        <v>601</v>
      </c>
      <c r="N63" s="19" t="s">
        <v>1407</v>
      </c>
      <c r="O63" s="20"/>
    </row>
    <row r="64" ht="180.0" customHeight="1">
      <c r="A64" s="21" t="str">
        <f>IMAGE("https://images.pokedata.ovh/en/me2-5/76.webp", 1)</f>
        <v/>
      </c>
      <c r="B64" s="22"/>
      <c r="C64" s="20"/>
      <c r="D64" s="21" t="str">
        <f>IMAGE("https://images.pokedata.ovh/en/me2-5/77.webp", 1)</f>
        <v/>
      </c>
      <c r="E64" s="22"/>
      <c r="F64" s="20"/>
      <c r="G64" s="21" t="str">
        <f>IMAGE("https://images.pokedata.ovh/en/me2-5/78.webp", 1)</f>
        <v/>
      </c>
      <c r="H64" s="22"/>
      <c r="I64" s="20"/>
      <c r="J64" s="21" t="str">
        <f>IMAGE("https://images.pokedata.ovh/en/me2-5/79.webp", 1)</f>
        <v/>
      </c>
      <c r="K64" s="22"/>
      <c r="L64" s="20"/>
      <c r="M64" s="21" t="str">
        <f>IMAGE("https://images.pokedata.ovh/en/me2-5/80.webp", 1)</f>
        <v/>
      </c>
      <c r="N64" s="22"/>
      <c r="O64" s="20"/>
    </row>
    <row r="65" ht="22.5" customHeight="1">
      <c r="A65" s="23" t="b">
        <v>0</v>
      </c>
      <c r="B65" s="24" t="b">
        <v>0</v>
      </c>
      <c r="C65" s="25" t="str">
        <f>HYPERLINK("https://www.cardmarket.com/en/Pokemon/Products/Singles?idCategory=1&amp;idProduct=me2pt5-76", "CM")</f>
        <v>CM</v>
      </c>
      <c r="D65" s="23" t="b">
        <v>0</v>
      </c>
      <c r="E65" s="24" t="b">
        <v>0</v>
      </c>
      <c r="F65" s="25" t="str">
        <f>HYPERLINK("https://www.cardmarket.com/en/Pokemon/Products/Singles?idCategory=1&amp;idProduct=me2pt5-77", "CM")</f>
        <v>CM</v>
      </c>
      <c r="G65" s="23" t="b">
        <v>0</v>
      </c>
      <c r="H65" s="24" t="b">
        <v>0</v>
      </c>
      <c r="I65" s="25" t="str">
        <f>HYPERLINK("https://www.cardmarket.com/en/Pokemon/Products/Singles?idCategory=1&amp;idProduct=me2pt5-78", "CM")</f>
        <v>CM</v>
      </c>
      <c r="J65" s="23" t="b">
        <v>0</v>
      </c>
      <c r="K65" s="24" t="b">
        <v>0</v>
      </c>
      <c r="L65" s="25" t="str">
        <f>HYPERLINK("https://www.cardmarket.com/en/Pokemon/Products/Singles?idCategory=1&amp;idProduct=me2pt5-79", "CM")</f>
        <v>CM</v>
      </c>
      <c r="M65" s="23" t="b">
        <v>0</v>
      </c>
      <c r="N65" s="24" t="b">
        <v>0</v>
      </c>
      <c r="O65" s="25" t="str">
        <f>HYPERLINK("https://www.cardmarket.com/en/Pokemon/Products/Singles?idCategory=1&amp;idProduct=me2pt5-80", "CM")</f>
        <v>CM</v>
      </c>
    </row>
    <row r="66" ht="7.5" customHeight="1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</row>
    <row r="67" ht="18.75" customHeight="1">
      <c r="A67" s="18" t="s">
        <v>603</v>
      </c>
      <c r="B67" s="19" t="s">
        <v>1408</v>
      </c>
      <c r="C67" s="20"/>
      <c r="D67" s="18" t="s">
        <v>604</v>
      </c>
      <c r="E67" s="19" t="s">
        <v>572</v>
      </c>
      <c r="F67" s="20"/>
      <c r="G67" s="18" t="s">
        <v>606</v>
      </c>
      <c r="H67" s="19" t="s">
        <v>1807</v>
      </c>
      <c r="I67" s="20"/>
      <c r="J67" s="18" t="s">
        <v>608</v>
      </c>
      <c r="K67" s="19" t="s">
        <v>2515</v>
      </c>
      <c r="L67" s="20"/>
      <c r="M67" s="18" t="s">
        <v>609</v>
      </c>
      <c r="N67" s="19" t="s">
        <v>2516</v>
      </c>
      <c r="O67" s="20"/>
    </row>
    <row r="68" ht="180.0" customHeight="1">
      <c r="A68" s="21" t="str">
        <f>IMAGE("https://images.pokedata.ovh/en/me2-5/81.webp", 1)</f>
        <v/>
      </c>
      <c r="B68" s="22"/>
      <c r="C68" s="20"/>
      <c r="D68" s="21" t="str">
        <f>IMAGE("https://images.pokedata.ovh/en/me2-5/82.webp", 1)</f>
        <v/>
      </c>
      <c r="E68" s="22"/>
      <c r="F68" s="20"/>
      <c r="G68" s="21" t="str">
        <f>IMAGE("https://images.pokedata.ovh/en/me2-5/83.webp", 1)</f>
        <v/>
      </c>
      <c r="H68" s="22"/>
      <c r="I68" s="20"/>
      <c r="J68" s="21" t="str">
        <f>IMAGE("https://images.pokedata.ovh/en/me2-5/84.webp", 1)</f>
        <v/>
      </c>
      <c r="K68" s="22"/>
      <c r="L68" s="20"/>
      <c r="M68" s="21" t="str">
        <f>IMAGE("https://images.pokedata.ovh/en/me2-5/85.webp", 1)</f>
        <v/>
      </c>
      <c r="N68" s="22"/>
      <c r="O68" s="20"/>
    </row>
    <row r="69" ht="22.5" customHeight="1">
      <c r="A69" s="23" t="b">
        <v>0</v>
      </c>
      <c r="B69" s="24" t="b">
        <v>0</v>
      </c>
      <c r="C69" s="25" t="str">
        <f>HYPERLINK("https://www.cardmarket.com/en/Pokemon/Products/Singles?idCategory=1&amp;idProduct=me2pt5-81", "CM")</f>
        <v>CM</v>
      </c>
      <c r="D69" s="23" t="b">
        <v>0</v>
      </c>
      <c r="E69" s="24" t="b">
        <v>0</v>
      </c>
      <c r="F69" s="25" t="str">
        <f>HYPERLINK("https://www.cardmarket.com/en/Pokemon/Products/Singles?idCategory=1&amp;idProduct=me2pt5-82", "CM")</f>
        <v>CM</v>
      </c>
      <c r="G69" s="23" t="b">
        <v>0</v>
      </c>
      <c r="H69" s="24" t="b">
        <v>0</v>
      </c>
      <c r="I69" s="25" t="str">
        <f>HYPERLINK("https://www.cardmarket.com/en/Pokemon/Products/Singles?idCategory=1&amp;idProduct=me2pt5-83", "CM")</f>
        <v>CM</v>
      </c>
      <c r="J69" s="23" t="b">
        <v>0</v>
      </c>
      <c r="K69" s="24" t="b">
        <v>0</v>
      </c>
      <c r="L69" s="25" t="str">
        <f>HYPERLINK("https://www.cardmarket.com/en/Pokemon/Products/Singles?idCategory=1&amp;idProduct=me2pt5-84", "CM")</f>
        <v>CM</v>
      </c>
      <c r="M69" s="23" t="b">
        <v>0</v>
      </c>
      <c r="N69" s="24" t="b">
        <v>0</v>
      </c>
      <c r="O69" s="25" t="str">
        <f>HYPERLINK("https://www.cardmarket.com/en/Pokemon/Products/Singles?idCategory=1&amp;idProduct=me2pt5-85", "CM")</f>
        <v>CM</v>
      </c>
    </row>
    <row r="70" ht="7.5" customHeight="1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</row>
    <row r="71" ht="18.75" customHeight="1">
      <c r="A71" s="18" t="s">
        <v>611</v>
      </c>
      <c r="B71" s="19" t="s">
        <v>2517</v>
      </c>
      <c r="C71" s="20"/>
      <c r="D71" s="18" t="s">
        <v>613</v>
      </c>
      <c r="E71" s="19" t="s">
        <v>2518</v>
      </c>
      <c r="F71" s="20"/>
      <c r="G71" s="18" t="s">
        <v>615</v>
      </c>
      <c r="H71" s="19" t="s">
        <v>1274</v>
      </c>
      <c r="I71" s="20"/>
      <c r="J71" s="18" t="s">
        <v>617</v>
      </c>
      <c r="K71" s="19" t="s">
        <v>2519</v>
      </c>
      <c r="L71" s="20"/>
      <c r="M71" s="18" t="s">
        <v>619</v>
      </c>
      <c r="N71" s="19" t="s">
        <v>1276</v>
      </c>
      <c r="O71" s="20"/>
    </row>
    <row r="72" ht="180.0" customHeight="1">
      <c r="A72" s="21" t="str">
        <f>IMAGE("https://images.pokedata.ovh/en/me2-5/86.webp", 1)</f>
        <v/>
      </c>
      <c r="B72" s="22"/>
      <c r="C72" s="20"/>
      <c r="D72" s="21" t="str">
        <f>IMAGE("https://images.pokedata.ovh/en/me2-5/87.webp", 1)</f>
        <v/>
      </c>
      <c r="E72" s="22"/>
      <c r="F72" s="20"/>
      <c r="G72" s="21" t="str">
        <f>IMAGE("https://images.pokedata.ovh/en/me2-5/88.webp", 1)</f>
        <v/>
      </c>
      <c r="H72" s="22"/>
      <c r="I72" s="20"/>
      <c r="J72" s="21" t="str">
        <f>IMAGE("https://images.pokedata.ovh/en/me2-5/89.webp", 1)</f>
        <v/>
      </c>
      <c r="K72" s="22"/>
      <c r="L72" s="20"/>
      <c r="M72" s="21" t="str">
        <f>IMAGE("https://images.pokedata.ovh/en/me2-5/90.webp", 1)</f>
        <v/>
      </c>
      <c r="N72" s="22"/>
      <c r="O72" s="20"/>
    </row>
    <row r="73" ht="22.5" customHeight="1">
      <c r="A73" s="23" t="b">
        <v>0</v>
      </c>
      <c r="B73" s="24" t="b">
        <v>0</v>
      </c>
      <c r="C73" s="25" t="str">
        <f>HYPERLINK("https://www.cardmarket.com/en/Pokemon/Products/Singles?idCategory=1&amp;idProduct=me2pt5-86", "CM")</f>
        <v>CM</v>
      </c>
      <c r="D73" s="23" t="b">
        <v>0</v>
      </c>
      <c r="E73" s="24" t="b">
        <v>0</v>
      </c>
      <c r="F73" s="25" t="str">
        <f>HYPERLINK("https://www.cardmarket.com/en/Pokemon/Products/Singles?idCategory=1&amp;idProduct=me2pt5-87", "CM")</f>
        <v>CM</v>
      </c>
      <c r="G73" s="23" t="b">
        <v>0</v>
      </c>
      <c r="H73" s="24" t="b">
        <v>0</v>
      </c>
      <c r="I73" s="25" t="str">
        <f>HYPERLINK("https://www.cardmarket.com/en/Pokemon/Products/Singles?idCategory=1&amp;idProduct=me2pt5-88", "CM")</f>
        <v>CM</v>
      </c>
      <c r="J73" s="23" t="b">
        <v>0</v>
      </c>
      <c r="K73" s="24" t="b">
        <v>0</v>
      </c>
      <c r="L73" s="25" t="str">
        <f>HYPERLINK("https://www.cardmarket.com/en/Pokemon/Products/Singles?idCategory=1&amp;idProduct=me2pt5-89", "CM")</f>
        <v>CM</v>
      </c>
      <c r="M73" s="23" t="b">
        <v>0</v>
      </c>
      <c r="N73" s="24" t="b">
        <v>0</v>
      </c>
      <c r="O73" s="25" t="str">
        <f>HYPERLINK("https://www.cardmarket.com/en/Pokemon/Products/Singles?idCategory=1&amp;idProduct=me2pt5-90", "CM")</f>
        <v>CM</v>
      </c>
    </row>
    <row r="74" ht="7.5" customHeight="1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</row>
    <row r="75" ht="18.75" customHeight="1">
      <c r="A75" s="18" t="s">
        <v>621</v>
      </c>
      <c r="B75" s="19" t="s">
        <v>2202</v>
      </c>
      <c r="C75" s="20"/>
      <c r="D75" s="18" t="s">
        <v>623</v>
      </c>
      <c r="E75" s="19" t="s">
        <v>1215</v>
      </c>
      <c r="F75" s="20"/>
      <c r="G75" s="18" t="s">
        <v>625</v>
      </c>
      <c r="H75" s="19" t="s">
        <v>2520</v>
      </c>
      <c r="I75" s="20"/>
      <c r="J75" s="18" t="s">
        <v>627</v>
      </c>
      <c r="K75" s="19" t="s">
        <v>2521</v>
      </c>
      <c r="L75" s="20"/>
      <c r="M75" s="18" t="s">
        <v>812</v>
      </c>
      <c r="N75" s="19" t="s">
        <v>2522</v>
      </c>
      <c r="O75" s="20"/>
    </row>
    <row r="76" ht="180.0" customHeight="1">
      <c r="A76" s="21" t="str">
        <f>IMAGE("https://images.pokedata.ovh/en/me2-5/91.webp", 1)</f>
        <v/>
      </c>
      <c r="B76" s="22"/>
      <c r="C76" s="20"/>
      <c r="D76" s="21" t="str">
        <f>IMAGE("https://images.pokedata.ovh/en/me2-5/92.webp", 1)</f>
        <v/>
      </c>
      <c r="E76" s="22"/>
      <c r="F76" s="20"/>
      <c r="G76" s="21" t="str">
        <f>IMAGE("https://images.pokedata.ovh/en/me2-5/93.webp", 1)</f>
        <v/>
      </c>
      <c r="H76" s="22"/>
      <c r="I76" s="20"/>
      <c r="J76" s="21" t="str">
        <f>IMAGE("https://images.pokedata.ovh/en/me2-5/94.webp", 1)</f>
        <v/>
      </c>
      <c r="K76" s="22"/>
      <c r="L76" s="20"/>
      <c r="M76" s="21" t="str">
        <f>IMAGE("https://images.pokedata.ovh/en/me2-5/95.webp", 1)</f>
        <v/>
      </c>
      <c r="N76" s="22"/>
      <c r="O76" s="20"/>
    </row>
    <row r="77" ht="22.5" customHeight="1">
      <c r="A77" s="23" t="b">
        <v>0</v>
      </c>
      <c r="B77" s="24" t="b">
        <v>0</v>
      </c>
      <c r="C77" s="25" t="str">
        <f>HYPERLINK("https://www.cardmarket.com/en/Pokemon/Products/Singles?idCategory=1&amp;idProduct=me2pt5-91", "CM")</f>
        <v>CM</v>
      </c>
      <c r="D77" s="23" t="b">
        <v>0</v>
      </c>
      <c r="E77" s="24" t="b">
        <v>0</v>
      </c>
      <c r="F77" s="25" t="str">
        <f>HYPERLINK("https://www.cardmarket.com/en/Pokemon/Products/Singles?idCategory=1&amp;idProduct=me2pt5-92", "CM")</f>
        <v>CM</v>
      </c>
      <c r="G77" s="23" t="b">
        <v>0</v>
      </c>
      <c r="H77" s="24" t="b">
        <v>0</v>
      </c>
      <c r="I77" s="25" t="str">
        <f>HYPERLINK("https://www.cardmarket.com/en/Pokemon/Products/Singles?idCategory=1&amp;idProduct=me2pt5-93", "CM")</f>
        <v>CM</v>
      </c>
      <c r="J77" s="23" t="b">
        <v>0</v>
      </c>
      <c r="K77" s="24" t="b">
        <v>0</v>
      </c>
      <c r="L77" s="25" t="str">
        <f>HYPERLINK("https://www.cardmarket.com/en/Pokemon/Products/Singles?idCategory=1&amp;idProduct=me2pt5-94", "CM")</f>
        <v>CM</v>
      </c>
      <c r="M77" s="23" t="b">
        <v>0</v>
      </c>
      <c r="N77" s="24" t="b">
        <v>0</v>
      </c>
      <c r="O77" s="25" t="str">
        <f>HYPERLINK("https://www.cardmarket.com/en/Pokemon/Products/Singles?idCategory=1&amp;idProduct=me2pt5-95", "CM")</f>
        <v>CM</v>
      </c>
    </row>
    <row r="78" ht="7.5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</row>
    <row r="79" ht="18.75" customHeight="1">
      <c r="A79" s="18" t="s">
        <v>813</v>
      </c>
      <c r="B79" s="19" t="s">
        <v>2523</v>
      </c>
      <c r="C79" s="20"/>
      <c r="D79" s="18" t="s">
        <v>815</v>
      </c>
      <c r="E79" s="19" t="s">
        <v>2524</v>
      </c>
      <c r="F79" s="20"/>
      <c r="G79" s="18" t="s">
        <v>817</v>
      </c>
      <c r="H79" s="19" t="s">
        <v>2525</v>
      </c>
      <c r="I79" s="20"/>
      <c r="J79" s="18" t="s">
        <v>819</v>
      </c>
      <c r="K79" s="19" t="s">
        <v>2526</v>
      </c>
      <c r="L79" s="20"/>
      <c r="M79" s="18" t="s">
        <v>821</v>
      </c>
      <c r="N79" s="19" t="s">
        <v>2527</v>
      </c>
      <c r="O79" s="20"/>
    </row>
    <row r="80" ht="180.0" customHeight="1">
      <c r="A80" s="21" t="str">
        <f>IMAGE("https://images.pokedata.ovh/en/me2-5/96.webp", 1)</f>
        <v/>
      </c>
      <c r="B80" s="22"/>
      <c r="C80" s="20"/>
      <c r="D80" s="21" t="str">
        <f>IMAGE("https://images.pokedata.ovh/en/me2-5/97.webp", 1)</f>
        <v/>
      </c>
      <c r="E80" s="22"/>
      <c r="F80" s="20"/>
      <c r="G80" s="21" t="str">
        <f>IMAGE("https://images.pokedata.ovh/en/me2-5/98.webp", 1)</f>
        <v/>
      </c>
      <c r="H80" s="22"/>
      <c r="I80" s="20"/>
      <c r="J80" s="21" t="str">
        <f>IMAGE("https://images.pokedata.ovh/en/me2-5/99.webp", 1)</f>
        <v/>
      </c>
      <c r="K80" s="22"/>
      <c r="L80" s="20"/>
      <c r="M80" s="21" t="str">
        <f>IMAGE("https://images.pokedata.ovh/en/me2-5/100.webp", 1)</f>
        <v/>
      </c>
      <c r="N80" s="22"/>
      <c r="O80" s="20"/>
    </row>
    <row r="81" ht="22.5" customHeight="1">
      <c r="A81" s="23" t="b">
        <v>0</v>
      </c>
      <c r="B81" s="24" t="b">
        <v>0</v>
      </c>
      <c r="C81" s="25" t="str">
        <f>HYPERLINK("https://www.cardmarket.com/en/Pokemon/Products/Singles?idCategory=1&amp;idProduct=me2pt5-96", "CM")</f>
        <v>CM</v>
      </c>
      <c r="D81" s="23" t="b">
        <v>0</v>
      </c>
      <c r="E81" s="24" t="b">
        <v>0</v>
      </c>
      <c r="F81" s="25" t="str">
        <f>HYPERLINK("https://www.cardmarket.com/en/Pokemon/Products/Singles?idCategory=1&amp;idProduct=me2pt5-97", "CM")</f>
        <v>CM</v>
      </c>
      <c r="G81" s="23" t="b">
        <v>0</v>
      </c>
      <c r="H81" s="24" t="b">
        <v>0</v>
      </c>
      <c r="I81" s="25" t="str">
        <f>HYPERLINK("https://www.cardmarket.com/en/Pokemon/Products/Singles?idCategory=1&amp;idProduct=me2pt5-98", "CM")</f>
        <v>CM</v>
      </c>
      <c r="J81" s="23" t="b">
        <v>0</v>
      </c>
      <c r="K81" s="24" t="b">
        <v>0</v>
      </c>
      <c r="L81" s="25" t="str">
        <f>HYPERLINK("https://www.cardmarket.com/en/Pokemon/Products/Singles?idCategory=1&amp;idProduct=me2pt5-99", "CM")</f>
        <v>CM</v>
      </c>
      <c r="M81" s="23" t="b">
        <v>0</v>
      </c>
      <c r="N81" s="24" t="b">
        <v>0</v>
      </c>
      <c r="O81" s="25" t="str">
        <f>HYPERLINK("https://www.cardmarket.com/en/Pokemon/Products/Singles?idCategory=1&amp;idProduct=me2pt5-100", "CM")</f>
        <v>CM</v>
      </c>
    </row>
    <row r="82" ht="7.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</row>
    <row r="83" ht="18.75" customHeight="1">
      <c r="A83" s="18" t="s">
        <v>629</v>
      </c>
      <c r="B83" s="19" t="s">
        <v>2528</v>
      </c>
      <c r="C83" s="20"/>
      <c r="D83" s="18" t="s">
        <v>630</v>
      </c>
      <c r="E83" s="19" t="s">
        <v>2529</v>
      </c>
      <c r="F83" s="20"/>
      <c r="G83" s="18" t="s">
        <v>632</v>
      </c>
      <c r="H83" s="19" t="s">
        <v>2530</v>
      </c>
      <c r="I83" s="20"/>
      <c r="J83" s="18" t="s">
        <v>634</v>
      </c>
      <c r="K83" s="19" t="s">
        <v>2531</v>
      </c>
      <c r="L83" s="20"/>
      <c r="M83" s="18" t="s">
        <v>636</v>
      </c>
      <c r="N83" s="19" t="s">
        <v>1084</v>
      </c>
      <c r="O83" s="20"/>
    </row>
    <row r="84" ht="180.0" customHeight="1">
      <c r="A84" s="21" t="str">
        <f>IMAGE("https://images.pokedata.ovh/en/me2-5/101.webp", 1)</f>
        <v/>
      </c>
      <c r="B84" s="22"/>
      <c r="C84" s="20"/>
      <c r="D84" s="21" t="str">
        <f>IMAGE("https://images.pokedata.ovh/en/me2-5/102.webp", 1)</f>
        <v/>
      </c>
      <c r="E84" s="22"/>
      <c r="F84" s="20"/>
      <c r="G84" s="21" t="str">
        <f>IMAGE("https://images.pokedata.ovh/en/me2-5/103.webp", 1)</f>
        <v/>
      </c>
      <c r="H84" s="22"/>
      <c r="I84" s="20"/>
      <c r="J84" s="21" t="str">
        <f>IMAGE("https://images.pokedata.ovh/en/me2-5/104.webp", 1)</f>
        <v/>
      </c>
      <c r="K84" s="22"/>
      <c r="L84" s="20"/>
      <c r="M84" s="21" t="str">
        <f>IMAGE("https://images.pokedata.ovh/en/me2-5/105.webp", 1)</f>
        <v/>
      </c>
      <c r="N84" s="22"/>
      <c r="O84" s="20"/>
    </row>
    <row r="85" ht="22.5" customHeight="1">
      <c r="A85" s="23" t="b">
        <v>0</v>
      </c>
      <c r="B85" s="24" t="b">
        <v>0</v>
      </c>
      <c r="C85" s="25" t="str">
        <f>HYPERLINK("https://www.cardmarket.com/en/Pokemon/Products/Singles?idCategory=1&amp;idProduct=me2pt5-101", "CM")</f>
        <v>CM</v>
      </c>
      <c r="D85" s="23" t="b">
        <v>0</v>
      </c>
      <c r="E85" s="24" t="b">
        <v>0</v>
      </c>
      <c r="F85" s="25" t="str">
        <f>HYPERLINK("https://www.cardmarket.com/en/Pokemon/Products/Singles?idCategory=1&amp;idProduct=me2pt5-102", "CM")</f>
        <v>CM</v>
      </c>
      <c r="G85" s="23" t="b">
        <v>0</v>
      </c>
      <c r="H85" s="24" t="b">
        <v>0</v>
      </c>
      <c r="I85" s="25" t="str">
        <f>HYPERLINK("https://www.cardmarket.com/en/Pokemon/Products/Singles?idCategory=1&amp;idProduct=me2pt5-103", "CM")</f>
        <v>CM</v>
      </c>
      <c r="J85" s="23" t="b">
        <v>0</v>
      </c>
      <c r="K85" s="24" t="b">
        <v>0</v>
      </c>
      <c r="L85" s="25" t="str">
        <f>HYPERLINK("https://www.cardmarket.com/en/Pokemon/Products/Singles?idCategory=1&amp;idProduct=me2pt5-104", "CM")</f>
        <v>CM</v>
      </c>
      <c r="M85" s="23" t="b">
        <v>0</v>
      </c>
      <c r="N85" s="24" t="b">
        <v>0</v>
      </c>
      <c r="O85" s="25" t="str">
        <f>HYPERLINK("https://www.cardmarket.com/en/Pokemon/Products/Singles?idCategory=1&amp;idProduct=me2pt5-105", "CM")</f>
        <v>CM</v>
      </c>
    </row>
    <row r="86" ht="7.5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</row>
    <row r="87" ht="18.75" customHeight="1">
      <c r="A87" s="18" t="s">
        <v>638</v>
      </c>
      <c r="B87" s="19" t="s">
        <v>1092</v>
      </c>
      <c r="C87" s="20"/>
      <c r="D87" s="18" t="s">
        <v>640</v>
      </c>
      <c r="E87" s="19" t="s">
        <v>2532</v>
      </c>
      <c r="F87" s="20"/>
      <c r="G87" s="18" t="s">
        <v>642</v>
      </c>
      <c r="H87" s="19" t="s">
        <v>1646</v>
      </c>
      <c r="I87" s="20"/>
      <c r="J87" s="18" t="s">
        <v>643</v>
      </c>
      <c r="K87" s="19" t="s">
        <v>2533</v>
      </c>
      <c r="L87" s="20"/>
      <c r="M87" s="18" t="s">
        <v>645</v>
      </c>
      <c r="N87" s="19" t="s">
        <v>2534</v>
      </c>
      <c r="O87" s="20"/>
    </row>
    <row r="88" ht="180.0" customHeight="1">
      <c r="A88" s="21" t="str">
        <f>IMAGE("https://images.pokedata.ovh/en/me2-5/106.webp", 1)</f>
        <v/>
      </c>
      <c r="B88" s="22"/>
      <c r="C88" s="20"/>
      <c r="D88" s="21" t="str">
        <f>IMAGE("https://images.pokedata.ovh/en/me2-5/107.webp", 1)</f>
        <v/>
      </c>
      <c r="E88" s="22"/>
      <c r="F88" s="20"/>
      <c r="G88" s="21" t="str">
        <f>IMAGE("https://images.pokedata.ovh/en/me2-5/108.webp", 1)</f>
        <v/>
      </c>
      <c r="H88" s="22"/>
      <c r="I88" s="20"/>
      <c r="J88" s="21" t="str">
        <f>IMAGE("https://images.pokedata.ovh/en/me2-5/109.webp", 1)</f>
        <v/>
      </c>
      <c r="K88" s="22"/>
      <c r="L88" s="20"/>
      <c r="M88" s="21" t="str">
        <f>IMAGE("https://images.pokedata.ovh/en/me2-5/110.webp", 1)</f>
        <v/>
      </c>
      <c r="N88" s="22"/>
      <c r="O88" s="20"/>
    </row>
    <row r="89" ht="22.5" customHeight="1">
      <c r="A89" s="23" t="b">
        <v>0</v>
      </c>
      <c r="B89" s="24" t="b">
        <v>0</v>
      </c>
      <c r="C89" s="25" t="str">
        <f>HYPERLINK("https://www.cardmarket.com/en/Pokemon/Products/Singles?idCategory=1&amp;idProduct=me2pt5-106", "CM")</f>
        <v>CM</v>
      </c>
      <c r="D89" s="23" t="b">
        <v>0</v>
      </c>
      <c r="E89" s="24" t="b">
        <v>0</v>
      </c>
      <c r="F89" s="25" t="str">
        <f>HYPERLINK("https://www.cardmarket.com/en/Pokemon/Products/Singles?idCategory=1&amp;idProduct=me2pt5-107", "CM")</f>
        <v>CM</v>
      </c>
      <c r="G89" s="23" t="b">
        <v>0</v>
      </c>
      <c r="H89" s="24" t="b">
        <v>0</v>
      </c>
      <c r="I89" s="25" t="str">
        <f>HYPERLINK("https://www.cardmarket.com/en/Pokemon/Products/Singles?idCategory=1&amp;idProduct=me2pt5-108", "CM")</f>
        <v>CM</v>
      </c>
      <c r="J89" s="23" t="b">
        <v>0</v>
      </c>
      <c r="K89" s="24" t="b">
        <v>0</v>
      </c>
      <c r="L89" s="25" t="str">
        <f>HYPERLINK("https://www.cardmarket.com/en/Pokemon/Products/Singles?idCategory=1&amp;idProduct=me2pt5-109", "CM")</f>
        <v>CM</v>
      </c>
      <c r="M89" s="23" t="b">
        <v>0</v>
      </c>
      <c r="N89" s="24" t="b">
        <v>0</v>
      </c>
      <c r="O89" s="25" t="str">
        <f>HYPERLINK("https://www.cardmarket.com/en/Pokemon/Products/Singles?idCategory=1&amp;idProduct=me2pt5-110", "CM")</f>
        <v>CM</v>
      </c>
    </row>
    <row r="90" ht="7.5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</row>
    <row r="91" ht="18.75" customHeight="1">
      <c r="A91" s="18" t="s">
        <v>647</v>
      </c>
      <c r="B91" s="19" t="s">
        <v>2535</v>
      </c>
      <c r="C91" s="20"/>
      <c r="D91" s="18" t="s">
        <v>649</v>
      </c>
      <c r="E91" s="19" t="s">
        <v>998</v>
      </c>
      <c r="F91" s="20"/>
      <c r="G91" s="18" t="s">
        <v>651</v>
      </c>
      <c r="H91" s="19" t="s">
        <v>2536</v>
      </c>
      <c r="I91" s="20"/>
      <c r="J91" s="18" t="s">
        <v>823</v>
      </c>
      <c r="K91" s="19" t="s">
        <v>2537</v>
      </c>
      <c r="L91" s="20"/>
      <c r="M91" s="18" t="s">
        <v>653</v>
      </c>
      <c r="N91" s="19" t="s">
        <v>2538</v>
      </c>
      <c r="O91" s="20"/>
    </row>
    <row r="92" ht="180.0" customHeight="1">
      <c r="A92" s="21" t="str">
        <f>IMAGE("https://images.pokedata.ovh/en/me2-5/111.webp", 1)</f>
        <v/>
      </c>
      <c r="B92" s="22"/>
      <c r="C92" s="20"/>
      <c r="D92" s="21" t="str">
        <f>IMAGE("https://images.pokedata.ovh/en/me2-5/112.webp", 1)</f>
        <v/>
      </c>
      <c r="E92" s="22"/>
      <c r="F92" s="20"/>
      <c r="G92" s="21" t="str">
        <f>IMAGE("https://images.pokedata.ovh/en/me2-5/113.webp", 1)</f>
        <v/>
      </c>
      <c r="H92" s="22"/>
      <c r="I92" s="20"/>
      <c r="J92" s="21" t="str">
        <f>IMAGE("https://images.pokedata.ovh/en/me2-5/114.webp", 1)</f>
        <v/>
      </c>
      <c r="K92" s="22"/>
      <c r="L92" s="20"/>
      <c r="M92" s="21" t="str">
        <f>IMAGE("https://images.pokedata.ovh/en/me2-5/115.webp", 1)</f>
        <v/>
      </c>
      <c r="N92" s="22"/>
      <c r="O92" s="20"/>
    </row>
    <row r="93" ht="22.5" customHeight="1">
      <c r="A93" s="23" t="b">
        <v>0</v>
      </c>
      <c r="B93" s="24" t="b">
        <v>0</v>
      </c>
      <c r="C93" s="25" t="str">
        <f>HYPERLINK("https://www.cardmarket.com/en/Pokemon/Products/Singles?idCategory=1&amp;idProduct=me2pt5-111", "CM")</f>
        <v>CM</v>
      </c>
      <c r="D93" s="23" t="b">
        <v>0</v>
      </c>
      <c r="E93" s="24" t="b">
        <v>0</v>
      </c>
      <c r="F93" s="25" t="str">
        <f>HYPERLINK("https://www.cardmarket.com/en/Pokemon/Products/Singles?idCategory=1&amp;idProduct=me2pt5-112", "CM")</f>
        <v>CM</v>
      </c>
      <c r="G93" s="23" t="b">
        <v>0</v>
      </c>
      <c r="H93" s="24" t="b">
        <v>0</v>
      </c>
      <c r="I93" s="25" t="str">
        <f>HYPERLINK("https://www.cardmarket.com/en/Pokemon/Products/Singles?idCategory=1&amp;idProduct=me2pt5-113", "CM")</f>
        <v>CM</v>
      </c>
      <c r="J93" s="23" t="b">
        <v>0</v>
      </c>
      <c r="K93" s="24" t="b">
        <v>0</v>
      </c>
      <c r="L93" s="25" t="str">
        <f>HYPERLINK("https://www.cardmarket.com/en/Pokemon/Products/Singles?idCategory=1&amp;idProduct=me2pt5-114", "CM")</f>
        <v>CM</v>
      </c>
      <c r="M93" s="23" t="b">
        <v>0</v>
      </c>
      <c r="N93" s="24" t="b">
        <v>0</v>
      </c>
      <c r="O93" s="25" t="str">
        <f>HYPERLINK("https://www.cardmarket.com/en/Pokemon/Products/Singles?idCategory=1&amp;idProduct=me2pt5-115", "CM")</f>
        <v>CM</v>
      </c>
    </row>
    <row r="94" ht="7.5" customHeigh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</row>
    <row r="95" ht="18.75" customHeight="1">
      <c r="A95" s="18" t="s">
        <v>825</v>
      </c>
      <c r="B95" s="19" t="s">
        <v>2539</v>
      </c>
      <c r="C95" s="20"/>
      <c r="D95" s="18" t="s">
        <v>655</v>
      </c>
      <c r="E95" s="19" t="s">
        <v>2540</v>
      </c>
      <c r="F95" s="20"/>
      <c r="G95" s="18" t="s">
        <v>827</v>
      </c>
      <c r="H95" s="19" t="s">
        <v>2541</v>
      </c>
      <c r="I95" s="20"/>
      <c r="J95" s="18" t="s">
        <v>657</v>
      </c>
      <c r="K95" s="19" t="s">
        <v>2542</v>
      </c>
      <c r="L95" s="20"/>
      <c r="M95" s="18" t="s">
        <v>659</v>
      </c>
      <c r="N95" s="19" t="s">
        <v>2543</v>
      </c>
      <c r="O95" s="20"/>
    </row>
    <row r="96" ht="180.0" customHeight="1">
      <c r="A96" s="21" t="str">
        <f>IMAGE("https://images.pokedata.ovh/en/me2-5/116.webp", 1)</f>
        <v/>
      </c>
      <c r="B96" s="22"/>
      <c r="C96" s="20"/>
      <c r="D96" s="21" t="str">
        <f>IMAGE("https://images.pokedata.ovh/en/me2-5/117.webp", 1)</f>
        <v/>
      </c>
      <c r="E96" s="22"/>
      <c r="F96" s="20"/>
      <c r="G96" s="21" t="str">
        <f>IMAGE("https://images.pokedata.ovh/en/me2-5/118.webp", 1)</f>
        <v/>
      </c>
      <c r="H96" s="22"/>
      <c r="I96" s="20"/>
      <c r="J96" s="21" t="str">
        <f>IMAGE("https://images.pokedata.ovh/en/me2-5/119.webp", 1)</f>
        <v/>
      </c>
      <c r="K96" s="22"/>
      <c r="L96" s="20"/>
      <c r="M96" s="21" t="str">
        <f>IMAGE("https://images.pokedata.ovh/en/me2-5/120.webp", 1)</f>
        <v/>
      </c>
      <c r="N96" s="22"/>
      <c r="O96" s="20"/>
    </row>
    <row r="97" ht="22.5" customHeight="1">
      <c r="A97" s="23" t="b">
        <v>0</v>
      </c>
      <c r="B97" s="24" t="b">
        <v>0</v>
      </c>
      <c r="C97" s="25" t="str">
        <f>HYPERLINK("https://www.cardmarket.com/en/Pokemon/Products/Singles?idCategory=1&amp;idProduct=me2pt5-116", "CM")</f>
        <v>CM</v>
      </c>
      <c r="D97" s="23" t="b">
        <v>0</v>
      </c>
      <c r="E97" s="24" t="b">
        <v>0</v>
      </c>
      <c r="F97" s="25" t="str">
        <f>HYPERLINK("https://www.cardmarket.com/en/Pokemon/Products/Singles?idCategory=1&amp;idProduct=me2pt5-117", "CM")</f>
        <v>CM</v>
      </c>
      <c r="G97" s="23" t="b">
        <v>0</v>
      </c>
      <c r="H97" s="24" t="b">
        <v>0</v>
      </c>
      <c r="I97" s="25" t="str">
        <f>HYPERLINK("https://www.cardmarket.com/en/Pokemon/Products/Singles?idCategory=1&amp;idProduct=me2pt5-118", "CM")</f>
        <v>CM</v>
      </c>
      <c r="J97" s="23" t="b">
        <v>0</v>
      </c>
      <c r="K97" s="24" t="b">
        <v>0</v>
      </c>
      <c r="L97" s="25" t="str">
        <f>HYPERLINK("https://www.cardmarket.com/en/Pokemon/Products/Singles?idCategory=1&amp;idProduct=me2pt5-119", "CM")</f>
        <v>CM</v>
      </c>
      <c r="M97" s="23" t="b">
        <v>0</v>
      </c>
      <c r="N97" s="24" t="b">
        <v>0</v>
      </c>
      <c r="O97" s="25" t="str">
        <f>HYPERLINK("https://www.cardmarket.com/en/Pokemon/Products/Singles?idCategory=1&amp;idProduct=me2pt5-120", "CM")</f>
        <v>CM</v>
      </c>
    </row>
    <row r="98" ht="7.5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</row>
    <row r="99" ht="18.75" customHeight="1">
      <c r="A99" s="18" t="s">
        <v>829</v>
      </c>
      <c r="B99" s="19" t="s">
        <v>2544</v>
      </c>
      <c r="C99" s="20"/>
      <c r="D99" s="18" t="s">
        <v>830</v>
      </c>
      <c r="E99" s="19" t="s">
        <v>2545</v>
      </c>
      <c r="F99" s="20"/>
      <c r="G99" s="18" t="s">
        <v>831</v>
      </c>
      <c r="H99" s="19" t="s">
        <v>2546</v>
      </c>
      <c r="I99" s="20"/>
      <c r="J99" s="18" t="s">
        <v>833</v>
      </c>
      <c r="K99" s="19" t="s">
        <v>2547</v>
      </c>
      <c r="L99" s="20"/>
      <c r="M99" s="18" t="s">
        <v>661</v>
      </c>
      <c r="N99" s="19" t="s">
        <v>2548</v>
      </c>
      <c r="O99" s="20"/>
    </row>
    <row r="100" ht="180.0" customHeight="1">
      <c r="A100" s="21" t="str">
        <f>IMAGE("https://images.pokedata.ovh/en/me2-5/121.webp", 1)</f>
        <v/>
      </c>
      <c r="B100" s="22"/>
      <c r="C100" s="20"/>
      <c r="D100" s="21" t="str">
        <f>IMAGE("https://images.pokedata.ovh/en/me2-5/122.webp", 1)</f>
        <v/>
      </c>
      <c r="E100" s="22"/>
      <c r="F100" s="20"/>
      <c r="G100" s="21" t="str">
        <f>IMAGE("https://images.pokedata.ovh/en/me2-5/123.webp", 1)</f>
        <v/>
      </c>
      <c r="H100" s="22"/>
      <c r="I100" s="20"/>
      <c r="J100" s="21" t="str">
        <f>IMAGE("https://images.pokedata.ovh/en/me2-5/124.webp", 1)</f>
        <v/>
      </c>
      <c r="K100" s="22"/>
      <c r="L100" s="20"/>
      <c r="M100" s="21" t="str">
        <f>IMAGE("https://images.pokedata.ovh/en/me2-5/125.webp", 1)</f>
        <v/>
      </c>
      <c r="N100" s="22"/>
      <c r="O100" s="20"/>
    </row>
    <row r="101" ht="22.5" customHeight="1">
      <c r="A101" s="23" t="b">
        <v>0</v>
      </c>
      <c r="B101" s="24" t="b">
        <v>0</v>
      </c>
      <c r="C101" s="25" t="str">
        <f>HYPERLINK("https://www.cardmarket.com/en/Pokemon/Products/Singles?idCategory=1&amp;idProduct=me2pt5-121", "CM")</f>
        <v>CM</v>
      </c>
      <c r="D101" s="23" t="b">
        <v>0</v>
      </c>
      <c r="E101" s="24" t="b">
        <v>0</v>
      </c>
      <c r="F101" s="25" t="str">
        <f>HYPERLINK("https://www.cardmarket.com/en/Pokemon/Products/Singles?idCategory=1&amp;idProduct=me2pt5-122", "CM")</f>
        <v>CM</v>
      </c>
      <c r="G101" s="23" t="b">
        <v>0</v>
      </c>
      <c r="H101" s="24" t="b">
        <v>0</v>
      </c>
      <c r="I101" s="25" t="str">
        <f>HYPERLINK("https://www.cardmarket.com/en/Pokemon/Products/Singles?idCategory=1&amp;idProduct=me2pt5-123", "CM")</f>
        <v>CM</v>
      </c>
      <c r="J101" s="23" t="b">
        <v>0</v>
      </c>
      <c r="K101" s="24" t="b">
        <v>0</v>
      </c>
      <c r="L101" s="25" t="str">
        <f>HYPERLINK("https://www.cardmarket.com/en/Pokemon/Products/Singles?idCategory=1&amp;idProduct=me2pt5-124", "CM")</f>
        <v>CM</v>
      </c>
      <c r="M101" s="23" t="b">
        <v>0</v>
      </c>
      <c r="N101" s="24" t="b">
        <v>0</v>
      </c>
      <c r="O101" s="25" t="str">
        <f>HYPERLINK("https://www.cardmarket.com/en/Pokemon/Products/Singles?idCategory=1&amp;idProduct=me2pt5-125", "CM")</f>
        <v>CM</v>
      </c>
    </row>
    <row r="102" ht="7.5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</row>
    <row r="103" ht="18.75" customHeight="1">
      <c r="A103" s="18" t="s">
        <v>835</v>
      </c>
      <c r="B103" s="19" t="s">
        <v>2549</v>
      </c>
      <c r="C103" s="20"/>
      <c r="D103" s="18" t="s">
        <v>662</v>
      </c>
      <c r="E103" s="19" t="s">
        <v>2550</v>
      </c>
      <c r="F103" s="20"/>
      <c r="G103" s="18" t="s">
        <v>837</v>
      </c>
      <c r="H103" s="19" t="s">
        <v>1123</v>
      </c>
      <c r="I103" s="20"/>
      <c r="J103" s="18" t="s">
        <v>839</v>
      </c>
      <c r="K103" s="19" t="s">
        <v>2551</v>
      </c>
      <c r="L103" s="20"/>
      <c r="M103" s="18" t="s">
        <v>841</v>
      </c>
      <c r="N103" s="19" t="s">
        <v>2552</v>
      </c>
      <c r="O103" s="20"/>
    </row>
    <row r="104" ht="180.0" customHeight="1">
      <c r="A104" s="21" t="str">
        <f>IMAGE("https://images.pokedata.ovh/en/me2-5/126.webp", 1)</f>
        <v/>
      </c>
      <c r="B104" s="22"/>
      <c r="C104" s="20"/>
      <c r="D104" s="21" t="str">
        <f>IMAGE("https://images.pokedata.ovh/en/me2-5/127.webp", 1)</f>
        <v/>
      </c>
      <c r="E104" s="22"/>
      <c r="F104" s="20"/>
      <c r="G104" s="21" t="str">
        <f>IMAGE("https://images.pokedata.ovh/en/me2-5/128.webp", 1)</f>
        <v/>
      </c>
      <c r="H104" s="22"/>
      <c r="I104" s="20"/>
      <c r="J104" s="21" t="str">
        <f>IMAGE("https://images.pokedata.ovh/en/me2-5/129.webp", 1)</f>
        <v/>
      </c>
      <c r="K104" s="22"/>
      <c r="L104" s="20"/>
      <c r="M104" s="21" t="str">
        <f>IMAGE("https://images.pokedata.ovh/en/me2-5/130.webp", 1)</f>
        <v/>
      </c>
      <c r="N104" s="22"/>
      <c r="O104" s="20"/>
    </row>
    <row r="105" ht="22.5" customHeight="1">
      <c r="A105" s="23" t="b">
        <v>0</v>
      </c>
      <c r="B105" s="24" t="b">
        <v>0</v>
      </c>
      <c r="C105" s="25" t="str">
        <f>HYPERLINK("https://www.cardmarket.com/en/Pokemon/Products/Singles?idCategory=1&amp;idProduct=me2pt5-126", "CM")</f>
        <v>CM</v>
      </c>
      <c r="D105" s="23" t="b">
        <v>0</v>
      </c>
      <c r="E105" s="24" t="b">
        <v>0</v>
      </c>
      <c r="F105" s="25" t="str">
        <f>HYPERLINK("https://www.cardmarket.com/en/Pokemon/Products/Singles?idCategory=1&amp;idProduct=me2pt5-127", "CM")</f>
        <v>CM</v>
      </c>
      <c r="G105" s="23" t="b">
        <v>0</v>
      </c>
      <c r="H105" s="24" t="b">
        <v>0</v>
      </c>
      <c r="I105" s="25" t="str">
        <f>HYPERLINK("https://www.cardmarket.com/en/Pokemon/Products/Singles?idCategory=1&amp;idProduct=me2pt5-128", "CM")</f>
        <v>CM</v>
      </c>
      <c r="J105" s="23" t="b">
        <v>0</v>
      </c>
      <c r="K105" s="24" t="b">
        <v>0</v>
      </c>
      <c r="L105" s="25" t="str">
        <f>HYPERLINK("https://www.cardmarket.com/en/Pokemon/Products/Singles?idCategory=1&amp;idProduct=me2pt5-129", "CM")</f>
        <v>CM</v>
      </c>
      <c r="M105" s="23" t="b">
        <v>0</v>
      </c>
      <c r="N105" s="24" t="b">
        <v>0</v>
      </c>
      <c r="O105" s="25" t="str">
        <f>HYPERLINK("https://www.cardmarket.com/en/Pokemon/Products/Singles?idCategory=1&amp;idProduct=me2pt5-130", "CM")</f>
        <v>CM</v>
      </c>
    </row>
    <row r="106" ht="7.5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</row>
    <row r="107" ht="18.75" customHeight="1">
      <c r="A107" s="18" t="s">
        <v>842</v>
      </c>
      <c r="B107" s="19" t="s">
        <v>2553</v>
      </c>
      <c r="C107" s="20"/>
      <c r="D107" s="18" t="s">
        <v>844</v>
      </c>
      <c r="E107" s="19" t="s">
        <v>2554</v>
      </c>
      <c r="F107" s="20"/>
      <c r="G107" s="18" t="s">
        <v>664</v>
      </c>
      <c r="H107" s="19" t="s">
        <v>2555</v>
      </c>
      <c r="I107" s="20"/>
      <c r="J107" s="18" t="s">
        <v>666</v>
      </c>
      <c r="K107" s="19" t="s">
        <v>2556</v>
      </c>
      <c r="L107" s="20"/>
      <c r="M107" s="18" t="s">
        <v>845</v>
      </c>
      <c r="N107" s="19" t="s">
        <v>2557</v>
      </c>
      <c r="O107" s="20"/>
    </row>
    <row r="108" ht="180.0" customHeight="1">
      <c r="A108" s="21" t="str">
        <f>IMAGE("https://images.pokedata.ovh/en/me2-5/131.webp", 1)</f>
        <v/>
      </c>
      <c r="B108" s="22"/>
      <c r="C108" s="20"/>
      <c r="D108" s="21" t="str">
        <f>IMAGE("https://images.pokedata.ovh/en/me2-5/132.webp", 1)</f>
        <v/>
      </c>
      <c r="E108" s="22"/>
      <c r="F108" s="20"/>
      <c r="G108" s="21" t="str">
        <f>IMAGE("https://images.pokedata.ovh/en/me2-5/133.webp", 1)</f>
        <v/>
      </c>
      <c r="H108" s="22"/>
      <c r="I108" s="20"/>
      <c r="J108" s="21" t="str">
        <f>IMAGE("https://images.pokedata.ovh/en/me2-5/134.webp", 1)</f>
        <v/>
      </c>
      <c r="K108" s="22"/>
      <c r="L108" s="20"/>
      <c r="M108" s="21" t="str">
        <f>IMAGE("https://images.pokedata.ovh/en/me2-5/135.webp", 1)</f>
        <v/>
      </c>
      <c r="N108" s="22"/>
      <c r="O108" s="20"/>
    </row>
    <row r="109" ht="22.5" customHeight="1">
      <c r="A109" s="23" t="b">
        <v>0</v>
      </c>
      <c r="B109" s="24" t="b">
        <v>0</v>
      </c>
      <c r="C109" s="25" t="str">
        <f>HYPERLINK("https://www.cardmarket.com/en/Pokemon/Products/Singles?idCategory=1&amp;idProduct=me2pt5-131", "CM")</f>
        <v>CM</v>
      </c>
      <c r="D109" s="23" t="b">
        <v>0</v>
      </c>
      <c r="E109" s="24" t="b">
        <v>0</v>
      </c>
      <c r="F109" s="25" t="str">
        <f>HYPERLINK("https://www.cardmarket.com/en/Pokemon/Products/Singles?idCategory=1&amp;idProduct=me2pt5-132", "CM")</f>
        <v>CM</v>
      </c>
      <c r="G109" s="23" t="b">
        <v>0</v>
      </c>
      <c r="H109" s="24" t="b">
        <v>0</v>
      </c>
      <c r="I109" s="25" t="str">
        <f>HYPERLINK("https://www.cardmarket.com/en/Pokemon/Products/Singles?idCategory=1&amp;idProduct=me2pt5-133", "CM")</f>
        <v>CM</v>
      </c>
      <c r="J109" s="23" t="b">
        <v>0</v>
      </c>
      <c r="K109" s="24" t="b">
        <v>0</v>
      </c>
      <c r="L109" s="25" t="str">
        <f>HYPERLINK("https://www.cardmarket.com/en/Pokemon/Products/Singles?idCategory=1&amp;idProduct=me2pt5-134", "CM")</f>
        <v>CM</v>
      </c>
      <c r="M109" s="23" t="b">
        <v>0</v>
      </c>
      <c r="N109" s="24" t="b">
        <v>0</v>
      </c>
      <c r="O109" s="25" t="str">
        <f>HYPERLINK("https://www.cardmarket.com/en/Pokemon/Products/Singles?idCategory=1&amp;idProduct=me2pt5-135", "CM")</f>
        <v>CM</v>
      </c>
    </row>
    <row r="110" ht="7.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</row>
    <row r="111" ht="18.75" customHeight="1">
      <c r="A111" s="18" t="s">
        <v>668</v>
      </c>
      <c r="B111" s="19" t="s">
        <v>2558</v>
      </c>
      <c r="C111" s="20"/>
      <c r="D111" s="18" t="s">
        <v>670</v>
      </c>
      <c r="E111" s="19" t="s">
        <v>2559</v>
      </c>
      <c r="F111" s="20"/>
      <c r="G111" s="18" t="s">
        <v>672</v>
      </c>
      <c r="H111" s="19" t="s">
        <v>2560</v>
      </c>
      <c r="I111" s="20"/>
      <c r="J111" s="18" t="s">
        <v>674</v>
      </c>
      <c r="K111" s="19" t="s">
        <v>2561</v>
      </c>
      <c r="L111" s="20"/>
      <c r="M111" s="18" t="s">
        <v>847</v>
      </c>
      <c r="N111" s="19" t="s">
        <v>2562</v>
      </c>
      <c r="O111" s="20"/>
    </row>
    <row r="112" ht="180.0" customHeight="1">
      <c r="A112" s="21" t="str">
        <f>IMAGE("https://images.pokedata.ovh/en/me2-5/136.webp", 1)</f>
        <v/>
      </c>
      <c r="B112" s="22"/>
      <c r="C112" s="20"/>
      <c r="D112" s="21" t="str">
        <f>IMAGE("https://images.pokedata.ovh/en/me2-5/137.webp", 1)</f>
        <v/>
      </c>
      <c r="E112" s="22"/>
      <c r="F112" s="20"/>
      <c r="G112" s="21" t="str">
        <f>IMAGE("https://images.pokedata.ovh/en/me2-5/138.webp", 1)</f>
        <v/>
      </c>
      <c r="H112" s="22"/>
      <c r="I112" s="20"/>
      <c r="J112" s="21" t="str">
        <f>IMAGE("https://images.pokedata.ovh/en/me2-5/139.webp", 1)</f>
        <v/>
      </c>
      <c r="K112" s="22"/>
      <c r="L112" s="20"/>
      <c r="M112" s="21" t="str">
        <f>IMAGE("https://images.pokedata.ovh/en/me2-5/140.webp", 1)</f>
        <v/>
      </c>
      <c r="N112" s="22"/>
      <c r="O112" s="20"/>
    </row>
    <row r="113" ht="22.5" customHeight="1">
      <c r="A113" s="23" t="b">
        <v>0</v>
      </c>
      <c r="B113" s="24" t="b">
        <v>0</v>
      </c>
      <c r="C113" s="25" t="str">
        <f>HYPERLINK("https://www.cardmarket.com/en/Pokemon/Products/Singles?idCategory=1&amp;idProduct=me2pt5-136", "CM")</f>
        <v>CM</v>
      </c>
      <c r="D113" s="23" t="b">
        <v>0</v>
      </c>
      <c r="E113" s="24" t="b">
        <v>0</v>
      </c>
      <c r="F113" s="25" t="str">
        <f>HYPERLINK("https://www.cardmarket.com/en/Pokemon/Products/Singles?idCategory=1&amp;idProduct=me2pt5-137", "CM")</f>
        <v>CM</v>
      </c>
      <c r="G113" s="23" t="b">
        <v>0</v>
      </c>
      <c r="H113" s="24" t="b">
        <v>0</v>
      </c>
      <c r="I113" s="25" t="str">
        <f>HYPERLINK("https://www.cardmarket.com/en/Pokemon/Products/Singles?idCategory=1&amp;idProduct=me2pt5-138", "CM")</f>
        <v>CM</v>
      </c>
      <c r="J113" s="23" t="b">
        <v>0</v>
      </c>
      <c r="K113" s="24" t="b">
        <v>0</v>
      </c>
      <c r="L113" s="25" t="str">
        <f>HYPERLINK("https://www.cardmarket.com/en/Pokemon/Products/Singles?idCategory=1&amp;idProduct=me2pt5-139", "CM")</f>
        <v>CM</v>
      </c>
      <c r="M113" s="23" t="b">
        <v>0</v>
      </c>
      <c r="N113" s="24" t="b">
        <v>0</v>
      </c>
      <c r="O113" s="25" t="str">
        <f>HYPERLINK("https://www.cardmarket.com/en/Pokemon/Products/Singles?idCategory=1&amp;idProduct=me2pt5-140", "CM")</f>
        <v>CM</v>
      </c>
    </row>
    <row r="114" ht="7.5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</row>
    <row r="115" ht="18.75" customHeight="1">
      <c r="A115" s="18" t="s">
        <v>848</v>
      </c>
      <c r="B115" s="19" t="s">
        <v>935</v>
      </c>
      <c r="C115" s="20"/>
      <c r="D115" s="18" t="s">
        <v>676</v>
      </c>
      <c r="E115" s="19" t="s">
        <v>2563</v>
      </c>
      <c r="F115" s="20"/>
      <c r="G115" s="18" t="s">
        <v>678</v>
      </c>
      <c r="H115" s="19" t="s">
        <v>2564</v>
      </c>
      <c r="I115" s="20"/>
      <c r="J115" s="18" t="s">
        <v>679</v>
      </c>
      <c r="K115" s="19" t="s">
        <v>2565</v>
      </c>
      <c r="L115" s="20"/>
      <c r="M115" s="18" t="s">
        <v>850</v>
      </c>
      <c r="N115" s="19" t="s">
        <v>2566</v>
      </c>
      <c r="O115" s="20"/>
    </row>
    <row r="116" ht="180.0" customHeight="1">
      <c r="A116" s="21" t="str">
        <f>IMAGE("https://images.pokedata.ovh/en/me2-5/141.webp", 1)</f>
        <v/>
      </c>
      <c r="B116" s="22"/>
      <c r="C116" s="20"/>
      <c r="D116" s="21" t="str">
        <f>IMAGE("https://images.pokedata.ovh/en/me2-5/142.webp", 1)</f>
        <v/>
      </c>
      <c r="E116" s="22"/>
      <c r="F116" s="20"/>
      <c r="G116" s="21" t="str">
        <f>IMAGE("https://images.pokedata.ovh/en/me2-5/143.webp", 1)</f>
        <v/>
      </c>
      <c r="H116" s="22"/>
      <c r="I116" s="20"/>
      <c r="J116" s="21" t="str">
        <f>IMAGE("https://images.pokedata.ovh/en/me2-5/144.webp", 1)</f>
        <v/>
      </c>
      <c r="K116" s="22"/>
      <c r="L116" s="20"/>
      <c r="M116" s="21" t="str">
        <f>IMAGE("https://images.pokedata.ovh/en/me2-5/145.webp", 1)</f>
        <v/>
      </c>
      <c r="N116" s="22"/>
      <c r="O116" s="20"/>
    </row>
    <row r="117" ht="22.5" customHeight="1">
      <c r="A117" s="23" t="b">
        <v>0</v>
      </c>
      <c r="B117" s="24" t="b">
        <v>0</v>
      </c>
      <c r="C117" s="25" t="str">
        <f>HYPERLINK("https://www.cardmarket.com/en/Pokemon/Products/Singles?idCategory=1&amp;idProduct=me2pt5-141", "CM")</f>
        <v>CM</v>
      </c>
      <c r="D117" s="23" t="b">
        <v>0</v>
      </c>
      <c r="E117" s="24" t="b">
        <v>0</v>
      </c>
      <c r="F117" s="25" t="str">
        <f>HYPERLINK("https://www.cardmarket.com/en/Pokemon/Products/Singles?idCategory=1&amp;idProduct=me2pt5-142", "CM")</f>
        <v>CM</v>
      </c>
      <c r="G117" s="23" t="b">
        <v>0</v>
      </c>
      <c r="H117" s="24" t="b">
        <v>0</v>
      </c>
      <c r="I117" s="25" t="str">
        <f>HYPERLINK("https://www.cardmarket.com/en/Pokemon/Products/Singles?idCategory=1&amp;idProduct=me2pt5-143", "CM")</f>
        <v>CM</v>
      </c>
      <c r="J117" s="23" t="b">
        <v>0</v>
      </c>
      <c r="K117" s="24" t="b">
        <v>0</v>
      </c>
      <c r="L117" s="25" t="str">
        <f>HYPERLINK("https://www.cardmarket.com/en/Pokemon/Products/Singles?idCategory=1&amp;idProduct=me2pt5-144", "CM")</f>
        <v>CM</v>
      </c>
      <c r="M117" s="23" t="b">
        <v>0</v>
      </c>
      <c r="N117" s="24" t="b">
        <v>0</v>
      </c>
      <c r="O117" s="25" t="str">
        <f>HYPERLINK("https://www.cardmarket.com/en/Pokemon/Products/Singles?idCategory=1&amp;idProduct=me2pt5-145", "CM")</f>
        <v>CM</v>
      </c>
    </row>
    <row r="118" ht="7.5" customHeigh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</row>
    <row r="119" ht="18.75" customHeight="1">
      <c r="A119" s="18" t="s">
        <v>681</v>
      </c>
      <c r="B119" s="19" t="s">
        <v>2567</v>
      </c>
      <c r="C119" s="20"/>
      <c r="D119" s="18" t="s">
        <v>683</v>
      </c>
      <c r="E119" s="19" t="s">
        <v>2568</v>
      </c>
      <c r="F119" s="20"/>
      <c r="G119" s="18" t="s">
        <v>685</v>
      </c>
      <c r="H119" s="19" t="s">
        <v>2569</v>
      </c>
      <c r="I119" s="20"/>
      <c r="J119" s="18" t="s">
        <v>852</v>
      </c>
      <c r="K119" s="19" t="s">
        <v>2570</v>
      </c>
      <c r="L119" s="20"/>
      <c r="M119" s="18" t="s">
        <v>686</v>
      </c>
      <c r="N119" s="19" t="s">
        <v>1445</v>
      </c>
      <c r="O119" s="20"/>
    </row>
    <row r="120" ht="180.0" customHeight="1">
      <c r="A120" s="21" t="str">
        <f>IMAGE("https://images.pokedata.ovh/en/me2-5/146.webp", 1)</f>
        <v/>
      </c>
      <c r="B120" s="22"/>
      <c r="C120" s="20"/>
      <c r="D120" s="21" t="str">
        <f>IMAGE("https://images.pokedata.ovh/en/me2-5/147.webp", 1)</f>
        <v/>
      </c>
      <c r="E120" s="22"/>
      <c r="F120" s="20"/>
      <c r="G120" s="21" t="str">
        <f>IMAGE("https://images.pokedata.ovh/en/me2-5/148.webp", 1)</f>
        <v/>
      </c>
      <c r="H120" s="22"/>
      <c r="I120" s="20"/>
      <c r="J120" s="21" t="str">
        <f>IMAGE("https://images.pokedata.ovh/en/me2-5/149.webp", 1)</f>
        <v/>
      </c>
      <c r="K120" s="22"/>
      <c r="L120" s="20"/>
      <c r="M120" s="21" t="str">
        <f>IMAGE("https://images.pokedata.ovh/en/me2-5/150.webp", 1)</f>
        <v/>
      </c>
      <c r="N120" s="22"/>
      <c r="O120" s="20"/>
    </row>
    <row r="121" ht="22.5" customHeight="1">
      <c r="A121" s="23" t="b">
        <v>0</v>
      </c>
      <c r="B121" s="24" t="b">
        <v>0</v>
      </c>
      <c r="C121" s="25" t="str">
        <f>HYPERLINK("https://www.cardmarket.com/en/Pokemon/Products/Singles?idCategory=1&amp;idProduct=me2pt5-146", "CM")</f>
        <v>CM</v>
      </c>
      <c r="D121" s="23" t="b">
        <v>0</v>
      </c>
      <c r="E121" s="24" t="b">
        <v>0</v>
      </c>
      <c r="F121" s="25" t="str">
        <f>HYPERLINK("https://www.cardmarket.com/en/Pokemon/Products/Singles?idCategory=1&amp;idProduct=me2pt5-147", "CM")</f>
        <v>CM</v>
      </c>
      <c r="G121" s="23" t="b">
        <v>0</v>
      </c>
      <c r="H121" s="24" t="b">
        <v>0</v>
      </c>
      <c r="I121" s="25" t="str">
        <f>HYPERLINK("https://www.cardmarket.com/en/Pokemon/Products/Singles?idCategory=1&amp;idProduct=me2pt5-148", "CM")</f>
        <v>CM</v>
      </c>
      <c r="J121" s="23" t="b">
        <v>0</v>
      </c>
      <c r="K121" s="24" t="b">
        <v>0</v>
      </c>
      <c r="L121" s="25" t="str">
        <f>HYPERLINK("https://www.cardmarket.com/en/Pokemon/Products/Singles?idCategory=1&amp;idProduct=me2pt5-149", "CM")</f>
        <v>CM</v>
      </c>
      <c r="M121" s="23" t="b">
        <v>0</v>
      </c>
      <c r="N121" s="24" t="b">
        <v>0</v>
      </c>
      <c r="O121" s="25" t="str">
        <f>HYPERLINK("https://www.cardmarket.com/en/Pokemon/Products/Singles?idCategory=1&amp;idProduct=me2pt5-150", "CM")</f>
        <v>CM</v>
      </c>
    </row>
    <row r="122" ht="7.5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</row>
    <row r="123" ht="18.75" customHeight="1">
      <c r="A123" s="18" t="s">
        <v>853</v>
      </c>
      <c r="B123" s="19" t="s">
        <v>2571</v>
      </c>
      <c r="C123" s="20"/>
      <c r="D123" s="18" t="s">
        <v>855</v>
      </c>
      <c r="E123" s="19" t="s">
        <v>2572</v>
      </c>
      <c r="F123" s="20"/>
      <c r="G123" s="18" t="s">
        <v>687</v>
      </c>
      <c r="H123" s="19" t="s">
        <v>2573</v>
      </c>
      <c r="I123" s="20"/>
      <c r="J123" s="18" t="s">
        <v>689</v>
      </c>
      <c r="K123" s="19" t="s">
        <v>2574</v>
      </c>
      <c r="L123" s="20"/>
      <c r="M123" s="18" t="s">
        <v>691</v>
      </c>
      <c r="N123" s="19" t="s">
        <v>2575</v>
      </c>
      <c r="O123" s="20"/>
    </row>
    <row r="124" ht="180.0" customHeight="1">
      <c r="A124" s="21" t="str">
        <f>IMAGE("https://images.pokedata.ovh/en/me2-5/151.webp", 1)</f>
        <v/>
      </c>
      <c r="B124" s="22"/>
      <c r="C124" s="20"/>
      <c r="D124" s="21" t="str">
        <f>IMAGE("https://images.pokedata.ovh/en/me2-5/152.webp", 1)</f>
        <v/>
      </c>
      <c r="E124" s="22"/>
      <c r="F124" s="20"/>
      <c r="G124" s="21" t="str">
        <f>IMAGE("https://images.pokedata.ovh/en/me2-5/153.webp", 1)</f>
        <v/>
      </c>
      <c r="H124" s="22"/>
      <c r="I124" s="20"/>
      <c r="J124" s="21" t="str">
        <f>IMAGE("https://images.pokedata.ovh/en/me2-5/154.webp", 1)</f>
        <v/>
      </c>
      <c r="K124" s="22"/>
      <c r="L124" s="20"/>
      <c r="M124" s="21" t="str">
        <f>IMAGE("https://images.pokedata.ovh/en/me2-5/155.webp", 1)</f>
        <v/>
      </c>
      <c r="N124" s="22"/>
      <c r="O124" s="20"/>
    </row>
    <row r="125" ht="22.5" customHeight="1">
      <c r="A125" s="23" t="b">
        <v>0</v>
      </c>
      <c r="B125" s="24" t="b">
        <v>0</v>
      </c>
      <c r="C125" s="25" t="str">
        <f>HYPERLINK("https://www.cardmarket.com/en/Pokemon/Products/Singles?idCategory=1&amp;idProduct=me2pt5-151", "CM")</f>
        <v>CM</v>
      </c>
      <c r="D125" s="23" t="b">
        <v>0</v>
      </c>
      <c r="E125" s="24" t="b">
        <v>0</v>
      </c>
      <c r="F125" s="25" t="str">
        <f>HYPERLINK("https://www.cardmarket.com/en/Pokemon/Products/Singles?idCategory=1&amp;idProduct=me2pt5-152", "CM")</f>
        <v>CM</v>
      </c>
      <c r="G125" s="23" t="b">
        <v>0</v>
      </c>
      <c r="H125" s="24" t="b">
        <v>0</v>
      </c>
      <c r="I125" s="25" t="str">
        <f>HYPERLINK("https://www.cardmarket.com/en/Pokemon/Products/Singles?idCategory=1&amp;idProduct=me2pt5-153", "CM")</f>
        <v>CM</v>
      </c>
      <c r="J125" s="23" t="b">
        <v>0</v>
      </c>
      <c r="K125" s="24" t="b">
        <v>0</v>
      </c>
      <c r="L125" s="25" t="str">
        <f>HYPERLINK("https://www.cardmarket.com/en/Pokemon/Products/Singles?idCategory=1&amp;idProduct=me2pt5-154", "CM")</f>
        <v>CM</v>
      </c>
      <c r="M125" s="23" t="b">
        <v>0</v>
      </c>
      <c r="N125" s="24" t="b">
        <v>0</v>
      </c>
      <c r="O125" s="25" t="str">
        <f>HYPERLINK("https://www.cardmarket.com/en/Pokemon/Products/Singles?idCategory=1&amp;idProduct=me2pt5-155", "CM")</f>
        <v>CM</v>
      </c>
    </row>
    <row r="126" ht="7.5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</row>
    <row r="127" ht="18.75" customHeight="1">
      <c r="A127" s="18" t="s">
        <v>857</v>
      </c>
      <c r="B127" s="19" t="s">
        <v>2576</v>
      </c>
      <c r="C127" s="20"/>
      <c r="D127" s="18" t="s">
        <v>859</v>
      </c>
      <c r="E127" s="19" t="s">
        <v>2577</v>
      </c>
      <c r="F127" s="20"/>
      <c r="G127" s="18" t="s">
        <v>693</v>
      </c>
      <c r="H127" s="19" t="s">
        <v>2578</v>
      </c>
      <c r="I127" s="20"/>
      <c r="J127" s="18" t="s">
        <v>861</v>
      </c>
      <c r="K127" s="19" t="s">
        <v>2579</v>
      </c>
      <c r="L127" s="20"/>
      <c r="M127" s="18" t="s">
        <v>695</v>
      </c>
      <c r="N127" s="19" t="s">
        <v>2580</v>
      </c>
      <c r="O127" s="20"/>
    </row>
    <row r="128" ht="180.0" customHeight="1">
      <c r="A128" s="21" t="str">
        <f>IMAGE("https://images.pokedata.ovh/en/me2-5/156.webp", 1)</f>
        <v/>
      </c>
      <c r="B128" s="22"/>
      <c r="C128" s="20"/>
      <c r="D128" s="21" t="str">
        <f>IMAGE("https://images.pokedata.ovh/en/me2-5/157.webp", 1)</f>
        <v/>
      </c>
      <c r="E128" s="22"/>
      <c r="F128" s="20"/>
      <c r="G128" s="21" t="str">
        <f>IMAGE("https://images.pokedata.ovh/en/me2-5/158.webp", 1)</f>
        <v/>
      </c>
      <c r="H128" s="22"/>
      <c r="I128" s="20"/>
      <c r="J128" s="21" t="str">
        <f>IMAGE("https://images.pokedata.ovh/en/me2-5/159.webp", 1)</f>
        <v/>
      </c>
      <c r="K128" s="22"/>
      <c r="L128" s="20"/>
      <c r="M128" s="21" t="str">
        <f>IMAGE("https://images.pokedata.ovh/en/me2-5/160.webp", 1)</f>
        <v/>
      </c>
      <c r="N128" s="22"/>
      <c r="O128" s="20"/>
    </row>
    <row r="129" ht="22.5" customHeight="1">
      <c r="A129" s="23" t="b">
        <v>0</v>
      </c>
      <c r="B129" s="24" t="b">
        <v>0</v>
      </c>
      <c r="C129" s="25" t="str">
        <f>HYPERLINK("https://www.cardmarket.com/en/Pokemon/Products/Singles?idCategory=1&amp;idProduct=me2pt5-156", "CM")</f>
        <v>CM</v>
      </c>
      <c r="D129" s="23" t="b">
        <v>0</v>
      </c>
      <c r="E129" s="24" t="b">
        <v>0</v>
      </c>
      <c r="F129" s="25" t="str">
        <f>HYPERLINK("https://www.cardmarket.com/en/Pokemon/Products/Singles?idCategory=1&amp;idProduct=me2pt5-157", "CM")</f>
        <v>CM</v>
      </c>
      <c r="G129" s="23" t="b">
        <v>0</v>
      </c>
      <c r="H129" s="24" t="b">
        <v>0</v>
      </c>
      <c r="I129" s="25" t="str">
        <f>HYPERLINK("https://www.cardmarket.com/en/Pokemon/Products/Singles?idCategory=1&amp;idProduct=me2pt5-158", "CM")</f>
        <v>CM</v>
      </c>
      <c r="J129" s="23" t="b">
        <v>0</v>
      </c>
      <c r="K129" s="24" t="b">
        <v>0</v>
      </c>
      <c r="L129" s="25" t="str">
        <f>HYPERLINK("https://www.cardmarket.com/en/Pokemon/Products/Singles?idCategory=1&amp;idProduct=me2pt5-159", "CM")</f>
        <v>CM</v>
      </c>
      <c r="M129" s="23" t="b">
        <v>0</v>
      </c>
      <c r="N129" s="24" t="b">
        <v>0</v>
      </c>
      <c r="O129" s="25" t="str">
        <f>HYPERLINK("https://www.cardmarket.com/en/Pokemon/Products/Singles?idCategory=1&amp;idProduct=me2pt5-160", "CM")</f>
        <v>CM</v>
      </c>
    </row>
    <row r="130" ht="7.5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</row>
    <row r="131" ht="18.75" customHeight="1">
      <c r="A131" s="18" t="s">
        <v>862</v>
      </c>
      <c r="B131" s="19" t="s">
        <v>2581</v>
      </c>
      <c r="C131" s="20"/>
      <c r="D131" s="18" t="s">
        <v>697</v>
      </c>
      <c r="E131" s="19" t="s">
        <v>2582</v>
      </c>
      <c r="F131" s="20"/>
      <c r="G131" s="18" t="s">
        <v>863</v>
      </c>
      <c r="H131" s="19" t="s">
        <v>2583</v>
      </c>
      <c r="I131" s="20"/>
      <c r="J131" s="18" t="s">
        <v>865</v>
      </c>
      <c r="K131" s="19" t="s">
        <v>2584</v>
      </c>
      <c r="L131" s="20"/>
      <c r="M131" s="18" t="s">
        <v>867</v>
      </c>
      <c r="N131" s="19" t="s">
        <v>2585</v>
      </c>
      <c r="O131" s="20"/>
    </row>
    <row r="132" ht="180.0" customHeight="1">
      <c r="A132" s="21" t="str">
        <f>IMAGE("https://images.pokedata.ovh/en/me2-5/161.webp", 1)</f>
        <v/>
      </c>
      <c r="B132" s="22"/>
      <c r="C132" s="20"/>
      <c r="D132" s="21" t="str">
        <f>IMAGE("https://images.pokedata.ovh/en/me2-5/162.webp", 1)</f>
        <v/>
      </c>
      <c r="E132" s="22"/>
      <c r="F132" s="20"/>
      <c r="G132" s="21" t="str">
        <f>IMAGE("https://images.pokedata.ovh/en/me2-5/163.webp", 1)</f>
        <v/>
      </c>
      <c r="H132" s="22"/>
      <c r="I132" s="20"/>
      <c r="J132" s="21" t="str">
        <f>IMAGE("https://images.pokedata.ovh/en/me2-5/164.webp", 1)</f>
        <v/>
      </c>
      <c r="K132" s="22"/>
      <c r="L132" s="20"/>
      <c r="M132" s="21" t="str">
        <f>IMAGE("https://images.pokedata.ovh/en/me2-5/165.webp", 1)</f>
        <v/>
      </c>
      <c r="N132" s="22"/>
      <c r="O132" s="20"/>
    </row>
    <row r="133" ht="22.5" customHeight="1">
      <c r="A133" s="23" t="b">
        <v>0</v>
      </c>
      <c r="B133" s="24" t="b">
        <v>0</v>
      </c>
      <c r="C133" s="25" t="str">
        <f>HYPERLINK("https://www.cardmarket.com/en/Pokemon/Products/Singles?idCategory=1&amp;idProduct=me2pt5-161", "CM")</f>
        <v>CM</v>
      </c>
      <c r="D133" s="23" t="b">
        <v>0</v>
      </c>
      <c r="E133" s="24" t="b">
        <v>0</v>
      </c>
      <c r="F133" s="25" t="str">
        <f>HYPERLINK("https://www.cardmarket.com/en/Pokemon/Products/Singles?idCategory=1&amp;idProduct=me2pt5-162", "CM")</f>
        <v>CM</v>
      </c>
      <c r="G133" s="23" t="b">
        <v>0</v>
      </c>
      <c r="H133" s="24" t="b">
        <v>0</v>
      </c>
      <c r="I133" s="25" t="str">
        <f>HYPERLINK("https://www.cardmarket.com/en/Pokemon/Products/Singles?idCategory=1&amp;idProduct=me2pt5-163", "CM")</f>
        <v>CM</v>
      </c>
      <c r="J133" s="23" t="b">
        <v>0</v>
      </c>
      <c r="K133" s="24" t="b">
        <v>0</v>
      </c>
      <c r="L133" s="25" t="str">
        <f>HYPERLINK("https://www.cardmarket.com/en/Pokemon/Products/Singles?idCategory=1&amp;idProduct=me2pt5-164", "CM")</f>
        <v>CM</v>
      </c>
      <c r="M133" s="23" t="b">
        <v>0</v>
      </c>
      <c r="N133" s="24" t="b">
        <v>0</v>
      </c>
      <c r="O133" s="25" t="str">
        <f>HYPERLINK("https://www.cardmarket.com/en/Pokemon/Products/Singles?idCategory=1&amp;idProduct=me2pt5-165", "CM")</f>
        <v>CM</v>
      </c>
    </row>
    <row r="134" ht="7.5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</row>
    <row r="135" ht="18.75" customHeight="1">
      <c r="A135" s="18" t="s">
        <v>869</v>
      </c>
      <c r="B135" s="19" t="s">
        <v>2586</v>
      </c>
      <c r="C135" s="20"/>
      <c r="D135" s="18" t="s">
        <v>871</v>
      </c>
      <c r="E135" s="19" t="s">
        <v>2587</v>
      </c>
      <c r="F135" s="20"/>
      <c r="G135" s="18" t="s">
        <v>873</v>
      </c>
      <c r="H135" s="19" t="s">
        <v>2588</v>
      </c>
      <c r="I135" s="20"/>
      <c r="J135" s="18" t="s">
        <v>875</v>
      </c>
      <c r="K135" s="19" t="s">
        <v>2589</v>
      </c>
      <c r="L135" s="20"/>
      <c r="M135" s="18" t="s">
        <v>877</v>
      </c>
      <c r="N135" s="19" t="s">
        <v>2590</v>
      </c>
      <c r="O135" s="20"/>
    </row>
    <row r="136" ht="180.0" customHeight="1">
      <c r="A136" s="21" t="str">
        <f>IMAGE("https://images.pokedata.ovh/en/me2-5/166.webp", 1)</f>
        <v/>
      </c>
      <c r="B136" s="22"/>
      <c r="C136" s="20"/>
      <c r="D136" s="21" t="str">
        <f>IMAGE("https://images.pokedata.ovh/en/me2-5/167.webp", 1)</f>
        <v/>
      </c>
      <c r="E136" s="22"/>
      <c r="F136" s="20"/>
      <c r="G136" s="21" t="str">
        <f>IMAGE("https://images.pokedata.ovh/en/me2-5/168.webp", 1)</f>
        <v/>
      </c>
      <c r="H136" s="22"/>
      <c r="I136" s="20"/>
      <c r="J136" s="21" t="str">
        <f>IMAGE("https://images.pokedata.ovh/en/me2-5/169.webp", 1)</f>
        <v/>
      </c>
      <c r="K136" s="22"/>
      <c r="L136" s="20"/>
      <c r="M136" s="21" t="str">
        <f>IMAGE("https://images.pokedata.ovh/en/me2-5/170.webp", 1)</f>
        <v/>
      </c>
      <c r="N136" s="22"/>
      <c r="O136" s="20"/>
    </row>
    <row r="137" ht="22.5" customHeight="1">
      <c r="A137" s="23" t="b">
        <v>0</v>
      </c>
      <c r="B137" s="24" t="b">
        <v>0</v>
      </c>
      <c r="C137" s="25" t="str">
        <f>HYPERLINK("https://www.cardmarket.com/en/Pokemon/Products/Singles?idCategory=1&amp;idProduct=me2pt5-166", "CM")</f>
        <v>CM</v>
      </c>
      <c r="D137" s="23" t="b">
        <v>0</v>
      </c>
      <c r="E137" s="24" t="b">
        <v>0</v>
      </c>
      <c r="F137" s="25" t="str">
        <f>HYPERLINK("https://www.cardmarket.com/en/Pokemon/Products/Singles?idCategory=1&amp;idProduct=me2pt5-167", "CM")</f>
        <v>CM</v>
      </c>
      <c r="G137" s="23" t="b">
        <v>0</v>
      </c>
      <c r="H137" s="24" t="b">
        <v>0</v>
      </c>
      <c r="I137" s="25" t="str">
        <f>HYPERLINK("https://www.cardmarket.com/en/Pokemon/Products/Singles?idCategory=1&amp;idProduct=me2pt5-168", "CM")</f>
        <v>CM</v>
      </c>
      <c r="J137" s="23" t="b">
        <v>0</v>
      </c>
      <c r="K137" s="24" t="b">
        <v>0</v>
      </c>
      <c r="L137" s="25" t="str">
        <f>HYPERLINK("https://www.cardmarket.com/en/Pokemon/Products/Singles?idCategory=1&amp;idProduct=me2pt5-169", "CM")</f>
        <v>CM</v>
      </c>
      <c r="M137" s="23" t="b">
        <v>0</v>
      </c>
      <c r="N137" s="24" t="b">
        <v>0</v>
      </c>
      <c r="O137" s="25" t="str">
        <f>HYPERLINK("https://www.cardmarket.com/en/Pokemon/Products/Singles?idCategory=1&amp;idProduct=me2pt5-170", "CM")</f>
        <v>CM</v>
      </c>
    </row>
    <row r="138" ht="7.5" customHeight="1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</row>
    <row r="139" ht="18.75" customHeight="1">
      <c r="A139" s="18" t="s">
        <v>879</v>
      </c>
      <c r="B139" s="19" t="s">
        <v>2591</v>
      </c>
      <c r="C139" s="20"/>
      <c r="D139" s="18" t="s">
        <v>881</v>
      </c>
      <c r="E139" s="19" t="s">
        <v>2592</v>
      </c>
      <c r="F139" s="20"/>
      <c r="G139" s="18" t="s">
        <v>883</v>
      </c>
      <c r="H139" s="19" t="s">
        <v>2593</v>
      </c>
      <c r="I139" s="20"/>
      <c r="J139" s="18" t="s">
        <v>699</v>
      </c>
      <c r="K139" s="19" t="s">
        <v>2594</v>
      </c>
      <c r="L139" s="20"/>
      <c r="M139" s="18" t="s">
        <v>1304</v>
      </c>
      <c r="N139" s="19" t="s">
        <v>2595</v>
      </c>
      <c r="O139" s="20"/>
    </row>
    <row r="140" ht="180.0" customHeight="1">
      <c r="A140" s="21" t="str">
        <f>IMAGE("https://images.pokedata.ovh/en/me2-5/171.webp", 1)</f>
        <v/>
      </c>
      <c r="B140" s="22"/>
      <c r="C140" s="20"/>
      <c r="D140" s="21" t="str">
        <f>IMAGE("https://images.pokedata.ovh/en/me2-5/172.webp", 1)</f>
        <v/>
      </c>
      <c r="E140" s="22"/>
      <c r="F140" s="20"/>
      <c r="G140" s="21" t="str">
        <f>IMAGE("https://images.pokedata.ovh/en/me2-5/173.webp", 1)</f>
        <v/>
      </c>
      <c r="H140" s="22"/>
      <c r="I140" s="20"/>
      <c r="J140" s="21" t="str">
        <f>IMAGE("https://images.pokedata.ovh/en/me2-5/174.webp", 1)</f>
        <v/>
      </c>
      <c r="K140" s="22"/>
      <c r="L140" s="20"/>
      <c r="M140" s="21" t="str">
        <f>IMAGE("https://images.pokedata.ovh/en/me2-5/175.webp", 1)</f>
        <v/>
      </c>
      <c r="N140" s="22"/>
      <c r="O140" s="20"/>
    </row>
    <row r="141" ht="22.5" customHeight="1">
      <c r="A141" s="23" t="b">
        <v>0</v>
      </c>
      <c r="B141" s="24" t="b">
        <v>0</v>
      </c>
      <c r="C141" s="25" t="str">
        <f>HYPERLINK("https://www.cardmarket.com/en/Pokemon/Products/Singles?idCategory=1&amp;idProduct=me2pt5-171", "CM")</f>
        <v>CM</v>
      </c>
      <c r="D141" s="23" t="b">
        <v>0</v>
      </c>
      <c r="E141" s="24" t="b">
        <v>0</v>
      </c>
      <c r="F141" s="25" t="str">
        <f>HYPERLINK("https://www.cardmarket.com/en/Pokemon/Products/Singles?idCategory=1&amp;idProduct=me2pt5-172", "CM")</f>
        <v>CM</v>
      </c>
      <c r="G141" s="23" t="b">
        <v>0</v>
      </c>
      <c r="H141" s="24" t="b">
        <v>0</v>
      </c>
      <c r="I141" s="25" t="str">
        <f>HYPERLINK("https://www.cardmarket.com/en/Pokemon/Products/Singles?idCategory=1&amp;idProduct=me2pt5-173", "CM")</f>
        <v>CM</v>
      </c>
      <c r="J141" s="23" t="b">
        <v>0</v>
      </c>
      <c r="K141" s="24" t="b">
        <v>0</v>
      </c>
      <c r="L141" s="25" t="str">
        <f>HYPERLINK("https://www.cardmarket.com/en/Pokemon/Products/Singles?idCategory=1&amp;idProduct=me2pt5-174", "CM")</f>
        <v>CM</v>
      </c>
      <c r="M141" s="23" t="b">
        <v>0</v>
      </c>
      <c r="N141" s="24" t="b">
        <v>0</v>
      </c>
      <c r="O141" s="25" t="str">
        <f>HYPERLINK("https://www.cardmarket.com/en/Pokemon/Products/Singles?idCategory=1&amp;idProduct=me2pt5-175", "CM")</f>
        <v>CM</v>
      </c>
    </row>
    <row r="142" ht="7.5" customHeight="1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</row>
    <row r="143" ht="18.75" customHeight="1">
      <c r="A143" s="18" t="s">
        <v>1306</v>
      </c>
      <c r="B143" s="19" t="s">
        <v>2596</v>
      </c>
      <c r="C143" s="20"/>
      <c r="D143" s="18" t="s">
        <v>884</v>
      </c>
      <c r="E143" s="19" t="s">
        <v>2597</v>
      </c>
      <c r="F143" s="20"/>
      <c r="G143" s="18" t="s">
        <v>701</v>
      </c>
      <c r="H143" s="19" t="s">
        <v>2110</v>
      </c>
      <c r="I143" s="20"/>
      <c r="J143" s="18" t="s">
        <v>703</v>
      </c>
      <c r="K143" s="19" t="s">
        <v>2598</v>
      </c>
      <c r="L143" s="20"/>
      <c r="M143" s="18" t="s">
        <v>886</v>
      </c>
      <c r="N143" s="19" t="s">
        <v>2599</v>
      </c>
      <c r="O143" s="20"/>
    </row>
    <row r="144" ht="180.0" customHeight="1">
      <c r="A144" s="21" t="str">
        <f>IMAGE("https://images.pokedata.ovh/en/me2-5/176.webp", 1)</f>
        <v/>
      </c>
      <c r="B144" s="22"/>
      <c r="C144" s="20"/>
      <c r="D144" s="21" t="str">
        <f>IMAGE("https://images.pokedata.ovh/en/me2-5/177.webp", 1)</f>
        <v/>
      </c>
      <c r="E144" s="22"/>
      <c r="F144" s="20"/>
      <c r="G144" s="21" t="str">
        <f>IMAGE("https://images.pokedata.ovh/en/me2-5/178.webp", 1)</f>
        <v/>
      </c>
      <c r="H144" s="22"/>
      <c r="I144" s="20"/>
      <c r="J144" s="21" t="str">
        <f>IMAGE("https://images.pokedata.ovh/en/me2-5/179.webp", 1)</f>
        <v/>
      </c>
      <c r="K144" s="22"/>
      <c r="L144" s="20"/>
      <c r="M144" s="21" t="str">
        <f>IMAGE("https://images.pokedata.ovh/en/me2-5/180.webp", 1)</f>
        <v/>
      </c>
      <c r="N144" s="22"/>
      <c r="O144" s="20"/>
    </row>
    <row r="145" ht="22.5" customHeight="1">
      <c r="A145" s="23" t="b">
        <v>0</v>
      </c>
      <c r="B145" s="24" t="b">
        <v>0</v>
      </c>
      <c r="C145" s="25" t="str">
        <f>HYPERLINK("https://www.cardmarket.com/en/Pokemon/Products/Singles?idCategory=1&amp;idProduct=me2pt5-176", "CM")</f>
        <v>CM</v>
      </c>
      <c r="D145" s="23" t="b">
        <v>0</v>
      </c>
      <c r="E145" s="24" t="b">
        <v>0</v>
      </c>
      <c r="F145" s="25" t="str">
        <f>HYPERLINK("https://www.cardmarket.com/en/Pokemon/Products/Singles?idCategory=1&amp;idProduct=me2pt5-177", "CM")</f>
        <v>CM</v>
      </c>
      <c r="G145" s="23" t="b">
        <v>0</v>
      </c>
      <c r="H145" s="24" t="b">
        <v>0</v>
      </c>
      <c r="I145" s="25" t="str">
        <f>HYPERLINK("https://www.cardmarket.com/en/Pokemon/Products/Singles?idCategory=1&amp;idProduct=me2pt5-178", "CM")</f>
        <v>CM</v>
      </c>
      <c r="J145" s="23" t="b">
        <v>0</v>
      </c>
      <c r="K145" s="24" t="b">
        <v>0</v>
      </c>
      <c r="L145" s="25" t="str">
        <f>HYPERLINK("https://www.cardmarket.com/en/Pokemon/Products/Singles?idCategory=1&amp;idProduct=me2pt5-179", "CM")</f>
        <v>CM</v>
      </c>
      <c r="M145" s="23" t="b">
        <v>0</v>
      </c>
      <c r="N145" s="24" t="b">
        <v>0</v>
      </c>
      <c r="O145" s="25" t="str">
        <f>HYPERLINK("https://www.cardmarket.com/en/Pokemon/Products/Singles?idCategory=1&amp;idProduct=me2pt5-180", "CM")</f>
        <v>CM</v>
      </c>
    </row>
    <row r="146" ht="7.5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</row>
    <row r="147" ht="18.75" customHeight="1">
      <c r="A147" s="18" t="s">
        <v>888</v>
      </c>
      <c r="B147" s="19" t="s">
        <v>2600</v>
      </c>
      <c r="C147" s="20"/>
      <c r="D147" s="18" t="s">
        <v>705</v>
      </c>
      <c r="E147" s="19" t="s">
        <v>2601</v>
      </c>
      <c r="F147" s="20"/>
      <c r="G147" s="18" t="s">
        <v>890</v>
      </c>
      <c r="H147" s="19" t="s">
        <v>2602</v>
      </c>
      <c r="I147" s="20"/>
      <c r="J147" s="18" t="s">
        <v>707</v>
      </c>
      <c r="K147" s="19" t="s">
        <v>2603</v>
      </c>
      <c r="L147" s="20"/>
      <c r="M147" s="18" t="s">
        <v>709</v>
      </c>
      <c r="N147" s="19" t="s">
        <v>2604</v>
      </c>
      <c r="O147" s="20"/>
    </row>
    <row r="148" ht="180.0" customHeight="1">
      <c r="A148" s="21" t="str">
        <f>IMAGE("https://images.pokedata.ovh/en/me2-5/181.webp", 1)</f>
        <v/>
      </c>
      <c r="B148" s="22"/>
      <c r="C148" s="20"/>
      <c r="D148" s="21" t="str">
        <f>IMAGE("https://images.pokedata.ovh/en/me2-5/182.webp", 1)</f>
        <v/>
      </c>
      <c r="E148" s="22"/>
      <c r="F148" s="20"/>
      <c r="G148" s="21" t="str">
        <f>IMAGE("https://images.pokedata.ovh/en/me2-5/183.webp", 1)</f>
        <v/>
      </c>
      <c r="H148" s="22"/>
      <c r="I148" s="20"/>
      <c r="J148" s="21" t="str">
        <f>IMAGE("https://images.pokedata.ovh/en/me2-5/184.webp", 1)</f>
        <v/>
      </c>
      <c r="K148" s="22"/>
      <c r="L148" s="20"/>
      <c r="M148" s="21" t="str">
        <f>IMAGE("https://images.pokedata.ovh/en/me2-5/185.webp", 1)</f>
        <v/>
      </c>
      <c r="N148" s="22"/>
      <c r="O148" s="20"/>
    </row>
    <row r="149" ht="22.5" customHeight="1">
      <c r="A149" s="23" t="b">
        <v>0</v>
      </c>
      <c r="B149" s="24" t="b">
        <v>0</v>
      </c>
      <c r="C149" s="25" t="str">
        <f>HYPERLINK("https://www.cardmarket.com/en/Pokemon/Products/Singles?idCategory=1&amp;idProduct=me2pt5-181", "CM")</f>
        <v>CM</v>
      </c>
      <c r="D149" s="23" t="b">
        <v>0</v>
      </c>
      <c r="E149" s="24" t="b">
        <v>0</v>
      </c>
      <c r="F149" s="25" t="str">
        <f>HYPERLINK("https://www.cardmarket.com/en/Pokemon/Products/Singles?idCategory=1&amp;idProduct=me2pt5-182", "CM")</f>
        <v>CM</v>
      </c>
      <c r="G149" s="23" t="b">
        <v>0</v>
      </c>
      <c r="H149" s="24" t="b">
        <v>0</v>
      </c>
      <c r="I149" s="25" t="str">
        <f>HYPERLINK("https://www.cardmarket.com/en/Pokemon/Products/Singles?idCategory=1&amp;idProduct=me2pt5-183", "CM")</f>
        <v>CM</v>
      </c>
      <c r="J149" s="23" t="b">
        <v>0</v>
      </c>
      <c r="K149" s="24" t="b">
        <v>0</v>
      </c>
      <c r="L149" s="25" t="str">
        <f>HYPERLINK("https://www.cardmarket.com/en/Pokemon/Products/Singles?idCategory=1&amp;idProduct=me2pt5-184", "CM")</f>
        <v>CM</v>
      </c>
      <c r="M149" s="23" t="b">
        <v>0</v>
      </c>
      <c r="N149" s="24" t="b">
        <v>0</v>
      </c>
      <c r="O149" s="25" t="str">
        <f>HYPERLINK("https://www.cardmarket.com/en/Pokemon/Products/Singles?idCategory=1&amp;idProduct=me2pt5-185", "CM")</f>
        <v>CM</v>
      </c>
    </row>
    <row r="150" ht="7.5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</row>
    <row r="151" ht="18.75" customHeight="1">
      <c r="A151" s="18" t="s">
        <v>711</v>
      </c>
      <c r="B151" s="19" t="s">
        <v>2605</v>
      </c>
      <c r="C151" s="20"/>
      <c r="D151" s="18" t="s">
        <v>892</v>
      </c>
      <c r="E151" s="19" t="s">
        <v>2606</v>
      </c>
      <c r="F151" s="20"/>
      <c r="G151" s="18" t="s">
        <v>894</v>
      </c>
      <c r="H151" s="19" t="s">
        <v>2607</v>
      </c>
      <c r="I151" s="20"/>
      <c r="J151" s="18" t="s">
        <v>896</v>
      </c>
      <c r="K151" s="19" t="s">
        <v>2608</v>
      </c>
      <c r="L151" s="20"/>
      <c r="M151" s="18" t="s">
        <v>1312</v>
      </c>
      <c r="N151" s="19" t="s">
        <v>2609</v>
      </c>
      <c r="O151" s="20"/>
    </row>
    <row r="152" ht="180.0" customHeight="1">
      <c r="A152" s="21" t="str">
        <f>IMAGE("https://images.pokedata.ovh/en/me2-5/186.webp", 1)</f>
        <v/>
      </c>
      <c r="B152" s="22"/>
      <c r="C152" s="20"/>
      <c r="D152" s="21" t="str">
        <f>IMAGE("https://images.pokedata.ovh/en/me2-5/187.webp", 1)</f>
        <v/>
      </c>
      <c r="E152" s="22"/>
      <c r="F152" s="20"/>
      <c r="G152" s="21" t="str">
        <f>IMAGE("https://images.pokedata.ovh/en/me2-5/188.webp", 1)</f>
        <v/>
      </c>
      <c r="H152" s="22"/>
      <c r="I152" s="20"/>
      <c r="J152" s="21" t="str">
        <f>IMAGE("https://images.pokedata.ovh/en/me2-5/189.webp", 1)</f>
        <v/>
      </c>
      <c r="K152" s="22"/>
      <c r="L152" s="20"/>
      <c r="M152" s="21" t="str">
        <f>IMAGE("https://images.pokedata.ovh/en/me2-5/190.webp", 1)</f>
        <v/>
      </c>
      <c r="N152" s="22"/>
      <c r="O152" s="20"/>
    </row>
    <row r="153" ht="22.5" customHeight="1">
      <c r="A153" s="23" t="b">
        <v>0</v>
      </c>
      <c r="B153" s="24" t="b">
        <v>0</v>
      </c>
      <c r="C153" s="25" t="str">
        <f>HYPERLINK("https://www.cardmarket.com/en/Pokemon/Products/Singles?idCategory=1&amp;idProduct=me2pt5-186", "CM")</f>
        <v>CM</v>
      </c>
      <c r="D153" s="23" t="b">
        <v>0</v>
      </c>
      <c r="E153" s="24" t="b">
        <v>0</v>
      </c>
      <c r="F153" s="25" t="str">
        <f>HYPERLINK("https://www.cardmarket.com/en/Pokemon/Products/Singles?idCategory=1&amp;idProduct=me2pt5-187", "CM")</f>
        <v>CM</v>
      </c>
      <c r="G153" s="23" t="b">
        <v>0</v>
      </c>
      <c r="H153" s="24" t="b">
        <v>0</v>
      </c>
      <c r="I153" s="25" t="str">
        <f>HYPERLINK("https://www.cardmarket.com/en/Pokemon/Products/Singles?idCategory=1&amp;idProduct=me2pt5-188", "CM")</f>
        <v>CM</v>
      </c>
      <c r="J153" s="23" t="b">
        <v>0</v>
      </c>
      <c r="K153" s="24" t="b">
        <v>0</v>
      </c>
      <c r="L153" s="25" t="str">
        <f>HYPERLINK("https://www.cardmarket.com/en/Pokemon/Products/Singles?idCategory=1&amp;idProduct=me2pt5-189", "CM")</f>
        <v>CM</v>
      </c>
      <c r="M153" s="23" t="b">
        <v>0</v>
      </c>
      <c r="N153" s="24" t="b">
        <v>0</v>
      </c>
      <c r="O153" s="25" t="str">
        <f>HYPERLINK("https://www.cardmarket.com/en/Pokemon/Products/Singles?idCategory=1&amp;idProduct=me2pt5-190", "CM")</f>
        <v>CM</v>
      </c>
    </row>
    <row r="154" ht="7.5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</row>
    <row r="155" ht="18.75" customHeight="1">
      <c r="A155" s="18" t="s">
        <v>1240</v>
      </c>
      <c r="B155" s="19" t="s">
        <v>2610</v>
      </c>
      <c r="C155" s="20"/>
      <c r="D155" s="18" t="s">
        <v>1313</v>
      </c>
      <c r="E155" s="19" t="s">
        <v>2611</v>
      </c>
      <c r="F155" s="20"/>
      <c r="G155" s="18" t="s">
        <v>898</v>
      </c>
      <c r="H155" s="19" t="s">
        <v>2612</v>
      </c>
      <c r="I155" s="20"/>
      <c r="J155" s="18" t="s">
        <v>713</v>
      </c>
      <c r="K155" s="19" t="s">
        <v>2613</v>
      </c>
      <c r="L155" s="20"/>
      <c r="M155" s="18" t="s">
        <v>715</v>
      </c>
      <c r="N155" s="19" t="s">
        <v>2614</v>
      </c>
      <c r="O155" s="20"/>
    </row>
    <row r="156" ht="180.0" customHeight="1">
      <c r="A156" s="21" t="str">
        <f>IMAGE("https://images.pokedata.ovh/en/me2-5/191.webp", 1)</f>
        <v/>
      </c>
      <c r="B156" s="22"/>
      <c r="C156" s="20"/>
      <c r="D156" s="21" t="str">
        <f>IMAGE("https://images.pokedata.ovh/en/me2-5/192.webp", 1)</f>
        <v/>
      </c>
      <c r="E156" s="22"/>
      <c r="F156" s="20"/>
      <c r="G156" s="21" t="str">
        <f>IMAGE("https://images.pokedata.ovh/en/me2-5/193.webp", 1)</f>
        <v/>
      </c>
      <c r="H156" s="22"/>
      <c r="I156" s="20"/>
      <c r="J156" s="21" t="str">
        <f>IMAGE("https://images.pokedata.ovh/en/me2-5/194.webp", 1)</f>
        <v/>
      </c>
      <c r="K156" s="22"/>
      <c r="L156" s="20"/>
      <c r="M156" s="21" t="str">
        <f>IMAGE("https://images.pokedata.ovh/en/me2-5/195.webp", 1)</f>
        <v/>
      </c>
      <c r="N156" s="22"/>
      <c r="O156" s="20"/>
    </row>
    <row r="157" ht="22.5" customHeight="1">
      <c r="A157" s="23" t="b">
        <v>0</v>
      </c>
      <c r="B157" s="24" t="b">
        <v>0</v>
      </c>
      <c r="C157" s="25" t="str">
        <f>HYPERLINK("https://www.cardmarket.com/en/Pokemon/Products/Singles?idCategory=1&amp;idProduct=me2pt5-191", "CM")</f>
        <v>CM</v>
      </c>
      <c r="D157" s="23" t="b">
        <v>0</v>
      </c>
      <c r="E157" s="24" t="b">
        <v>0</v>
      </c>
      <c r="F157" s="25" t="str">
        <f>HYPERLINK("https://www.cardmarket.com/en/Pokemon/Products/Singles?idCategory=1&amp;idProduct=me2pt5-192", "CM")</f>
        <v>CM</v>
      </c>
      <c r="G157" s="23" t="b">
        <v>0</v>
      </c>
      <c r="H157" s="24" t="b">
        <v>0</v>
      </c>
      <c r="I157" s="25" t="str">
        <f>HYPERLINK("https://www.cardmarket.com/en/Pokemon/Products/Singles?idCategory=1&amp;idProduct=me2pt5-193", "CM")</f>
        <v>CM</v>
      </c>
      <c r="J157" s="23" t="b">
        <v>0</v>
      </c>
      <c r="K157" s="24" t="b">
        <v>0</v>
      </c>
      <c r="L157" s="25" t="str">
        <f>HYPERLINK("https://www.cardmarket.com/en/Pokemon/Products/Singles?idCategory=1&amp;idProduct=me2pt5-194", "CM")</f>
        <v>CM</v>
      </c>
      <c r="M157" s="23" t="b">
        <v>0</v>
      </c>
      <c r="N157" s="24" t="b">
        <v>0</v>
      </c>
      <c r="O157" s="25" t="str">
        <f>HYPERLINK("https://www.cardmarket.com/en/Pokemon/Products/Singles?idCategory=1&amp;idProduct=me2pt5-195", "CM")</f>
        <v>CM</v>
      </c>
    </row>
    <row r="158" ht="7.5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</row>
    <row r="159" ht="18.75" customHeight="1">
      <c r="A159" s="18" t="s">
        <v>717</v>
      </c>
      <c r="B159" s="19" t="s">
        <v>2615</v>
      </c>
      <c r="C159" s="20"/>
      <c r="D159" s="18" t="s">
        <v>719</v>
      </c>
      <c r="E159" s="19" t="s">
        <v>2616</v>
      </c>
      <c r="F159" s="20"/>
      <c r="G159" s="18" t="s">
        <v>720</v>
      </c>
      <c r="H159" s="19" t="s">
        <v>2617</v>
      </c>
      <c r="I159" s="20"/>
      <c r="J159" s="18" t="s">
        <v>722</v>
      </c>
      <c r="K159" s="19" t="s">
        <v>2618</v>
      </c>
      <c r="L159" s="20"/>
      <c r="M159" s="18" t="s">
        <v>724</v>
      </c>
      <c r="N159" s="19" t="s">
        <v>2136</v>
      </c>
      <c r="O159" s="20"/>
    </row>
    <row r="160" ht="180.0" customHeight="1">
      <c r="A160" s="21" t="str">
        <f>IMAGE("https://images.pokedata.ovh/en/me2-5/196.webp", 1)</f>
        <v/>
      </c>
      <c r="B160" s="22"/>
      <c r="C160" s="20"/>
      <c r="D160" s="21" t="str">
        <f>IMAGE("https://images.pokedata.ovh/en/me2-5/197.webp", 1)</f>
        <v/>
      </c>
      <c r="E160" s="22"/>
      <c r="F160" s="20"/>
      <c r="G160" s="21" t="str">
        <f>IMAGE("https://images.pokedata.ovh/en/me2-5/198.webp", 1)</f>
        <v/>
      </c>
      <c r="H160" s="22"/>
      <c r="I160" s="20"/>
      <c r="J160" s="21" t="str">
        <f>IMAGE("https://images.pokedata.ovh/en/me2-5/199.webp", 1)</f>
        <v/>
      </c>
      <c r="K160" s="22"/>
      <c r="L160" s="20"/>
      <c r="M160" s="21" t="str">
        <f>IMAGE("https://images.pokedata.ovh/en/me2-5/200.webp", 1)</f>
        <v/>
      </c>
      <c r="N160" s="22"/>
      <c r="O160" s="20"/>
    </row>
    <row r="161" ht="22.5" customHeight="1">
      <c r="A161" s="23" t="b">
        <v>0</v>
      </c>
      <c r="B161" s="24" t="b">
        <v>0</v>
      </c>
      <c r="C161" s="25" t="str">
        <f>HYPERLINK("https://www.cardmarket.com/en/Pokemon/Products/Singles?idCategory=1&amp;idProduct=me2pt5-196", "CM")</f>
        <v>CM</v>
      </c>
      <c r="D161" s="23" t="b">
        <v>0</v>
      </c>
      <c r="E161" s="24" t="b">
        <v>0</v>
      </c>
      <c r="F161" s="25" t="str">
        <f>HYPERLINK("https://www.cardmarket.com/en/Pokemon/Products/Singles?idCategory=1&amp;idProduct=me2pt5-197", "CM")</f>
        <v>CM</v>
      </c>
      <c r="G161" s="23" t="b">
        <v>0</v>
      </c>
      <c r="H161" s="24" t="b">
        <v>0</v>
      </c>
      <c r="I161" s="25" t="str">
        <f>HYPERLINK("https://www.cardmarket.com/en/Pokemon/Products/Singles?idCategory=1&amp;idProduct=me2pt5-198", "CM")</f>
        <v>CM</v>
      </c>
      <c r="J161" s="23" t="b">
        <v>0</v>
      </c>
      <c r="K161" s="24" t="b">
        <v>0</v>
      </c>
      <c r="L161" s="25" t="str">
        <f>HYPERLINK("https://www.cardmarket.com/en/Pokemon/Products/Singles?idCategory=1&amp;idProduct=me2pt5-199", "CM")</f>
        <v>CM</v>
      </c>
      <c r="M161" s="23" t="b">
        <v>0</v>
      </c>
      <c r="N161" s="24" t="b">
        <v>0</v>
      </c>
      <c r="O161" s="25" t="str">
        <f>HYPERLINK("https://www.cardmarket.com/en/Pokemon/Products/Singles?idCategory=1&amp;idProduct=me2pt5-200", "CM")</f>
        <v>CM</v>
      </c>
    </row>
    <row r="162" ht="7.5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</row>
    <row r="163" ht="18.75" customHeight="1">
      <c r="A163" s="18" t="s">
        <v>726</v>
      </c>
      <c r="B163" s="19" t="s">
        <v>2619</v>
      </c>
      <c r="C163" s="20"/>
      <c r="D163" s="18" t="s">
        <v>728</v>
      </c>
      <c r="E163" s="19" t="s">
        <v>2620</v>
      </c>
      <c r="F163" s="20"/>
      <c r="G163" s="18" t="s">
        <v>730</v>
      </c>
      <c r="H163" s="19" t="s">
        <v>2621</v>
      </c>
      <c r="I163" s="20"/>
      <c r="J163" s="18" t="s">
        <v>1241</v>
      </c>
      <c r="K163" s="19" t="s">
        <v>2622</v>
      </c>
      <c r="L163" s="20"/>
      <c r="M163" s="18" t="s">
        <v>1319</v>
      </c>
      <c r="N163" s="19" t="s">
        <v>2623</v>
      </c>
      <c r="O163" s="20"/>
    </row>
    <row r="164" ht="180.0" customHeight="1">
      <c r="A164" s="21" t="str">
        <f>IMAGE("https://images.pokedata.ovh/en/me2-5/201.webp", 1)</f>
        <v/>
      </c>
      <c r="B164" s="22"/>
      <c r="C164" s="20"/>
      <c r="D164" s="21" t="str">
        <f>IMAGE("https://images.pokedata.ovh/en/me2-5/202.webp", 1)</f>
        <v/>
      </c>
      <c r="E164" s="22"/>
      <c r="F164" s="20"/>
      <c r="G164" s="21" t="str">
        <f>IMAGE("https://images.pokedata.ovh/en/me2-5/203.webp", 1)</f>
        <v/>
      </c>
      <c r="H164" s="22"/>
      <c r="I164" s="20"/>
      <c r="J164" s="21" t="str">
        <f>IMAGE("https://images.pokedata.ovh/en/me2-5/204.webp", 1)</f>
        <v/>
      </c>
      <c r="K164" s="22"/>
      <c r="L164" s="20"/>
      <c r="M164" s="21" t="str">
        <f>IMAGE("https://images.pokedata.ovh/en/me2-5/205.webp", 1)</f>
        <v/>
      </c>
      <c r="N164" s="22"/>
      <c r="O164" s="20"/>
    </row>
    <row r="165" ht="22.5" customHeight="1">
      <c r="A165" s="23" t="b">
        <v>0</v>
      </c>
      <c r="B165" s="24" t="b">
        <v>0</v>
      </c>
      <c r="C165" s="25" t="str">
        <f>HYPERLINK("https://www.cardmarket.com/en/Pokemon/Products/Singles?idCategory=1&amp;idProduct=me2pt5-201", "CM")</f>
        <v>CM</v>
      </c>
      <c r="D165" s="23" t="b">
        <v>0</v>
      </c>
      <c r="E165" s="24" t="b">
        <v>0</v>
      </c>
      <c r="F165" s="25" t="str">
        <f>HYPERLINK("https://www.cardmarket.com/en/Pokemon/Products/Singles?idCategory=1&amp;idProduct=me2pt5-202", "CM")</f>
        <v>CM</v>
      </c>
      <c r="G165" s="23" t="b">
        <v>0</v>
      </c>
      <c r="H165" s="24" t="b">
        <v>0</v>
      </c>
      <c r="I165" s="25" t="str">
        <f>HYPERLINK("https://www.cardmarket.com/en/Pokemon/Products/Singles?idCategory=1&amp;idProduct=me2pt5-203", "CM")</f>
        <v>CM</v>
      </c>
      <c r="J165" s="23" t="b">
        <v>0</v>
      </c>
      <c r="K165" s="24" t="b">
        <v>0</v>
      </c>
      <c r="L165" s="25" t="str">
        <f>HYPERLINK("https://www.cardmarket.com/en/Pokemon/Products/Singles?idCategory=1&amp;idProduct=me2pt5-204", "CM")</f>
        <v>CM</v>
      </c>
      <c r="M165" s="23" t="b">
        <v>0</v>
      </c>
      <c r="N165" s="24" t="b">
        <v>0</v>
      </c>
      <c r="O165" s="25" t="str">
        <f>HYPERLINK("https://www.cardmarket.com/en/Pokemon/Products/Singles?idCategory=1&amp;idProduct=me2pt5-205", "CM")</f>
        <v>CM</v>
      </c>
    </row>
    <row r="166" ht="7.5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</row>
    <row r="167" ht="18.75" customHeight="1">
      <c r="A167" s="18" t="s">
        <v>732</v>
      </c>
      <c r="B167" s="19" t="s">
        <v>2624</v>
      </c>
      <c r="C167" s="20"/>
      <c r="D167" s="18" t="s">
        <v>734</v>
      </c>
      <c r="E167" s="19" t="s">
        <v>2625</v>
      </c>
      <c r="F167" s="20"/>
      <c r="G167" s="18" t="s">
        <v>1183</v>
      </c>
      <c r="H167" s="19" t="s">
        <v>2626</v>
      </c>
      <c r="I167" s="20"/>
      <c r="J167" s="18" t="s">
        <v>1320</v>
      </c>
      <c r="K167" s="19" t="s">
        <v>2627</v>
      </c>
      <c r="L167" s="20"/>
      <c r="M167" s="18" t="s">
        <v>1184</v>
      </c>
      <c r="N167" s="19" t="s">
        <v>2628</v>
      </c>
      <c r="O167" s="20"/>
    </row>
    <row r="168" ht="180.0" customHeight="1">
      <c r="A168" s="21" t="str">
        <f>IMAGE("https://images.pokedata.ovh/en/me2-5/206.webp", 1)</f>
        <v/>
      </c>
      <c r="B168" s="22"/>
      <c r="C168" s="20"/>
      <c r="D168" s="21" t="str">
        <f>IMAGE("https://images.pokedata.ovh/en/me2-5/207.webp", 1)</f>
        <v/>
      </c>
      <c r="E168" s="22"/>
      <c r="F168" s="20"/>
      <c r="G168" s="21" t="str">
        <f>IMAGE("https://images.pokedata.ovh/en/me2-5/208.webp", 1)</f>
        <v/>
      </c>
      <c r="H168" s="22"/>
      <c r="I168" s="20"/>
      <c r="J168" s="21" t="str">
        <f>IMAGE("https://images.pokedata.ovh/en/me2-5/209.webp", 1)</f>
        <v/>
      </c>
      <c r="K168" s="22"/>
      <c r="L168" s="20"/>
      <c r="M168" s="21" t="str">
        <f>IMAGE("https://images.pokedata.ovh/en/me2-5/210.webp", 1)</f>
        <v/>
      </c>
      <c r="N168" s="22"/>
      <c r="O168" s="20"/>
    </row>
    <row r="169" ht="22.5" customHeight="1">
      <c r="A169" s="23" t="b">
        <v>0</v>
      </c>
      <c r="B169" s="24" t="b">
        <v>0</v>
      </c>
      <c r="C169" s="25" t="str">
        <f>HYPERLINK("https://www.cardmarket.com/en/Pokemon/Products/Singles?idCategory=1&amp;idProduct=me2pt5-206", "CM")</f>
        <v>CM</v>
      </c>
      <c r="D169" s="23" t="b">
        <v>0</v>
      </c>
      <c r="E169" s="24" t="b">
        <v>0</v>
      </c>
      <c r="F169" s="25" t="str">
        <f>HYPERLINK("https://www.cardmarket.com/en/Pokemon/Products/Singles?idCategory=1&amp;idProduct=me2pt5-207", "CM")</f>
        <v>CM</v>
      </c>
      <c r="G169" s="23" t="b">
        <v>0</v>
      </c>
      <c r="H169" s="24" t="b">
        <v>0</v>
      </c>
      <c r="I169" s="25" t="str">
        <f>HYPERLINK("https://www.cardmarket.com/en/Pokemon/Products/Singles?idCategory=1&amp;idProduct=me2pt5-208", "CM")</f>
        <v>CM</v>
      </c>
      <c r="J169" s="23" t="b">
        <v>0</v>
      </c>
      <c r="K169" s="24" t="b">
        <v>0</v>
      </c>
      <c r="L169" s="25" t="str">
        <f>HYPERLINK("https://www.cardmarket.com/en/Pokemon/Products/Singles?idCategory=1&amp;idProduct=me2pt5-209", "CM")</f>
        <v>CM</v>
      </c>
      <c r="M169" s="23" t="b">
        <v>0</v>
      </c>
      <c r="N169" s="24" t="b">
        <v>0</v>
      </c>
      <c r="O169" s="25" t="str">
        <f>HYPERLINK("https://www.cardmarket.com/en/Pokemon/Products/Singles?idCategory=1&amp;idProduct=me2pt5-210", "CM")</f>
        <v>CM</v>
      </c>
    </row>
    <row r="170" ht="7.5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</row>
    <row r="171" ht="18.75" customHeight="1">
      <c r="A171" s="18" t="s">
        <v>1321</v>
      </c>
      <c r="B171" s="19" t="s">
        <v>2629</v>
      </c>
      <c r="C171" s="20"/>
      <c r="D171" s="18" t="s">
        <v>1322</v>
      </c>
      <c r="E171" s="19" t="s">
        <v>2630</v>
      </c>
      <c r="F171" s="20"/>
      <c r="G171" s="18" t="s">
        <v>1323</v>
      </c>
      <c r="H171" s="19" t="s">
        <v>2631</v>
      </c>
      <c r="I171" s="20"/>
      <c r="J171" s="18" t="s">
        <v>1186</v>
      </c>
      <c r="K171" s="19" t="s">
        <v>2632</v>
      </c>
      <c r="L171" s="20"/>
      <c r="M171" s="18" t="s">
        <v>1324</v>
      </c>
      <c r="N171" s="19" t="s">
        <v>2633</v>
      </c>
      <c r="O171" s="20"/>
    </row>
    <row r="172" ht="180.0" customHeight="1">
      <c r="A172" s="21" t="str">
        <f>IMAGE("https://images.pokedata.ovh/en/me2-5/211.webp", 1)</f>
        <v/>
      </c>
      <c r="B172" s="22"/>
      <c r="C172" s="20"/>
      <c r="D172" s="21" t="str">
        <f>IMAGE("https://images.pokedata.ovh/en/me2-5/212.webp", 1)</f>
        <v/>
      </c>
      <c r="E172" s="22"/>
      <c r="F172" s="20"/>
      <c r="G172" s="21" t="str">
        <f>IMAGE("https://images.pokedata.ovh/en/me2-5/213.webp", 1)</f>
        <v/>
      </c>
      <c r="H172" s="22"/>
      <c r="I172" s="20"/>
      <c r="J172" s="21" t="str">
        <f>IMAGE("https://images.pokedata.ovh/en/me2-5/214.webp", 1)</f>
        <v/>
      </c>
      <c r="K172" s="22"/>
      <c r="L172" s="20"/>
      <c r="M172" s="21" t="str">
        <f>IMAGE("https://images.pokedata.ovh/en/me2-5/215.webp", 1)</f>
        <v/>
      </c>
      <c r="N172" s="22"/>
      <c r="O172" s="20"/>
    </row>
    <row r="173" ht="22.5" customHeight="1">
      <c r="A173" s="23" t="b">
        <v>0</v>
      </c>
      <c r="B173" s="24" t="b">
        <v>0</v>
      </c>
      <c r="C173" s="25" t="str">
        <f>HYPERLINK("https://www.cardmarket.com/en/Pokemon/Products/Singles?idCategory=1&amp;idProduct=me2pt5-211", "CM")</f>
        <v>CM</v>
      </c>
      <c r="D173" s="23" t="b">
        <v>0</v>
      </c>
      <c r="E173" s="24" t="b">
        <v>0</v>
      </c>
      <c r="F173" s="25" t="str">
        <f>HYPERLINK("https://www.cardmarket.com/en/Pokemon/Products/Singles?idCategory=1&amp;idProduct=me2pt5-212", "CM")</f>
        <v>CM</v>
      </c>
      <c r="G173" s="23" t="b">
        <v>0</v>
      </c>
      <c r="H173" s="24" t="b">
        <v>0</v>
      </c>
      <c r="I173" s="25" t="str">
        <f>HYPERLINK("https://www.cardmarket.com/en/Pokemon/Products/Singles?idCategory=1&amp;idProduct=me2pt5-213", "CM")</f>
        <v>CM</v>
      </c>
      <c r="J173" s="23" t="b">
        <v>0</v>
      </c>
      <c r="K173" s="24" t="b">
        <v>0</v>
      </c>
      <c r="L173" s="25" t="str">
        <f>HYPERLINK("https://www.cardmarket.com/en/Pokemon/Products/Singles?idCategory=1&amp;idProduct=me2pt5-214", "CM")</f>
        <v>CM</v>
      </c>
      <c r="M173" s="23" t="b">
        <v>0</v>
      </c>
      <c r="N173" s="24" t="b">
        <v>0</v>
      </c>
      <c r="O173" s="25" t="str">
        <f>HYPERLINK("https://www.cardmarket.com/en/Pokemon/Products/Singles?idCategory=1&amp;idProduct=me2pt5-215", "CM")</f>
        <v>CM</v>
      </c>
    </row>
    <row r="174" ht="7.5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</row>
    <row r="175" ht="18.75" customHeight="1">
      <c r="A175" s="18" t="s">
        <v>1325</v>
      </c>
      <c r="B175" s="19" t="s">
        <v>2634</v>
      </c>
      <c r="C175" s="20"/>
      <c r="D175" s="18" t="s">
        <v>1326</v>
      </c>
      <c r="E175" s="19" t="s">
        <v>2635</v>
      </c>
      <c r="F175" s="20"/>
      <c r="G175" s="18" t="s">
        <v>1327</v>
      </c>
      <c r="H175" s="19" t="s">
        <v>2446</v>
      </c>
      <c r="I175" s="20"/>
      <c r="J175" s="18" t="s">
        <v>1328</v>
      </c>
      <c r="K175" s="19" t="s">
        <v>2452</v>
      </c>
      <c r="L175" s="20"/>
      <c r="M175" s="18" t="s">
        <v>1329</v>
      </c>
      <c r="N175" s="19" t="s">
        <v>2454</v>
      </c>
      <c r="O175" s="20"/>
    </row>
    <row r="176" ht="180.0" customHeight="1">
      <c r="A176" s="21" t="str">
        <f>IMAGE("https://images.pokedata.ovh/en/me2-5/216.webp", 1)</f>
        <v/>
      </c>
      <c r="B176" s="22"/>
      <c r="C176" s="20"/>
      <c r="D176" s="21" t="str">
        <f>IMAGE("https://images.pokedata.ovh/en/me2-5/217.webp", 1)</f>
        <v/>
      </c>
      <c r="E176" s="22"/>
      <c r="F176" s="20"/>
      <c r="G176" s="21" t="str">
        <f>IMAGE("https://images.pokedata.ovh/en/me2-5/218.webp", 1)</f>
        <v/>
      </c>
      <c r="H176" s="22"/>
      <c r="I176" s="20"/>
      <c r="J176" s="21" t="str">
        <f>IMAGE("https://images.pokedata.ovh/en/me2-5/219.webp", 1)</f>
        <v/>
      </c>
      <c r="K176" s="22"/>
      <c r="L176" s="20"/>
      <c r="M176" s="21" t="str">
        <f>IMAGE("https://images.pokedata.ovh/en/me2-5/220.webp", 1)</f>
        <v/>
      </c>
      <c r="N176" s="22"/>
      <c r="O176" s="20"/>
    </row>
    <row r="177" ht="22.5" customHeight="1">
      <c r="A177" s="23" t="b">
        <v>0</v>
      </c>
      <c r="B177" s="24" t="b">
        <v>0</v>
      </c>
      <c r="C177" s="25" t="str">
        <f>HYPERLINK("https://www.cardmarket.com/en/Pokemon/Products/Singles?idCategory=1&amp;idProduct=me2pt5-216", "CM")</f>
        <v>CM</v>
      </c>
      <c r="D177" s="23" t="b">
        <v>0</v>
      </c>
      <c r="E177" s="24" t="b">
        <v>0</v>
      </c>
      <c r="F177" s="25" t="str">
        <f>HYPERLINK("https://www.cardmarket.com/en/Pokemon/Products/Singles?idCategory=1&amp;idProduct=me2pt5-217", "CM")</f>
        <v>CM</v>
      </c>
      <c r="G177" s="23" t="b">
        <v>0</v>
      </c>
      <c r="H177" s="24" t="b">
        <v>0</v>
      </c>
      <c r="I177" s="25" t="str">
        <f>HYPERLINK("https://www.cardmarket.com/en/Pokemon/Products/Singles?idCategory=1&amp;idProduct=me2pt5-218", "CM")</f>
        <v>CM</v>
      </c>
      <c r="J177" s="23" t="b">
        <v>0</v>
      </c>
      <c r="K177" s="24" t="b">
        <v>0</v>
      </c>
      <c r="L177" s="25" t="str">
        <f>HYPERLINK("https://www.cardmarket.com/en/Pokemon/Products/Singles?idCategory=1&amp;idProduct=me2pt5-219", "CM")</f>
        <v>CM</v>
      </c>
      <c r="M177" s="23" t="b">
        <v>0</v>
      </c>
      <c r="N177" s="24" t="b">
        <v>0</v>
      </c>
      <c r="O177" s="25" t="str">
        <f>HYPERLINK("https://www.cardmarket.com/en/Pokemon/Products/Singles?idCategory=1&amp;idProduct=me2pt5-220", "CM")</f>
        <v>CM</v>
      </c>
    </row>
    <row r="178" ht="7.5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</row>
    <row r="179" ht="18.75" customHeight="1">
      <c r="A179" s="18" t="s">
        <v>1330</v>
      </c>
      <c r="B179" s="19" t="s">
        <v>2455</v>
      </c>
      <c r="C179" s="20"/>
      <c r="D179" s="18" t="s">
        <v>1187</v>
      </c>
      <c r="E179" s="19" t="s">
        <v>2463</v>
      </c>
      <c r="F179" s="20"/>
      <c r="G179" s="18" t="s">
        <v>1331</v>
      </c>
      <c r="H179" s="19" t="s">
        <v>2465</v>
      </c>
      <c r="I179" s="20"/>
      <c r="J179" s="18" t="s">
        <v>1332</v>
      </c>
      <c r="K179" s="19" t="s">
        <v>2472</v>
      </c>
      <c r="L179" s="20"/>
      <c r="M179" s="18" t="s">
        <v>1333</v>
      </c>
      <c r="N179" s="19" t="s">
        <v>2473</v>
      </c>
      <c r="O179" s="20"/>
    </row>
    <row r="180" ht="180.0" customHeight="1">
      <c r="A180" s="21" t="str">
        <f>IMAGE("https://images.pokedata.ovh/en/me2-5/221.webp", 1)</f>
        <v/>
      </c>
      <c r="B180" s="22"/>
      <c r="C180" s="20"/>
      <c r="D180" s="21" t="str">
        <f>IMAGE("https://images.pokedata.ovh/en/me2-5/222.webp", 1)</f>
        <v/>
      </c>
      <c r="E180" s="22"/>
      <c r="F180" s="20"/>
      <c r="G180" s="21" t="str">
        <f>IMAGE("https://images.pokedata.ovh/en/me2-5/223.webp", 1)</f>
        <v/>
      </c>
      <c r="H180" s="22"/>
      <c r="I180" s="20"/>
      <c r="J180" s="21" t="str">
        <f>IMAGE("https://images.pokedata.ovh/en/me2-5/224.webp", 1)</f>
        <v/>
      </c>
      <c r="K180" s="22"/>
      <c r="L180" s="20"/>
      <c r="M180" s="21" t="str">
        <f>IMAGE("https://images.pokedata.ovh/en/me2-5/225.webp", 1)</f>
        <v/>
      </c>
      <c r="N180" s="22"/>
      <c r="O180" s="20"/>
    </row>
    <row r="181" ht="22.5" customHeight="1">
      <c r="A181" s="23" t="b">
        <v>0</v>
      </c>
      <c r="B181" s="24" t="b">
        <v>0</v>
      </c>
      <c r="C181" s="25" t="str">
        <f>HYPERLINK("https://www.cardmarket.com/en/Pokemon/Products/Singles?idCategory=1&amp;idProduct=me2pt5-221", "CM")</f>
        <v>CM</v>
      </c>
      <c r="D181" s="23" t="b">
        <v>0</v>
      </c>
      <c r="E181" s="24" t="b">
        <v>0</v>
      </c>
      <c r="F181" s="25" t="str">
        <f>HYPERLINK("https://www.cardmarket.com/en/Pokemon/Products/Singles?idCategory=1&amp;idProduct=me2pt5-222", "CM")</f>
        <v>CM</v>
      </c>
      <c r="G181" s="23" t="b">
        <v>0</v>
      </c>
      <c r="H181" s="24" t="b">
        <v>0</v>
      </c>
      <c r="I181" s="25" t="str">
        <f>HYPERLINK("https://www.cardmarket.com/en/Pokemon/Products/Singles?idCategory=1&amp;idProduct=me2pt5-223", "CM")</f>
        <v>CM</v>
      </c>
      <c r="J181" s="23" t="b">
        <v>0</v>
      </c>
      <c r="K181" s="24" t="b">
        <v>0</v>
      </c>
      <c r="L181" s="25" t="str">
        <f>HYPERLINK("https://www.cardmarket.com/en/Pokemon/Products/Singles?idCategory=1&amp;idProduct=me2pt5-224", "CM")</f>
        <v>CM</v>
      </c>
      <c r="M181" s="23" t="b">
        <v>0</v>
      </c>
      <c r="N181" s="24" t="b">
        <v>0</v>
      </c>
      <c r="O181" s="25" t="str">
        <f>HYPERLINK("https://www.cardmarket.com/en/Pokemon/Products/Singles?idCategory=1&amp;idProduct=me2pt5-225", "CM")</f>
        <v>CM</v>
      </c>
    </row>
    <row r="182" ht="7.5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</row>
    <row r="183" ht="18.75" customHeight="1">
      <c r="A183" s="18" t="s">
        <v>1189</v>
      </c>
      <c r="B183" s="19" t="s">
        <v>2476</v>
      </c>
      <c r="C183" s="20"/>
      <c r="D183" s="18" t="s">
        <v>1334</v>
      </c>
      <c r="E183" s="19" t="s">
        <v>2483</v>
      </c>
      <c r="F183" s="20"/>
      <c r="G183" s="18" t="s">
        <v>1335</v>
      </c>
      <c r="H183" s="19" t="s">
        <v>2482</v>
      </c>
      <c r="I183" s="20"/>
      <c r="J183" s="18" t="s">
        <v>1191</v>
      </c>
      <c r="K183" s="19" t="s">
        <v>2499</v>
      </c>
      <c r="L183" s="20"/>
      <c r="M183" s="18" t="s">
        <v>1336</v>
      </c>
      <c r="N183" s="19" t="s">
        <v>2501</v>
      </c>
      <c r="O183" s="20"/>
    </row>
    <row r="184" ht="180.0" customHeight="1">
      <c r="A184" s="21" t="str">
        <f>IMAGE("https://images.pokedata.ovh/en/me2-5/226.webp", 1)</f>
        <v/>
      </c>
      <c r="B184" s="22"/>
      <c r="C184" s="20"/>
      <c r="D184" s="21" t="str">
        <f>IMAGE("https://images.pokedata.ovh/en/me2-5/227.webp", 1)</f>
        <v/>
      </c>
      <c r="E184" s="22"/>
      <c r="F184" s="20"/>
      <c r="G184" s="21" t="str">
        <f>IMAGE("https://images.pokedata.ovh/en/me2-5/228.webp", 1)</f>
        <v/>
      </c>
      <c r="H184" s="22"/>
      <c r="I184" s="20"/>
      <c r="J184" s="21" t="str">
        <f>IMAGE("https://images.pokedata.ovh/en/me2-5/229.webp", 1)</f>
        <v/>
      </c>
      <c r="K184" s="22"/>
      <c r="L184" s="20"/>
      <c r="M184" s="21" t="str">
        <f>IMAGE("https://images.pokedata.ovh/en/me2-5/230.webp", 1)</f>
        <v/>
      </c>
      <c r="N184" s="22"/>
      <c r="O184" s="20"/>
    </row>
    <row r="185" ht="22.5" customHeight="1">
      <c r="A185" s="23" t="b">
        <v>0</v>
      </c>
      <c r="B185" s="24" t="b">
        <v>0</v>
      </c>
      <c r="C185" s="25" t="str">
        <f>HYPERLINK("https://www.cardmarket.com/en/Pokemon/Products/Singles?idCategory=1&amp;idProduct=me2pt5-226", "CM")</f>
        <v>CM</v>
      </c>
      <c r="D185" s="23" t="b">
        <v>0</v>
      </c>
      <c r="E185" s="24" t="b">
        <v>0</v>
      </c>
      <c r="F185" s="25" t="str">
        <f>HYPERLINK("https://www.cardmarket.com/en/Pokemon/Products/Singles?idCategory=1&amp;idProduct=me2pt5-227", "CM")</f>
        <v>CM</v>
      </c>
      <c r="G185" s="23" t="b">
        <v>0</v>
      </c>
      <c r="H185" s="24" t="b">
        <v>0</v>
      </c>
      <c r="I185" s="25" t="str">
        <f>HYPERLINK("https://www.cardmarket.com/en/Pokemon/Products/Singles?idCategory=1&amp;idProduct=me2pt5-228", "CM")</f>
        <v>CM</v>
      </c>
      <c r="J185" s="23" t="b">
        <v>0</v>
      </c>
      <c r="K185" s="24" t="b">
        <v>0</v>
      </c>
      <c r="L185" s="25" t="str">
        <f>HYPERLINK("https://www.cardmarket.com/en/Pokemon/Products/Singles?idCategory=1&amp;idProduct=me2pt5-229", "CM")</f>
        <v>CM</v>
      </c>
      <c r="M185" s="23" t="b">
        <v>0</v>
      </c>
      <c r="N185" s="24" t="b">
        <v>0</v>
      </c>
      <c r="O185" s="25" t="str">
        <f>HYPERLINK("https://www.cardmarket.com/en/Pokemon/Products/Singles?idCategory=1&amp;idProduct=me2pt5-230", "CM")</f>
        <v>CM</v>
      </c>
    </row>
    <row r="186" ht="7.5" customHeigh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</row>
    <row r="187" ht="18.75" customHeight="1">
      <c r="A187" s="18" t="s">
        <v>1337</v>
      </c>
      <c r="B187" s="19" t="s">
        <v>2506</v>
      </c>
      <c r="C187" s="20"/>
      <c r="D187" s="18" t="s">
        <v>1338</v>
      </c>
      <c r="E187" s="19" t="s">
        <v>1807</v>
      </c>
      <c r="F187" s="20"/>
      <c r="G187" s="18" t="s">
        <v>1339</v>
      </c>
      <c r="H187" s="19" t="s">
        <v>2516</v>
      </c>
      <c r="I187" s="20"/>
      <c r="J187" s="18" t="s">
        <v>1340</v>
      </c>
      <c r="K187" s="19" t="s">
        <v>2202</v>
      </c>
      <c r="L187" s="20"/>
      <c r="M187" s="18" t="s">
        <v>1193</v>
      </c>
      <c r="N187" s="19" t="s">
        <v>572</v>
      </c>
      <c r="O187" s="20"/>
    </row>
    <row r="188" ht="180.0" customHeight="1">
      <c r="A188" s="21" t="str">
        <f>IMAGE("https://images.pokedata.ovh/en/me2-5/231.webp", 1)</f>
        <v/>
      </c>
      <c r="B188" s="22"/>
      <c r="C188" s="20"/>
      <c r="D188" s="21" t="str">
        <f>IMAGE("https://images.pokedata.ovh/en/me2-5/232.webp", 1)</f>
        <v/>
      </c>
      <c r="E188" s="22"/>
      <c r="F188" s="20"/>
      <c r="G188" s="21" t="str">
        <f>IMAGE("https://images.pokedata.ovh/en/me2-5/233.webp", 1)</f>
        <v/>
      </c>
      <c r="H188" s="22"/>
      <c r="I188" s="20"/>
      <c r="J188" s="21" t="str">
        <f>IMAGE("https://images.pokedata.ovh/en/me2-5/234.webp", 1)</f>
        <v/>
      </c>
      <c r="K188" s="22"/>
      <c r="L188" s="20"/>
      <c r="M188" s="21" t="str">
        <f>IMAGE("https://images.pokedata.ovh/en/me2-5/235.webp", 1)</f>
        <v/>
      </c>
      <c r="N188" s="22"/>
      <c r="O188" s="20"/>
    </row>
    <row r="189" ht="22.5" customHeight="1">
      <c r="A189" s="23" t="b">
        <v>0</v>
      </c>
      <c r="B189" s="24" t="b">
        <v>0</v>
      </c>
      <c r="C189" s="25" t="str">
        <f>HYPERLINK("https://www.cardmarket.com/en/Pokemon/Products/Singles?idCategory=1&amp;idProduct=me2pt5-231", "CM")</f>
        <v>CM</v>
      </c>
      <c r="D189" s="23" t="b">
        <v>0</v>
      </c>
      <c r="E189" s="24" t="b">
        <v>0</v>
      </c>
      <c r="F189" s="25" t="str">
        <f>HYPERLINK("https://www.cardmarket.com/en/Pokemon/Products/Singles?idCategory=1&amp;idProduct=me2pt5-232", "CM")</f>
        <v>CM</v>
      </c>
      <c r="G189" s="23" t="b">
        <v>0</v>
      </c>
      <c r="H189" s="24" t="b">
        <v>0</v>
      </c>
      <c r="I189" s="25" t="str">
        <f>HYPERLINK("https://www.cardmarket.com/en/Pokemon/Products/Singles?idCategory=1&amp;idProduct=me2pt5-233", "CM")</f>
        <v>CM</v>
      </c>
      <c r="J189" s="23" t="b">
        <v>0</v>
      </c>
      <c r="K189" s="24" t="b">
        <v>0</v>
      </c>
      <c r="L189" s="25" t="str">
        <f>HYPERLINK("https://www.cardmarket.com/en/Pokemon/Products/Singles?idCategory=1&amp;idProduct=me2pt5-234", "CM")</f>
        <v>CM</v>
      </c>
      <c r="M189" s="23" t="b">
        <v>0</v>
      </c>
      <c r="N189" s="24" t="b">
        <v>0</v>
      </c>
      <c r="O189" s="25" t="str">
        <f>HYPERLINK("https://www.cardmarket.com/en/Pokemon/Products/Singles?idCategory=1&amp;idProduct=me2pt5-235", "CM")</f>
        <v>CM</v>
      </c>
    </row>
    <row r="190" ht="7.5" customHeight="1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</row>
    <row r="191" ht="18.75" customHeight="1">
      <c r="A191" s="18" t="s">
        <v>1341</v>
      </c>
      <c r="B191" s="19" t="s">
        <v>2521</v>
      </c>
      <c r="C191" s="20"/>
      <c r="D191" s="18" t="s">
        <v>1342</v>
      </c>
      <c r="E191" s="19" t="s">
        <v>2523</v>
      </c>
      <c r="F191" s="20"/>
      <c r="G191" s="18" t="s">
        <v>1343</v>
      </c>
      <c r="H191" s="19" t="s">
        <v>2524</v>
      </c>
      <c r="I191" s="20"/>
      <c r="J191" s="18" t="s">
        <v>1195</v>
      </c>
      <c r="K191" s="19" t="s">
        <v>2528</v>
      </c>
      <c r="L191" s="20"/>
      <c r="M191" s="18" t="s">
        <v>1344</v>
      </c>
      <c r="N191" s="19" t="s">
        <v>2529</v>
      </c>
      <c r="O191" s="20"/>
    </row>
    <row r="192" ht="180.0" customHeight="1">
      <c r="A192" s="21" t="str">
        <f>IMAGE("https://images.pokedata.ovh/en/me2-5/236.webp", 1)</f>
        <v/>
      </c>
      <c r="B192" s="22"/>
      <c r="C192" s="20"/>
      <c r="D192" s="21" t="str">
        <f>IMAGE("https://images.pokedata.ovh/en/me2-5/237.webp", 1)</f>
        <v/>
      </c>
      <c r="E192" s="22"/>
      <c r="F192" s="20"/>
      <c r="G192" s="21" t="str">
        <f>IMAGE("https://images.pokedata.ovh/en/me2-5/238.webp", 1)</f>
        <v/>
      </c>
      <c r="H192" s="22"/>
      <c r="I192" s="20"/>
      <c r="J192" s="21" t="str">
        <f>IMAGE("https://images.pokedata.ovh/en/me2-5/239.webp", 1)</f>
        <v/>
      </c>
      <c r="K192" s="22"/>
      <c r="L192" s="20"/>
      <c r="M192" s="21" t="str">
        <f>IMAGE("https://images.pokedata.ovh/en/me2-5/240.webp", 1)</f>
        <v/>
      </c>
      <c r="N192" s="22"/>
      <c r="O192" s="20"/>
    </row>
    <row r="193" ht="22.5" customHeight="1">
      <c r="A193" s="23" t="b">
        <v>0</v>
      </c>
      <c r="B193" s="24" t="b">
        <v>0</v>
      </c>
      <c r="C193" s="25" t="str">
        <f>HYPERLINK("https://www.cardmarket.com/en/Pokemon/Products/Singles?idCategory=1&amp;idProduct=me2pt5-236", "CM")</f>
        <v>CM</v>
      </c>
      <c r="D193" s="23" t="b">
        <v>0</v>
      </c>
      <c r="E193" s="24" t="b">
        <v>0</v>
      </c>
      <c r="F193" s="25" t="str">
        <f>HYPERLINK("https://www.cardmarket.com/en/Pokemon/Products/Singles?idCategory=1&amp;idProduct=me2pt5-237", "CM")</f>
        <v>CM</v>
      </c>
      <c r="G193" s="23" t="b">
        <v>0</v>
      </c>
      <c r="H193" s="24" t="b">
        <v>0</v>
      </c>
      <c r="I193" s="25" t="str">
        <f>HYPERLINK("https://www.cardmarket.com/en/Pokemon/Products/Singles?idCategory=1&amp;idProduct=me2pt5-238", "CM")</f>
        <v>CM</v>
      </c>
      <c r="J193" s="23" t="b">
        <v>0</v>
      </c>
      <c r="K193" s="24" t="b">
        <v>0</v>
      </c>
      <c r="L193" s="25" t="str">
        <f>HYPERLINK("https://www.cardmarket.com/en/Pokemon/Products/Singles?idCategory=1&amp;idProduct=me2pt5-239", "CM")</f>
        <v>CM</v>
      </c>
      <c r="M193" s="23" t="b">
        <v>0</v>
      </c>
      <c r="N193" s="24" t="b">
        <v>0</v>
      </c>
      <c r="O193" s="25" t="str">
        <f>HYPERLINK("https://www.cardmarket.com/en/Pokemon/Products/Singles?idCategory=1&amp;idProduct=me2pt5-240", "CM")</f>
        <v>CM</v>
      </c>
    </row>
    <row r="194" ht="7.5" customHeight="1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</row>
    <row r="195" ht="18.75" customHeight="1">
      <c r="A195" s="18" t="s">
        <v>1345</v>
      </c>
      <c r="B195" s="19" t="s">
        <v>2531</v>
      </c>
      <c r="C195" s="20"/>
      <c r="D195" s="18" t="s">
        <v>1346</v>
      </c>
      <c r="E195" s="19" t="s">
        <v>2540</v>
      </c>
      <c r="F195" s="20"/>
      <c r="G195" s="18" t="s">
        <v>1347</v>
      </c>
      <c r="H195" s="19" t="s">
        <v>2551</v>
      </c>
      <c r="I195" s="20"/>
      <c r="J195" s="18" t="s">
        <v>1197</v>
      </c>
      <c r="K195" s="19" t="s">
        <v>2555</v>
      </c>
      <c r="L195" s="20"/>
      <c r="M195" s="18" t="s">
        <v>1348</v>
      </c>
      <c r="N195" s="19" t="s">
        <v>2554</v>
      </c>
      <c r="O195" s="20"/>
    </row>
    <row r="196" ht="180.0" customHeight="1">
      <c r="A196" s="21" t="str">
        <f>IMAGE("https://images.pokedata.ovh/en/me2-5/241.webp", 1)</f>
        <v/>
      </c>
      <c r="B196" s="22"/>
      <c r="C196" s="20"/>
      <c r="D196" s="21" t="str">
        <f>IMAGE("https://images.pokedata.ovh/en/me2-5/242.webp", 1)</f>
        <v/>
      </c>
      <c r="E196" s="22"/>
      <c r="F196" s="20"/>
      <c r="G196" s="21" t="str">
        <f>IMAGE("https://images.pokedata.ovh/en/me2-5/243.webp", 1)</f>
        <v/>
      </c>
      <c r="H196" s="22"/>
      <c r="I196" s="20"/>
      <c r="J196" s="21" t="str">
        <f>IMAGE("https://images.pokedata.ovh/en/me2-5/244.webp", 1)</f>
        <v/>
      </c>
      <c r="K196" s="22"/>
      <c r="L196" s="20"/>
      <c r="M196" s="21" t="str">
        <f>IMAGE("https://images.pokedata.ovh/en/me2-5/245.webp", 1)</f>
        <v/>
      </c>
      <c r="N196" s="22"/>
      <c r="O196" s="20"/>
    </row>
    <row r="197" ht="22.5" customHeight="1">
      <c r="A197" s="23" t="b">
        <v>0</v>
      </c>
      <c r="B197" s="24" t="b">
        <v>0</v>
      </c>
      <c r="C197" s="25" t="str">
        <f>HYPERLINK("https://www.cardmarket.com/en/Pokemon/Products/Singles?idCategory=1&amp;idProduct=me2pt5-241", "CM")</f>
        <v>CM</v>
      </c>
      <c r="D197" s="23" t="b">
        <v>0</v>
      </c>
      <c r="E197" s="24" t="b">
        <v>0</v>
      </c>
      <c r="F197" s="25" t="str">
        <f>HYPERLINK("https://www.cardmarket.com/en/Pokemon/Products/Singles?idCategory=1&amp;idProduct=me2pt5-242", "CM")</f>
        <v>CM</v>
      </c>
      <c r="G197" s="23" t="b">
        <v>0</v>
      </c>
      <c r="H197" s="24" t="b">
        <v>0</v>
      </c>
      <c r="I197" s="25" t="str">
        <f>HYPERLINK("https://www.cardmarket.com/en/Pokemon/Products/Singles?idCategory=1&amp;idProduct=me2pt5-243", "CM")</f>
        <v>CM</v>
      </c>
      <c r="J197" s="23" t="b">
        <v>0</v>
      </c>
      <c r="K197" s="24" t="b">
        <v>0</v>
      </c>
      <c r="L197" s="25" t="str">
        <f>HYPERLINK("https://www.cardmarket.com/en/Pokemon/Products/Singles?idCategory=1&amp;idProduct=me2pt5-244", "CM")</f>
        <v>CM</v>
      </c>
      <c r="M197" s="23" t="b">
        <v>0</v>
      </c>
      <c r="N197" s="24" t="b">
        <v>0</v>
      </c>
      <c r="O197" s="25" t="str">
        <f>HYPERLINK("https://www.cardmarket.com/en/Pokemon/Products/Singles?idCategory=1&amp;idProduct=me2pt5-245", "CM")</f>
        <v>CM</v>
      </c>
    </row>
    <row r="198" ht="7.5" customHeight="1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</row>
    <row r="199" ht="18.75" customHeight="1">
      <c r="A199" s="18" t="s">
        <v>1198</v>
      </c>
      <c r="B199" s="19" t="s">
        <v>2565</v>
      </c>
      <c r="C199" s="20"/>
      <c r="D199" s="18" t="s">
        <v>1349</v>
      </c>
      <c r="E199" s="19" t="s">
        <v>2578</v>
      </c>
      <c r="F199" s="20"/>
      <c r="G199" s="18" t="s">
        <v>1199</v>
      </c>
      <c r="H199" s="19" t="s">
        <v>2579</v>
      </c>
      <c r="I199" s="20"/>
      <c r="J199" s="18" t="s">
        <v>1350</v>
      </c>
      <c r="K199" s="19" t="s">
        <v>2590</v>
      </c>
      <c r="L199" s="20"/>
      <c r="M199" s="18" t="s">
        <v>1351</v>
      </c>
      <c r="N199" s="19" t="s">
        <v>2591</v>
      </c>
      <c r="O199" s="20"/>
    </row>
    <row r="200" ht="180.0" customHeight="1">
      <c r="A200" s="21" t="str">
        <f>IMAGE("https://images.pokedata.ovh/en/me2-5/246.webp", 1)</f>
        <v/>
      </c>
      <c r="B200" s="22"/>
      <c r="C200" s="20"/>
      <c r="D200" s="21" t="str">
        <f>IMAGE("https://images.pokedata.ovh/en/me2-5/247.webp", 1)</f>
        <v/>
      </c>
      <c r="E200" s="22"/>
      <c r="F200" s="20"/>
      <c r="G200" s="21" t="str">
        <f>IMAGE("https://images.pokedata.ovh/en/me2-5/248.webp", 1)</f>
        <v/>
      </c>
      <c r="H200" s="22"/>
      <c r="I200" s="20"/>
      <c r="J200" s="21" t="str">
        <f>IMAGE("https://images.pokedata.ovh/en/me2-5/249.webp", 1)</f>
        <v/>
      </c>
      <c r="K200" s="22"/>
      <c r="L200" s="20"/>
      <c r="M200" s="21" t="str">
        <f>IMAGE("https://images.pokedata.ovh/en/me2-5/250.webp", 1)</f>
        <v/>
      </c>
      <c r="N200" s="22"/>
      <c r="O200" s="20"/>
    </row>
    <row r="201" ht="22.5" customHeight="1">
      <c r="A201" s="23" t="b">
        <v>0</v>
      </c>
      <c r="B201" s="24" t="b">
        <v>0</v>
      </c>
      <c r="C201" s="25" t="str">
        <f>HYPERLINK("https://www.cardmarket.com/en/Pokemon/Products/Singles?idCategory=1&amp;idProduct=me2pt5-246", "CM")</f>
        <v>CM</v>
      </c>
      <c r="D201" s="23" t="b">
        <v>0</v>
      </c>
      <c r="E201" s="24" t="b">
        <v>0</v>
      </c>
      <c r="F201" s="25" t="str">
        <f>HYPERLINK("https://www.cardmarket.com/en/Pokemon/Products/Singles?idCategory=1&amp;idProduct=me2pt5-247", "CM")</f>
        <v>CM</v>
      </c>
      <c r="G201" s="23" t="b">
        <v>0</v>
      </c>
      <c r="H201" s="24" t="b">
        <v>0</v>
      </c>
      <c r="I201" s="25" t="str">
        <f>HYPERLINK("https://www.cardmarket.com/en/Pokemon/Products/Singles?idCategory=1&amp;idProduct=me2pt5-248", "CM")</f>
        <v>CM</v>
      </c>
      <c r="J201" s="23" t="b">
        <v>0</v>
      </c>
      <c r="K201" s="24" t="b">
        <v>0</v>
      </c>
      <c r="L201" s="25" t="str">
        <f>HYPERLINK("https://www.cardmarket.com/en/Pokemon/Products/Singles?idCategory=1&amp;idProduct=me2pt5-249", "CM")</f>
        <v>CM</v>
      </c>
      <c r="M201" s="23" t="b">
        <v>0</v>
      </c>
      <c r="N201" s="24" t="b">
        <v>0</v>
      </c>
      <c r="O201" s="25" t="str">
        <f>HYPERLINK("https://www.cardmarket.com/en/Pokemon/Products/Singles?idCategory=1&amp;idProduct=me2pt5-250", "CM")</f>
        <v>CM</v>
      </c>
    </row>
    <row r="202" ht="7.5" customHeight="1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</row>
    <row r="203" ht="18.75" customHeight="1">
      <c r="A203" s="18" t="s">
        <v>1352</v>
      </c>
      <c r="B203" s="19" t="s">
        <v>2636</v>
      </c>
      <c r="C203" s="20"/>
      <c r="D203" s="18" t="s">
        <v>1200</v>
      </c>
      <c r="E203" s="19" t="s">
        <v>2537</v>
      </c>
      <c r="F203" s="20"/>
      <c r="G203" s="18" t="s">
        <v>1353</v>
      </c>
      <c r="H203" s="19" t="s">
        <v>2592</v>
      </c>
      <c r="I203" s="20"/>
      <c r="J203" s="18" t="s">
        <v>1201</v>
      </c>
      <c r="K203" s="19" t="s">
        <v>2601</v>
      </c>
      <c r="L203" s="20"/>
      <c r="M203" s="18" t="s">
        <v>1354</v>
      </c>
      <c r="N203" s="19" t="s">
        <v>2637</v>
      </c>
      <c r="O203" s="20"/>
    </row>
    <row r="204" ht="180.0" customHeight="1">
      <c r="A204" s="21" t="str">
        <f>IMAGE("https://images.pokedata.ovh/en/me2-5/251.webp", 1)</f>
        <v/>
      </c>
      <c r="B204" s="22"/>
      <c r="C204" s="20"/>
      <c r="D204" s="21" t="str">
        <f>IMAGE("https://images.pokedata.ovh/en/me2-5/252.webp", 1)</f>
        <v/>
      </c>
      <c r="E204" s="22"/>
      <c r="F204" s="20"/>
      <c r="G204" s="21" t="str">
        <f>IMAGE("https://images.pokedata.ovh/en/me2-5/253.webp", 1)</f>
        <v/>
      </c>
      <c r="H204" s="22"/>
      <c r="I204" s="20"/>
      <c r="J204" s="21" t="str">
        <f>IMAGE("https://images.pokedata.ovh/en/me2-5/254.webp", 1)</f>
        <v/>
      </c>
      <c r="K204" s="22"/>
      <c r="L204" s="20"/>
      <c r="M204" s="21" t="str">
        <f>IMAGE("https://images.pokedata.ovh/en/me2-5/255.webp", 1)</f>
        <v/>
      </c>
      <c r="N204" s="22"/>
      <c r="O204" s="20"/>
    </row>
    <row r="205" ht="22.5" customHeight="1">
      <c r="A205" s="23" t="b">
        <v>0</v>
      </c>
      <c r="B205" s="24" t="b">
        <v>0</v>
      </c>
      <c r="C205" s="25" t="str">
        <f>HYPERLINK("https://www.cardmarket.com/en/Pokemon/Products/Singles?idCategory=1&amp;idProduct=me2pt5-251", "CM")</f>
        <v>CM</v>
      </c>
      <c r="D205" s="23" t="b">
        <v>0</v>
      </c>
      <c r="E205" s="24" t="b">
        <v>0</v>
      </c>
      <c r="F205" s="25" t="str">
        <f>HYPERLINK("https://www.cardmarket.com/en/Pokemon/Products/Singles?idCategory=1&amp;idProduct=me2pt5-252", "CM")</f>
        <v>CM</v>
      </c>
      <c r="G205" s="23" t="b">
        <v>0</v>
      </c>
      <c r="H205" s="24" t="b">
        <v>0</v>
      </c>
      <c r="I205" s="25" t="str">
        <f>HYPERLINK("https://www.cardmarket.com/en/Pokemon/Products/Singles?idCategory=1&amp;idProduct=me2pt5-253", "CM")</f>
        <v>CM</v>
      </c>
      <c r="J205" s="23" t="b">
        <v>0</v>
      </c>
      <c r="K205" s="24" t="b">
        <v>0</v>
      </c>
      <c r="L205" s="25" t="str">
        <f>HYPERLINK("https://www.cardmarket.com/en/Pokemon/Products/Singles?idCategory=1&amp;idProduct=me2pt5-254", "CM")</f>
        <v>CM</v>
      </c>
      <c r="M205" s="23" t="b">
        <v>0</v>
      </c>
      <c r="N205" s="24" t="b">
        <v>0</v>
      </c>
      <c r="O205" s="25" t="str">
        <f>HYPERLINK("https://www.cardmarket.com/en/Pokemon/Products/Singles?idCategory=1&amp;idProduct=me2pt5-255", "CM")</f>
        <v>CM</v>
      </c>
    </row>
    <row r="206" ht="7.5" customHeight="1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</row>
    <row r="207" ht="18.75" customHeight="1">
      <c r="A207" s="18" t="s">
        <v>1355</v>
      </c>
      <c r="B207" s="19" t="s">
        <v>2602</v>
      </c>
      <c r="C207" s="20"/>
      <c r="D207" s="18" t="s">
        <v>1356</v>
      </c>
      <c r="E207" s="19" t="s">
        <v>2604</v>
      </c>
      <c r="F207" s="20"/>
      <c r="G207" s="18" t="s">
        <v>1202</v>
      </c>
      <c r="H207" s="19" t="s">
        <v>2638</v>
      </c>
      <c r="I207" s="20"/>
      <c r="J207" s="18" t="s">
        <v>1714</v>
      </c>
      <c r="K207" s="19" t="s">
        <v>2605</v>
      </c>
      <c r="L207" s="20"/>
      <c r="M207" s="18" t="s">
        <v>1715</v>
      </c>
      <c r="N207" s="19" t="s">
        <v>2608</v>
      </c>
      <c r="O207" s="20"/>
    </row>
    <row r="208" ht="180.0" customHeight="1">
      <c r="A208" s="21" t="str">
        <f>IMAGE("https://images.pokedata.ovh/en/me2-5/256.webp", 1)</f>
        <v/>
      </c>
      <c r="B208" s="22"/>
      <c r="C208" s="20"/>
      <c r="D208" s="21" t="str">
        <f>IMAGE("https://images.pokedata.ovh/en/me2-5/257.webp", 1)</f>
        <v/>
      </c>
      <c r="E208" s="22"/>
      <c r="F208" s="20"/>
      <c r="G208" s="21" t="str">
        <f>IMAGE("https://images.pokedata.ovh/en/me2-5/258.webp", 1)</f>
        <v/>
      </c>
      <c r="H208" s="22"/>
      <c r="I208" s="20"/>
      <c r="J208" s="21" t="str">
        <f>IMAGE("https://images.pokedata.ovh/en/me2-5/259.webp", 1)</f>
        <v/>
      </c>
      <c r="K208" s="22"/>
      <c r="L208" s="20"/>
      <c r="M208" s="21" t="str">
        <f>IMAGE("https://images.pokedata.ovh/en/me2-5/260.webp", 1)</f>
        <v/>
      </c>
      <c r="N208" s="22"/>
      <c r="O208" s="20"/>
    </row>
    <row r="209" ht="22.5" customHeight="1">
      <c r="A209" s="23" t="b">
        <v>0</v>
      </c>
      <c r="B209" s="24" t="b">
        <v>0</v>
      </c>
      <c r="C209" s="25" t="str">
        <f>HYPERLINK("https://www.cardmarket.com/en/Pokemon/Products/Singles?idCategory=1&amp;idProduct=me2pt5-256", "CM")</f>
        <v>CM</v>
      </c>
      <c r="D209" s="23" t="b">
        <v>0</v>
      </c>
      <c r="E209" s="24" t="b">
        <v>0</v>
      </c>
      <c r="F209" s="25" t="str">
        <f>HYPERLINK("https://www.cardmarket.com/en/Pokemon/Products/Singles?idCategory=1&amp;idProduct=me2pt5-257", "CM")</f>
        <v>CM</v>
      </c>
      <c r="G209" s="23" t="b">
        <v>0</v>
      </c>
      <c r="H209" s="24" t="b">
        <v>0</v>
      </c>
      <c r="I209" s="25" t="str">
        <f>HYPERLINK("https://www.cardmarket.com/en/Pokemon/Products/Singles?idCategory=1&amp;idProduct=me2pt5-258", "CM")</f>
        <v>CM</v>
      </c>
      <c r="J209" s="23" t="b">
        <v>0</v>
      </c>
      <c r="K209" s="24" t="b">
        <v>0</v>
      </c>
      <c r="L209" s="25" t="str">
        <f>HYPERLINK("https://www.cardmarket.com/en/Pokemon/Products/Singles?idCategory=1&amp;idProduct=me2pt5-259", "CM")</f>
        <v>CM</v>
      </c>
      <c r="M209" s="23" t="b">
        <v>0</v>
      </c>
      <c r="N209" s="24" t="b">
        <v>0</v>
      </c>
      <c r="O209" s="25" t="str">
        <f>HYPERLINK("https://www.cardmarket.com/en/Pokemon/Products/Singles?idCategory=1&amp;idProduct=me2pt5-260", "CM")</f>
        <v>CM</v>
      </c>
    </row>
    <row r="210" ht="7.5" customHeight="1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</row>
    <row r="211" ht="18.75" customHeight="1">
      <c r="A211" s="18" t="s">
        <v>1716</v>
      </c>
      <c r="B211" s="19" t="s">
        <v>2639</v>
      </c>
      <c r="C211" s="20"/>
      <c r="D211" s="18" t="s">
        <v>1717</v>
      </c>
      <c r="E211" s="19" t="s">
        <v>2614</v>
      </c>
      <c r="F211" s="20"/>
      <c r="G211" s="18" t="s">
        <v>1718</v>
      </c>
      <c r="H211" s="19" t="s">
        <v>2627</v>
      </c>
      <c r="I211" s="20"/>
      <c r="J211" s="18" t="s">
        <v>1719</v>
      </c>
      <c r="K211" s="19" t="s">
        <v>2631</v>
      </c>
      <c r="L211" s="20"/>
      <c r="M211" s="18" t="s">
        <v>1720</v>
      </c>
      <c r="N211" s="19" t="s">
        <v>2484</v>
      </c>
      <c r="O211" s="20"/>
    </row>
    <row r="212" ht="180.0" customHeight="1">
      <c r="A212" s="21" t="str">
        <f>IMAGE("https://images.pokedata.ovh/en/me2-5/261.webp", 1)</f>
        <v/>
      </c>
      <c r="B212" s="22"/>
      <c r="C212" s="20"/>
      <c r="D212" s="21" t="str">
        <f>IMAGE("https://images.pokedata.ovh/en/me2-5/262.webp", 1)</f>
        <v/>
      </c>
      <c r="E212" s="22"/>
      <c r="F212" s="20"/>
      <c r="G212" s="21" t="str">
        <f>IMAGE("https://images.pokedata.ovh/en/me2-5/263.webp", 1)</f>
        <v/>
      </c>
      <c r="H212" s="22"/>
      <c r="I212" s="20"/>
      <c r="J212" s="21" t="str">
        <f>IMAGE("https://images.pokedata.ovh/en/me2-5/264.webp", 1)</f>
        <v/>
      </c>
      <c r="K212" s="22"/>
      <c r="L212" s="20"/>
      <c r="M212" s="21" t="str">
        <f>IMAGE("https://images.pokedata.ovh/en/me2-5/265.webp", 1)</f>
        <v/>
      </c>
      <c r="N212" s="22"/>
      <c r="O212" s="20"/>
    </row>
    <row r="213" ht="22.5" customHeight="1">
      <c r="A213" s="23" t="b">
        <v>0</v>
      </c>
      <c r="B213" s="24" t="b">
        <v>0</v>
      </c>
      <c r="C213" s="25" t="str">
        <f>HYPERLINK("https://www.cardmarket.com/en/Pokemon/Products/Singles?idCategory=1&amp;idProduct=me2pt5-261", "CM")</f>
        <v>CM</v>
      </c>
      <c r="D213" s="23" t="b">
        <v>0</v>
      </c>
      <c r="E213" s="24" t="b">
        <v>0</v>
      </c>
      <c r="F213" s="25" t="str">
        <f>HYPERLINK("https://www.cardmarket.com/en/Pokemon/Products/Singles?idCategory=1&amp;idProduct=me2pt5-262", "CM")</f>
        <v>CM</v>
      </c>
      <c r="G213" s="23" t="b">
        <v>0</v>
      </c>
      <c r="H213" s="24" t="b">
        <v>0</v>
      </c>
      <c r="I213" s="25" t="str">
        <f>HYPERLINK("https://www.cardmarket.com/en/Pokemon/Products/Singles?idCategory=1&amp;idProduct=me2pt5-263", "CM")</f>
        <v>CM</v>
      </c>
      <c r="J213" s="23" t="b">
        <v>0</v>
      </c>
      <c r="K213" s="24" t="b">
        <v>0</v>
      </c>
      <c r="L213" s="25" t="str">
        <f>HYPERLINK("https://www.cardmarket.com/en/Pokemon/Products/Singles?idCategory=1&amp;idProduct=me2pt5-264", "CM")</f>
        <v>CM</v>
      </c>
      <c r="M213" s="23" t="b">
        <v>0</v>
      </c>
      <c r="N213" s="24" t="b">
        <v>0</v>
      </c>
      <c r="O213" s="25" t="str">
        <f>HYPERLINK("https://www.cardmarket.com/en/Pokemon/Products/Singles?idCategory=1&amp;idProduct=me2pt5-265", "CM")</f>
        <v>CM</v>
      </c>
    </row>
    <row r="214" ht="7.5" customHeight="1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</row>
    <row r="215" ht="18.75" customHeight="1">
      <c r="A215" s="18" t="s">
        <v>1721</v>
      </c>
      <c r="B215" s="19" t="s">
        <v>2496</v>
      </c>
      <c r="C215" s="20"/>
      <c r="D215" s="18" t="s">
        <v>2640</v>
      </c>
      <c r="E215" s="19" t="s">
        <v>2641</v>
      </c>
      <c r="F215" s="20"/>
      <c r="G215" s="18" t="s">
        <v>2642</v>
      </c>
      <c r="H215" s="19" t="s">
        <v>2539</v>
      </c>
      <c r="I215" s="20"/>
      <c r="J215" s="18" t="s">
        <v>2643</v>
      </c>
      <c r="K215" s="19" t="s">
        <v>2548</v>
      </c>
      <c r="L215" s="20"/>
      <c r="M215" s="18" t="s">
        <v>2644</v>
      </c>
      <c r="N215" s="19" t="s">
        <v>2557</v>
      </c>
      <c r="O215" s="20"/>
    </row>
    <row r="216" ht="180.0" customHeight="1">
      <c r="A216" s="21" t="str">
        <f>IMAGE("https://images.pokedata.ovh/en/me2-5/266.webp", 1)</f>
        <v/>
      </c>
      <c r="B216" s="22"/>
      <c r="C216" s="20"/>
      <c r="D216" s="21" t="str">
        <f>IMAGE("https://images.pokedata.ovh/en/me2-5/267.webp", 1)</f>
        <v/>
      </c>
      <c r="E216" s="22"/>
      <c r="F216" s="20"/>
      <c r="G216" s="21" t="str">
        <f>IMAGE("https://images.pokedata.ovh/en/me2-5/268.webp", 1)</f>
        <v/>
      </c>
      <c r="H216" s="22"/>
      <c r="I216" s="20"/>
      <c r="J216" s="21" t="str">
        <f>IMAGE("https://images.pokedata.ovh/en/me2-5/269.webp", 1)</f>
        <v/>
      </c>
      <c r="K216" s="22"/>
      <c r="L216" s="20"/>
      <c r="M216" s="21" t="str">
        <f>IMAGE("https://images.pokedata.ovh/en/me2-5/270.webp", 1)</f>
        <v/>
      </c>
      <c r="N216" s="22"/>
      <c r="O216" s="20"/>
    </row>
    <row r="217" ht="22.5" customHeight="1">
      <c r="A217" s="23" t="b">
        <v>0</v>
      </c>
      <c r="B217" s="24" t="b">
        <v>0</v>
      </c>
      <c r="C217" s="25" t="str">
        <f>HYPERLINK("https://www.cardmarket.com/en/Pokemon/Products/Singles?idCategory=1&amp;idProduct=me2pt5-266", "CM")</f>
        <v>CM</v>
      </c>
      <c r="D217" s="23" t="b">
        <v>0</v>
      </c>
      <c r="E217" s="24" t="b">
        <v>0</v>
      </c>
      <c r="F217" s="25" t="str">
        <f>HYPERLINK("https://www.cardmarket.com/en/Pokemon/Products/Singles?idCategory=1&amp;idProduct=me2pt5-267", "CM")</f>
        <v>CM</v>
      </c>
      <c r="G217" s="23" t="b">
        <v>0</v>
      </c>
      <c r="H217" s="24" t="b">
        <v>0</v>
      </c>
      <c r="I217" s="25" t="str">
        <f>HYPERLINK("https://www.cardmarket.com/en/Pokemon/Products/Singles?idCategory=1&amp;idProduct=me2pt5-268", "CM")</f>
        <v>CM</v>
      </c>
      <c r="J217" s="23" t="b">
        <v>0</v>
      </c>
      <c r="K217" s="24" t="b">
        <v>0</v>
      </c>
      <c r="L217" s="25" t="str">
        <f>HYPERLINK("https://www.cardmarket.com/en/Pokemon/Products/Singles?idCategory=1&amp;idProduct=me2pt5-269", "CM")</f>
        <v>CM</v>
      </c>
      <c r="M217" s="23" t="b">
        <v>0</v>
      </c>
      <c r="N217" s="24" t="b">
        <v>0</v>
      </c>
      <c r="O217" s="25" t="str">
        <f>HYPERLINK("https://www.cardmarket.com/en/Pokemon/Products/Singles?idCategory=1&amp;idProduct=me2pt5-270", "CM")</f>
        <v>CM</v>
      </c>
    </row>
    <row r="218" ht="7.5" customHeight="1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</row>
    <row r="219" ht="18.75" customHeight="1">
      <c r="A219" s="18" t="s">
        <v>2645</v>
      </c>
      <c r="B219" s="19" t="s">
        <v>2572</v>
      </c>
      <c r="C219" s="20"/>
      <c r="D219" s="18" t="s">
        <v>2646</v>
      </c>
      <c r="E219" s="19" t="s">
        <v>2449</v>
      </c>
      <c r="F219" s="20"/>
      <c r="G219" s="18" t="s">
        <v>2647</v>
      </c>
      <c r="H219" s="19" t="s">
        <v>2468</v>
      </c>
      <c r="I219" s="20"/>
      <c r="J219" s="18" t="s">
        <v>2648</v>
      </c>
      <c r="K219" s="19" t="s">
        <v>2480</v>
      </c>
      <c r="L219" s="20"/>
      <c r="M219" s="18" t="s">
        <v>2649</v>
      </c>
      <c r="N219" s="19" t="s">
        <v>2484</v>
      </c>
      <c r="O219" s="20"/>
    </row>
    <row r="220" ht="180.0" customHeight="1">
      <c r="A220" s="21" t="str">
        <f>IMAGE("https://images.pokedata.ovh/en/me2-5/271.webp", 1)</f>
        <v/>
      </c>
      <c r="B220" s="22"/>
      <c r="C220" s="20"/>
      <c r="D220" s="21" t="str">
        <f>IMAGE("https://images.pokedata.ovh/en/me2-5/272.webp", 1)</f>
        <v/>
      </c>
      <c r="E220" s="22"/>
      <c r="F220" s="20"/>
      <c r="G220" s="21" t="str">
        <f>IMAGE("https://images.pokedata.ovh/en/me2-5/273.webp", 1)</f>
        <v/>
      </c>
      <c r="H220" s="22"/>
      <c r="I220" s="20"/>
      <c r="J220" s="21" t="str">
        <f>IMAGE("https://images.pokedata.ovh/en/me2-5/274.webp", 1)</f>
        <v/>
      </c>
      <c r="K220" s="22"/>
      <c r="L220" s="20"/>
      <c r="M220" s="21" t="str">
        <f>IMAGE("https://images.pokedata.ovh/en/me2-5/275.webp", 1)</f>
        <v/>
      </c>
      <c r="N220" s="22"/>
      <c r="O220" s="20"/>
    </row>
    <row r="221" ht="22.5" customHeight="1">
      <c r="A221" s="23" t="b">
        <v>0</v>
      </c>
      <c r="B221" s="24" t="b">
        <v>0</v>
      </c>
      <c r="C221" s="25" t="str">
        <f>HYPERLINK("https://www.cardmarket.com/en/Pokemon/Products/Singles?idCategory=1&amp;idProduct=me2pt5-271", "CM")</f>
        <v>CM</v>
      </c>
      <c r="D221" s="23" t="b">
        <v>0</v>
      </c>
      <c r="E221" s="24" t="b">
        <v>0</v>
      </c>
      <c r="F221" s="25" t="str">
        <f>HYPERLINK("https://www.cardmarket.com/en/Pokemon/Products/Singles?idCategory=1&amp;idProduct=me2pt5-272", "CM")</f>
        <v>CM</v>
      </c>
      <c r="G221" s="23" t="b">
        <v>0</v>
      </c>
      <c r="H221" s="24" t="b">
        <v>0</v>
      </c>
      <c r="I221" s="25" t="str">
        <f>HYPERLINK("https://www.cardmarket.com/en/Pokemon/Products/Singles?idCategory=1&amp;idProduct=me2pt5-273", "CM")</f>
        <v>CM</v>
      </c>
      <c r="J221" s="23" t="b">
        <v>0</v>
      </c>
      <c r="K221" s="24" t="b">
        <v>0</v>
      </c>
      <c r="L221" s="25" t="str">
        <f>HYPERLINK("https://www.cardmarket.com/en/Pokemon/Products/Singles?idCategory=1&amp;idProduct=me2pt5-274", "CM")</f>
        <v>CM</v>
      </c>
      <c r="M221" s="23" t="b">
        <v>0</v>
      </c>
      <c r="N221" s="24" t="b">
        <v>0</v>
      </c>
      <c r="O221" s="25" t="str">
        <f>HYPERLINK("https://www.cardmarket.com/en/Pokemon/Products/Singles?idCategory=1&amp;idProduct=me2pt5-275", "CM")</f>
        <v>CM</v>
      </c>
    </row>
    <row r="222" ht="7.5" customHeight="1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</row>
    <row r="223" ht="18.75" customHeight="1">
      <c r="A223" s="18" t="s">
        <v>2650</v>
      </c>
      <c r="B223" s="19" t="s">
        <v>2492</v>
      </c>
      <c r="C223" s="20"/>
      <c r="D223" s="18" t="s">
        <v>2651</v>
      </c>
      <c r="E223" s="19" t="s">
        <v>2492</v>
      </c>
      <c r="F223" s="20"/>
      <c r="G223" s="18" t="s">
        <v>2652</v>
      </c>
      <c r="H223" s="19" t="s">
        <v>2496</v>
      </c>
      <c r="I223" s="20"/>
      <c r="J223" s="18" t="s">
        <v>2653</v>
      </c>
      <c r="K223" s="19" t="s">
        <v>2505</v>
      </c>
      <c r="L223" s="20"/>
      <c r="M223" s="18" t="s">
        <v>2654</v>
      </c>
      <c r="N223" s="19" t="s">
        <v>2511</v>
      </c>
      <c r="O223" s="20"/>
    </row>
    <row r="224" ht="180.0" customHeight="1">
      <c r="A224" s="21" t="str">
        <f>IMAGE("https://images.pokedata.ovh/en/me2-5/276.webp", 1)</f>
        <v/>
      </c>
      <c r="B224" s="22"/>
      <c r="C224" s="20"/>
      <c r="D224" s="21" t="str">
        <f>IMAGE("https://images.pokedata.ovh/en/me2-5/277.webp", 1)</f>
        <v/>
      </c>
      <c r="E224" s="22"/>
      <c r="F224" s="20"/>
      <c r="G224" s="21" t="str">
        <f>IMAGE("https://images.pokedata.ovh/en/me2-5/278.webp", 1)</f>
        <v/>
      </c>
      <c r="H224" s="22"/>
      <c r="I224" s="20"/>
      <c r="J224" s="21" t="str">
        <f>IMAGE("https://images.pokedata.ovh/en/me2-5/279.webp", 1)</f>
        <v/>
      </c>
      <c r="K224" s="22"/>
      <c r="L224" s="20"/>
      <c r="M224" s="21" t="str">
        <f>IMAGE("https://images.pokedata.ovh/en/me2-5/280.webp", 1)</f>
        <v/>
      </c>
      <c r="N224" s="22"/>
      <c r="O224" s="20"/>
    </row>
    <row r="225" ht="22.5" customHeight="1">
      <c r="A225" s="23" t="b">
        <v>0</v>
      </c>
      <c r="B225" s="24" t="b">
        <v>0</v>
      </c>
      <c r="C225" s="25" t="str">
        <f>HYPERLINK("https://www.cardmarket.com/en/Pokemon/Products/Singles?idCategory=1&amp;idProduct=me2pt5-276", "CM")</f>
        <v>CM</v>
      </c>
      <c r="D225" s="23" t="b">
        <v>0</v>
      </c>
      <c r="E225" s="24" t="b">
        <v>0</v>
      </c>
      <c r="F225" s="25" t="str">
        <f>HYPERLINK("https://www.cardmarket.com/en/Pokemon/Products/Singles?idCategory=1&amp;idProduct=me2pt5-277", "CM")</f>
        <v>CM</v>
      </c>
      <c r="G225" s="23" t="b">
        <v>0</v>
      </c>
      <c r="H225" s="24" t="b">
        <v>0</v>
      </c>
      <c r="I225" s="25" t="str">
        <f>HYPERLINK("https://www.cardmarket.com/en/Pokemon/Products/Singles?idCategory=1&amp;idProduct=me2pt5-278", "CM")</f>
        <v>CM</v>
      </c>
      <c r="J225" s="23" t="b">
        <v>0</v>
      </c>
      <c r="K225" s="24" t="b">
        <v>0</v>
      </c>
      <c r="L225" s="25" t="str">
        <f>HYPERLINK("https://www.cardmarket.com/en/Pokemon/Products/Singles?idCategory=1&amp;idProduct=me2pt5-279", "CM")</f>
        <v>CM</v>
      </c>
      <c r="M225" s="23" t="b">
        <v>0</v>
      </c>
      <c r="N225" s="24" t="b">
        <v>0</v>
      </c>
      <c r="O225" s="25" t="str">
        <f>HYPERLINK("https://www.cardmarket.com/en/Pokemon/Products/Singles?idCategory=1&amp;idProduct=me2pt5-280", "CM")</f>
        <v>CM</v>
      </c>
    </row>
    <row r="226" ht="7.5" customHeight="1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</row>
    <row r="227" ht="18.75" customHeight="1">
      <c r="A227" s="18" t="s">
        <v>2655</v>
      </c>
      <c r="B227" s="19" t="s">
        <v>2514</v>
      </c>
      <c r="C227" s="20"/>
      <c r="D227" s="18" t="s">
        <v>2656</v>
      </c>
      <c r="E227" s="19" t="s">
        <v>2641</v>
      </c>
      <c r="F227" s="20"/>
      <c r="G227" s="18" t="s">
        <v>2657</v>
      </c>
      <c r="H227" s="19" t="s">
        <v>2539</v>
      </c>
      <c r="I227" s="20"/>
      <c r="J227" s="18" t="s">
        <v>2658</v>
      </c>
      <c r="K227" s="19" t="s">
        <v>2548</v>
      </c>
      <c r="L227" s="20"/>
      <c r="M227" s="18" t="s">
        <v>2659</v>
      </c>
      <c r="N227" s="19" t="s">
        <v>2557</v>
      </c>
      <c r="O227" s="20"/>
    </row>
    <row r="228" ht="180.0" customHeight="1">
      <c r="A228" s="21" t="str">
        <f>IMAGE("https://images.pokedata.ovh/en/me2-5/281.webp", 1)</f>
        <v/>
      </c>
      <c r="B228" s="22"/>
      <c r="C228" s="20"/>
      <c r="D228" s="21" t="str">
        <f>IMAGE("https://images.pokedata.ovh/en/me2-5/282.webp", 1)</f>
        <v/>
      </c>
      <c r="E228" s="22"/>
      <c r="F228" s="20"/>
      <c r="G228" s="21" t="str">
        <f>IMAGE("https://images.pokedata.ovh/en/me2-5/283.webp", 1)</f>
        <v/>
      </c>
      <c r="H228" s="22"/>
      <c r="I228" s="20"/>
      <c r="J228" s="21" t="str">
        <f>IMAGE("https://images.pokedata.ovh/en/me2-5/284.webp", 1)</f>
        <v/>
      </c>
      <c r="K228" s="22"/>
      <c r="L228" s="20"/>
      <c r="M228" s="21" t="str">
        <f>IMAGE("https://images.pokedata.ovh/en/me2-5/285.webp", 1)</f>
        <v/>
      </c>
      <c r="N228" s="22"/>
      <c r="O228" s="20"/>
    </row>
    <row r="229" ht="22.5" customHeight="1">
      <c r="A229" s="23" t="b">
        <v>0</v>
      </c>
      <c r="B229" s="24" t="b">
        <v>0</v>
      </c>
      <c r="C229" s="25" t="str">
        <f>HYPERLINK("https://www.cardmarket.com/en/Pokemon/Products/Singles?idCategory=1&amp;idProduct=me2pt5-281", "CM")</f>
        <v>CM</v>
      </c>
      <c r="D229" s="23" t="b">
        <v>0</v>
      </c>
      <c r="E229" s="24" t="b">
        <v>0</v>
      </c>
      <c r="F229" s="25" t="str">
        <f>HYPERLINK("https://www.cardmarket.com/en/Pokemon/Products/Singles?idCategory=1&amp;idProduct=me2pt5-282", "CM")</f>
        <v>CM</v>
      </c>
      <c r="G229" s="23" t="b">
        <v>0</v>
      </c>
      <c r="H229" s="24" t="b">
        <v>0</v>
      </c>
      <c r="I229" s="25" t="str">
        <f>HYPERLINK("https://www.cardmarket.com/en/Pokemon/Products/Singles?idCategory=1&amp;idProduct=me2pt5-283", "CM")</f>
        <v>CM</v>
      </c>
      <c r="J229" s="23" t="b">
        <v>0</v>
      </c>
      <c r="K229" s="24" t="b">
        <v>0</v>
      </c>
      <c r="L229" s="25" t="str">
        <f>HYPERLINK("https://www.cardmarket.com/en/Pokemon/Products/Singles?idCategory=1&amp;idProduct=me2pt5-284", "CM")</f>
        <v>CM</v>
      </c>
      <c r="M229" s="23" t="b">
        <v>0</v>
      </c>
      <c r="N229" s="24" t="b">
        <v>0</v>
      </c>
      <c r="O229" s="25" t="str">
        <f>HYPERLINK("https://www.cardmarket.com/en/Pokemon/Products/Singles?idCategory=1&amp;idProduct=me2pt5-285", "CM")</f>
        <v>CM</v>
      </c>
    </row>
    <row r="230" ht="7.5" customHeight="1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</row>
    <row r="231" ht="18.75" customHeight="1">
      <c r="A231" s="18" t="s">
        <v>2660</v>
      </c>
      <c r="B231" s="19" t="s">
        <v>2559</v>
      </c>
      <c r="C231" s="20"/>
      <c r="D231" s="18" t="s">
        <v>2661</v>
      </c>
      <c r="E231" s="19" t="s">
        <v>2662</v>
      </c>
      <c r="F231" s="20"/>
      <c r="G231" s="18" t="s">
        <v>2663</v>
      </c>
      <c r="H231" s="19" t="s">
        <v>2563</v>
      </c>
      <c r="I231" s="20"/>
      <c r="J231" s="18" t="s">
        <v>2664</v>
      </c>
      <c r="K231" s="19" t="s">
        <v>2665</v>
      </c>
      <c r="L231" s="20"/>
      <c r="M231" s="18" t="s">
        <v>2666</v>
      </c>
      <c r="N231" s="19" t="s">
        <v>2572</v>
      </c>
      <c r="O231" s="20"/>
    </row>
    <row r="232" ht="180.0" customHeight="1">
      <c r="A232" s="21" t="str">
        <f>IMAGE("https://images.pokedata.ovh/en/me2-5/286.webp", 1)</f>
        <v/>
      </c>
      <c r="B232" s="22"/>
      <c r="C232" s="20"/>
      <c r="D232" s="21" t="str">
        <f>IMAGE("https://images.pokedata.ovh/en/me2-5/287.webp", 1)</f>
        <v/>
      </c>
      <c r="E232" s="22"/>
      <c r="F232" s="20"/>
      <c r="G232" s="21" t="str">
        <f>IMAGE("https://images.pokedata.ovh/en/me2-5/288.webp", 1)</f>
        <v/>
      </c>
      <c r="H232" s="22"/>
      <c r="I232" s="20"/>
      <c r="J232" s="21" t="str">
        <f>IMAGE("https://images.pokedata.ovh/en/me2-5/289.webp", 1)</f>
        <v/>
      </c>
      <c r="K232" s="22"/>
      <c r="L232" s="20"/>
      <c r="M232" s="21" t="str">
        <f>IMAGE("https://images.pokedata.ovh/en/me2-5/290.webp", 1)</f>
        <v/>
      </c>
      <c r="N232" s="22"/>
      <c r="O232" s="20"/>
    </row>
    <row r="233" ht="22.5" customHeight="1">
      <c r="A233" s="23" t="b">
        <v>0</v>
      </c>
      <c r="B233" s="24" t="b">
        <v>0</v>
      </c>
      <c r="C233" s="25" t="str">
        <f>HYPERLINK("https://www.cardmarket.com/en/Pokemon/Products/Singles?idCategory=1&amp;idProduct=me2pt5-286", "CM")</f>
        <v>CM</v>
      </c>
      <c r="D233" s="23" t="b">
        <v>0</v>
      </c>
      <c r="E233" s="24" t="b">
        <v>0</v>
      </c>
      <c r="F233" s="25" t="str">
        <f>HYPERLINK("https://www.cardmarket.com/en/Pokemon/Products/Singles?idCategory=1&amp;idProduct=me2pt5-287", "CM")</f>
        <v>CM</v>
      </c>
      <c r="G233" s="23" t="b">
        <v>0</v>
      </c>
      <c r="H233" s="24" t="b">
        <v>0</v>
      </c>
      <c r="I233" s="25" t="str">
        <f>HYPERLINK("https://www.cardmarket.com/en/Pokemon/Products/Singles?idCategory=1&amp;idProduct=me2pt5-288", "CM")</f>
        <v>CM</v>
      </c>
      <c r="J233" s="23" t="b">
        <v>0</v>
      </c>
      <c r="K233" s="24" t="b">
        <v>0</v>
      </c>
      <c r="L233" s="25" t="str">
        <f>HYPERLINK("https://www.cardmarket.com/en/Pokemon/Products/Singles?idCategory=1&amp;idProduct=me2pt5-289", "CM")</f>
        <v>CM</v>
      </c>
      <c r="M233" s="23" t="b">
        <v>0</v>
      </c>
      <c r="N233" s="24" t="b">
        <v>0</v>
      </c>
      <c r="O233" s="25" t="str">
        <f>HYPERLINK("https://www.cardmarket.com/en/Pokemon/Products/Singles?idCategory=1&amp;idProduct=me2pt5-290", "CM")</f>
        <v>CM</v>
      </c>
    </row>
    <row r="234" ht="7.5" customHeight="1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</row>
    <row r="235" ht="18.75" customHeight="1">
      <c r="A235" s="18" t="s">
        <v>2667</v>
      </c>
      <c r="B235" s="19" t="s">
        <v>2604</v>
      </c>
      <c r="C235" s="20"/>
      <c r="D235" s="18" t="s">
        <v>2668</v>
      </c>
      <c r="E235" s="19" t="s">
        <v>2609</v>
      </c>
      <c r="F235" s="20"/>
      <c r="G235" s="18" t="s">
        <v>2669</v>
      </c>
      <c r="H235" s="19" t="s">
        <v>2136</v>
      </c>
      <c r="I235" s="20"/>
      <c r="J235" s="18" t="s">
        <v>2670</v>
      </c>
      <c r="K235" s="19" t="s">
        <v>2461</v>
      </c>
      <c r="L235" s="20"/>
      <c r="M235" s="18" t="s">
        <v>2671</v>
      </c>
      <c r="N235" s="19" t="s">
        <v>2572</v>
      </c>
      <c r="O235" s="20"/>
    </row>
    <row r="236" ht="180.0" customHeight="1">
      <c r="A236" s="21" t="str">
        <f>IMAGE("https://images.pokedata.ovh/en/me2-5/291.webp", 1)</f>
        <v/>
      </c>
      <c r="B236" s="22"/>
      <c r="C236" s="20"/>
      <c r="D236" s="21" t="str">
        <f>IMAGE("https://images.pokedata.ovh/en/me2-5/292.webp", 1)</f>
        <v/>
      </c>
      <c r="E236" s="22"/>
      <c r="F236" s="20"/>
      <c r="G236" s="21" t="str">
        <f>IMAGE("https://images.pokedata.ovh/en/me2-5/293.webp", 1)</f>
        <v/>
      </c>
      <c r="H236" s="22"/>
      <c r="I236" s="20"/>
      <c r="J236" s="21" t="str">
        <f>IMAGE("https://images.pokedata.ovh/en/me2-5/294.webp", 1)</f>
        <v/>
      </c>
      <c r="K236" s="22"/>
      <c r="L236" s="20"/>
      <c r="M236" s="21" t="str">
        <f>IMAGE("https://images.pokedata.ovh/en/me2-5/295.webp", 1)</f>
        <v/>
      </c>
      <c r="N236" s="22"/>
      <c r="O236" s="20"/>
    </row>
    <row r="237" ht="22.5" customHeight="1">
      <c r="A237" s="23" t="b">
        <v>0</v>
      </c>
      <c r="B237" s="24" t="b">
        <v>0</v>
      </c>
      <c r="C237" s="25" t="str">
        <f>HYPERLINK("https://www.cardmarket.com/en/Pokemon/Products/Singles?idCategory=1&amp;idProduct=me2pt5-291", "CM")</f>
        <v>CM</v>
      </c>
      <c r="D237" s="23" t="b">
        <v>0</v>
      </c>
      <c r="E237" s="24" t="b">
        <v>0</v>
      </c>
      <c r="F237" s="25" t="str">
        <f>HYPERLINK("https://www.cardmarket.com/en/Pokemon/Products/Singles?idCategory=1&amp;idProduct=me2pt5-292", "CM")</f>
        <v>CM</v>
      </c>
      <c r="G237" s="23" t="b">
        <v>0</v>
      </c>
      <c r="H237" s="24" t="b">
        <v>0</v>
      </c>
      <c r="I237" s="25" t="str">
        <f>HYPERLINK("https://www.cardmarket.com/en/Pokemon/Products/Singles?idCategory=1&amp;idProduct=me2pt5-293", "CM")</f>
        <v>CM</v>
      </c>
      <c r="J237" s="23" t="b">
        <v>0</v>
      </c>
      <c r="K237" s="24" t="b">
        <v>0</v>
      </c>
      <c r="L237" s="25" t="str">
        <f>HYPERLINK("https://www.cardmarket.com/en/Pokemon/Products/Singles?idCategory=1&amp;idProduct=me2pt5-294", "CM")</f>
        <v>CM</v>
      </c>
      <c r="M237" s="23" t="b">
        <v>0</v>
      </c>
      <c r="N237" s="24" t="b">
        <v>0</v>
      </c>
      <c r="O237" s="25" t="str">
        <f>HYPERLINK("https://www.cardmarket.com/en/Pokemon/Products/Singles?idCategory=1&amp;idProduct=me2pt5-295", "CM")</f>
        <v>CM</v>
      </c>
    </row>
    <row r="238" ht="7.5" customHeight="1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</row>
  </sheetData>
  <mergeCells count="592">
    <mergeCell ref="H3:I3"/>
    <mergeCell ref="K3:L3"/>
    <mergeCell ref="J4:L4"/>
    <mergeCell ref="N3:O3"/>
    <mergeCell ref="M4:O4"/>
    <mergeCell ref="A1:N1"/>
    <mergeCell ref="A2:O2"/>
    <mergeCell ref="B3:C3"/>
    <mergeCell ref="A4:C4"/>
    <mergeCell ref="E3:F3"/>
    <mergeCell ref="D4:F4"/>
    <mergeCell ref="G4:I4"/>
    <mergeCell ref="K7:L7"/>
    <mergeCell ref="N7:O7"/>
    <mergeCell ref="M8:O8"/>
    <mergeCell ref="B7:C7"/>
    <mergeCell ref="A8:C8"/>
    <mergeCell ref="E7:F7"/>
    <mergeCell ref="D8:F8"/>
    <mergeCell ref="H7:I7"/>
    <mergeCell ref="G8:I8"/>
    <mergeCell ref="J8:L8"/>
    <mergeCell ref="K11:L11"/>
    <mergeCell ref="N11:O11"/>
    <mergeCell ref="M12:O12"/>
    <mergeCell ref="B11:C11"/>
    <mergeCell ref="A12:C12"/>
    <mergeCell ref="E11:F11"/>
    <mergeCell ref="D12:F12"/>
    <mergeCell ref="H11:I11"/>
    <mergeCell ref="G12:I12"/>
    <mergeCell ref="J12:L12"/>
    <mergeCell ref="K27:L27"/>
    <mergeCell ref="N27:O27"/>
    <mergeCell ref="M28:O28"/>
    <mergeCell ref="B27:C27"/>
    <mergeCell ref="A28:C28"/>
    <mergeCell ref="E27:F27"/>
    <mergeCell ref="D28:F28"/>
    <mergeCell ref="H27:I27"/>
    <mergeCell ref="G28:I28"/>
    <mergeCell ref="J28:L28"/>
    <mergeCell ref="K31:L31"/>
    <mergeCell ref="N31:O31"/>
    <mergeCell ref="M32:O32"/>
    <mergeCell ref="B31:C31"/>
    <mergeCell ref="A32:C32"/>
    <mergeCell ref="E31:F31"/>
    <mergeCell ref="D32:F32"/>
    <mergeCell ref="H31:I31"/>
    <mergeCell ref="G32:I32"/>
    <mergeCell ref="J32:L32"/>
    <mergeCell ref="K35:L35"/>
    <mergeCell ref="N35:O35"/>
    <mergeCell ref="M36:O36"/>
    <mergeCell ref="B35:C35"/>
    <mergeCell ref="A36:C36"/>
    <mergeCell ref="E35:F35"/>
    <mergeCell ref="D36:F36"/>
    <mergeCell ref="H35:I35"/>
    <mergeCell ref="G36:I36"/>
    <mergeCell ref="J36:L36"/>
    <mergeCell ref="K39:L39"/>
    <mergeCell ref="N39:O39"/>
    <mergeCell ref="M40:O40"/>
    <mergeCell ref="B39:C39"/>
    <mergeCell ref="A40:C40"/>
    <mergeCell ref="E39:F39"/>
    <mergeCell ref="D40:F40"/>
    <mergeCell ref="H39:I39"/>
    <mergeCell ref="G40:I40"/>
    <mergeCell ref="J40:L40"/>
    <mergeCell ref="K43:L43"/>
    <mergeCell ref="N43:O43"/>
    <mergeCell ref="M44:O44"/>
    <mergeCell ref="B43:C43"/>
    <mergeCell ref="A44:C44"/>
    <mergeCell ref="E43:F43"/>
    <mergeCell ref="D44:F44"/>
    <mergeCell ref="H43:I43"/>
    <mergeCell ref="G44:I44"/>
    <mergeCell ref="J44:L44"/>
    <mergeCell ref="K47:L47"/>
    <mergeCell ref="N47:O47"/>
    <mergeCell ref="M48:O48"/>
    <mergeCell ref="B47:C47"/>
    <mergeCell ref="A48:C48"/>
    <mergeCell ref="E47:F47"/>
    <mergeCell ref="D48:F48"/>
    <mergeCell ref="H47:I47"/>
    <mergeCell ref="G48:I48"/>
    <mergeCell ref="J48:L48"/>
    <mergeCell ref="K51:L51"/>
    <mergeCell ref="N51:O51"/>
    <mergeCell ref="M52:O52"/>
    <mergeCell ref="B51:C51"/>
    <mergeCell ref="A52:C52"/>
    <mergeCell ref="E51:F51"/>
    <mergeCell ref="D52:F52"/>
    <mergeCell ref="H51:I51"/>
    <mergeCell ref="G52:I52"/>
    <mergeCell ref="J52:L52"/>
    <mergeCell ref="K55:L55"/>
    <mergeCell ref="N55:O55"/>
    <mergeCell ref="M56:O56"/>
    <mergeCell ref="B55:C55"/>
    <mergeCell ref="A56:C56"/>
    <mergeCell ref="E55:F55"/>
    <mergeCell ref="D56:F56"/>
    <mergeCell ref="H55:I55"/>
    <mergeCell ref="G56:I56"/>
    <mergeCell ref="J56:L56"/>
    <mergeCell ref="K59:L59"/>
    <mergeCell ref="N59:O59"/>
    <mergeCell ref="M60:O60"/>
    <mergeCell ref="B59:C59"/>
    <mergeCell ref="A60:C60"/>
    <mergeCell ref="E59:F59"/>
    <mergeCell ref="D60:F60"/>
    <mergeCell ref="H59:I59"/>
    <mergeCell ref="G60:I60"/>
    <mergeCell ref="J60:L60"/>
    <mergeCell ref="K63:L63"/>
    <mergeCell ref="N63:O63"/>
    <mergeCell ref="M64:O64"/>
    <mergeCell ref="B63:C63"/>
    <mergeCell ref="A64:C64"/>
    <mergeCell ref="E63:F63"/>
    <mergeCell ref="D64:F64"/>
    <mergeCell ref="H63:I63"/>
    <mergeCell ref="G64:I64"/>
    <mergeCell ref="J64:L64"/>
    <mergeCell ref="K67:L67"/>
    <mergeCell ref="N67:O67"/>
    <mergeCell ref="M68:O68"/>
    <mergeCell ref="B67:C67"/>
    <mergeCell ref="A68:C68"/>
    <mergeCell ref="E67:F67"/>
    <mergeCell ref="D68:F68"/>
    <mergeCell ref="H67:I67"/>
    <mergeCell ref="G68:I68"/>
    <mergeCell ref="J68:L68"/>
    <mergeCell ref="K71:L71"/>
    <mergeCell ref="N71:O71"/>
    <mergeCell ref="M72:O72"/>
    <mergeCell ref="B71:C71"/>
    <mergeCell ref="A72:C72"/>
    <mergeCell ref="E71:F71"/>
    <mergeCell ref="D72:F72"/>
    <mergeCell ref="H71:I71"/>
    <mergeCell ref="G72:I72"/>
    <mergeCell ref="J72:L72"/>
    <mergeCell ref="K75:L75"/>
    <mergeCell ref="N75:O75"/>
    <mergeCell ref="M76:O76"/>
    <mergeCell ref="B75:C75"/>
    <mergeCell ref="A76:C76"/>
    <mergeCell ref="E75:F75"/>
    <mergeCell ref="D76:F76"/>
    <mergeCell ref="H75:I75"/>
    <mergeCell ref="G76:I76"/>
    <mergeCell ref="J76:L76"/>
    <mergeCell ref="K79:L79"/>
    <mergeCell ref="N79:O79"/>
    <mergeCell ref="M80:O80"/>
    <mergeCell ref="B79:C79"/>
    <mergeCell ref="A80:C80"/>
    <mergeCell ref="E79:F79"/>
    <mergeCell ref="D80:F80"/>
    <mergeCell ref="H79:I79"/>
    <mergeCell ref="G80:I80"/>
    <mergeCell ref="J80:L80"/>
    <mergeCell ref="K83:L83"/>
    <mergeCell ref="N83:O83"/>
    <mergeCell ref="M84:O84"/>
    <mergeCell ref="B83:C83"/>
    <mergeCell ref="A84:C84"/>
    <mergeCell ref="E83:F83"/>
    <mergeCell ref="D84:F84"/>
    <mergeCell ref="H83:I83"/>
    <mergeCell ref="G84:I84"/>
    <mergeCell ref="J84:L84"/>
    <mergeCell ref="K87:L87"/>
    <mergeCell ref="N87:O87"/>
    <mergeCell ref="M88:O88"/>
    <mergeCell ref="B87:C87"/>
    <mergeCell ref="A88:C88"/>
    <mergeCell ref="E87:F87"/>
    <mergeCell ref="D88:F88"/>
    <mergeCell ref="H87:I87"/>
    <mergeCell ref="G88:I88"/>
    <mergeCell ref="J88:L88"/>
    <mergeCell ref="K91:L91"/>
    <mergeCell ref="N91:O91"/>
    <mergeCell ref="M92:O92"/>
    <mergeCell ref="B91:C91"/>
    <mergeCell ref="A92:C92"/>
    <mergeCell ref="E91:F91"/>
    <mergeCell ref="D92:F92"/>
    <mergeCell ref="H91:I91"/>
    <mergeCell ref="G92:I92"/>
    <mergeCell ref="J92:L92"/>
    <mergeCell ref="K95:L95"/>
    <mergeCell ref="N95:O95"/>
    <mergeCell ref="M96:O96"/>
    <mergeCell ref="B95:C95"/>
    <mergeCell ref="A96:C96"/>
    <mergeCell ref="E95:F95"/>
    <mergeCell ref="D96:F96"/>
    <mergeCell ref="H95:I95"/>
    <mergeCell ref="G96:I96"/>
    <mergeCell ref="J96:L96"/>
    <mergeCell ref="K99:L99"/>
    <mergeCell ref="N99:O99"/>
    <mergeCell ref="M100:O100"/>
    <mergeCell ref="B99:C99"/>
    <mergeCell ref="A100:C100"/>
    <mergeCell ref="E99:F99"/>
    <mergeCell ref="D100:F100"/>
    <mergeCell ref="H99:I99"/>
    <mergeCell ref="G100:I100"/>
    <mergeCell ref="J100:L100"/>
    <mergeCell ref="K103:L103"/>
    <mergeCell ref="N103:O103"/>
    <mergeCell ref="M104:O104"/>
    <mergeCell ref="B103:C103"/>
    <mergeCell ref="A104:C104"/>
    <mergeCell ref="E103:F103"/>
    <mergeCell ref="D104:F104"/>
    <mergeCell ref="H103:I103"/>
    <mergeCell ref="G104:I104"/>
    <mergeCell ref="J104:L104"/>
    <mergeCell ref="K107:L107"/>
    <mergeCell ref="N107:O107"/>
    <mergeCell ref="M108:O108"/>
    <mergeCell ref="B107:C107"/>
    <mergeCell ref="A108:C108"/>
    <mergeCell ref="E107:F107"/>
    <mergeCell ref="D108:F108"/>
    <mergeCell ref="H107:I107"/>
    <mergeCell ref="G108:I108"/>
    <mergeCell ref="J108:L108"/>
    <mergeCell ref="K111:L111"/>
    <mergeCell ref="N111:O111"/>
    <mergeCell ref="M112:O112"/>
    <mergeCell ref="B111:C111"/>
    <mergeCell ref="A112:C112"/>
    <mergeCell ref="E111:F111"/>
    <mergeCell ref="D112:F112"/>
    <mergeCell ref="H111:I111"/>
    <mergeCell ref="G112:I112"/>
    <mergeCell ref="J112:L112"/>
    <mergeCell ref="K115:L115"/>
    <mergeCell ref="N115:O115"/>
    <mergeCell ref="M116:O116"/>
    <mergeCell ref="B115:C115"/>
    <mergeCell ref="A116:C116"/>
    <mergeCell ref="E115:F115"/>
    <mergeCell ref="D116:F116"/>
    <mergeCell ref="H115:I115"/>
    <mergeCell ref="G116:I116"/>
    <mergeCell ref="J116:L116"/>
    <mergeCell ref="K119:L119"/>
    <mergeCell ref="N119:O119"/>
    <mergeCell ref="M120:O120"/>
    <mergeCell ref="B119:C119"/>
    <mergeCell ref="A120:C120"/>
    <mergeCell ref="E119:F119"/>
    <mergeCell ref="D120:F120"/>
    <mergeCell ref="H119:I119"/>
    <mergeCell ref="G120:I120"/>
    <mergeCell ref="J120:L120"/>
    <mergeCell ref="K123:L123"/>
    <mergeCell ref="N123:O123"/>
    <mergeCell ref="M124:O124"/>
    <mergeCell ref="B123:C123"/>
    <mergeCell ref="A124:C124"/>
    <mergeCell ref="E123:F123"/>
    <mergeCell ref="D124:F124"/>
    <mergeCell ref="H123:I123"/>
    <mergeCell ref="G124:I124"/>
    <mergeCell ref="J124:L124"/>
    <mergeCell ref="K127:L127"/>
    <mergeCell ref="N127:O127"/>
    <mergeCell ref="M128:O128"/>
    <mergeCell ref="B127:C127"/>
    <mergeCell ref="A128:C128"/>
    <mergeCell ref="E127:F127"/>
    <mergeCell ref="D128:F128"/>
    <mergeCell ref="H127:I127"/>
    <mergeCell ref="G128:I128"/>
    <mergeCell ref="J128:L128"/>
    <mergeCell ref="K131:L131"/>
    <mergeCell ref="N131:O131"/>
    <mergeCell ref="M132:O132"/>
    <mergeCell ref="B131:C131"/>
    <mergeCell ref="A132:C132"/>
    <mergeCell ref="E131:F131"/>
    <mergeCell ref="D132:F132"/>
    <mergeCell ref="H131:I131"/>
    <mergeCell ref="G132:I132"/>
    <mergeCell ref="J132:L132"/>
    <mergeCell ref="K135:L135"/>
    <mergeCell ref="N135:O135"/>
    <mergeCell ref="M136:O136"/>
    <mergeCell ref="B135:C135"/>
    <mergeCell ref="A136:C136"/>
    <mergeCell ref="E135:F135"/>
    <mergeCell ref="D136:F136"/>
    <mergeCell ref="H135:I135"/>
    <mergeCell ref="G136:I136"/>
    <mergeCell ref="J136:L136"/>
    <mergeCell ref="K139:L139"/>
    <mergeCell ref="N139:O139"/>
    <mergeCell ref="M140:O140"/>
    <mergeCell ref="B139:C139"/>
    <mergeCell ref="A140:C140"/>
    <mergeCell ref="E139:F139"/>
    <mergeCell ref="D140:F140"/>
    <mergeCell ref="H139:I139"/>
    <mergeCell ref="G140:I140"/>
    <mergeCell ref="J140:L140"/>
    <mergeCell ref="K143:L143"/>
    <mergeCell ref="N143:O143"/>
    <mergeCell ref="M144:O144"/>
    <mergeCell ref="B143:C143"/>
    <mergeCell ref="A144:C144"/>
    <mergeCell ref="E143:F143"/>
    <mergeCell ref="D144:F144"/>
    <mergeCell ref="H143:I143"/>
    <mergeCell ref="G144:I144"/>
    <mergeCell ref="J144:L144"/>
    <mergeCell ref="K147:L147"/>
    <mergeCell ref="N147:O147"/>
    <mergeCell ref="M148:O148"/>
    <mergeCell ref="B147:C147"/>
    <mergeCell ref="A148:C148"/>
    <mergeCell ref="E147:F147"/>
    <mergeCell ref="D148:F148"/>
    <mergeCell ref="H147:I147"/>
    <mergeCell ref="G148:I148"/>
    <mergeCell ref="J148:L148"/>
    <mergeCell ref="K151:L151"/>
    <mergeCell ref="N151:O151"/>
    <mergeCell ref="M152:O152"/>
    <mergeCell ref="B151:C151"/>
    <mergeCell ref="A152:C152"/>
    <mergeCell ref="E151:F151"/>
    <mergeCell ref="D152:F152"/>
    <mergeCell ref="H151:I151"/>
    <mergeCell ref="G152:I152"/>
    <mergeCell ref="J152:L152"/>
    <mergeCell ref="K155:L155"/>
    <mergeCell ref="N155:O155"/>
    <mergeCell ref="M156:O156"/>
    <mergeCell ref="B155:C155"/>
    <mergeCell ref="A156:C156"/>
    <mergeCell ref="E155:F155"/>
    <mergeCell ref="D156:F156"/>
    <mergeCell ref="H155:I155"/>
    <mergeCell ref="G156:I156"/>
    <mergeCell ref="J156:L156"/>
    <mergeCell ref="K159:L159"/>
    <mergeCell ref="N159:O159"/>
    <mergeCell ref="M160:O160"/>
    <mergeCell ref="B159:C159"/>
    <mergeCell ref="A160:C160"/>
    <mergeCell ref="E159:F159"/>
    <mergeCell ref="D160:F160"/>
    <mergeCell ref="H159:I159"/>
    <mergeCell ref="G160:I160"/>
    <mergeCell ref="J160:L160"/>
    <mergeCell ref="K163:L163"/>
    <mergeCell ref="N163:O163"/>
    <mergeCell ref="M164:O164"/>
    <mergeCell ref="B163:C163"/>
    <mergeCell ref="A164:C164"/>
    <mergeCell ref="E163:F163"/>
    <mergeCell ref="D164:F164"/>
    <mergeCell ref="H163:I163"/>
    <mergeCell ref="G164:I164"/>
    <mergeCell ref="J164:L164"/>
    <mergeCell ref="K167:L167"/>
    <mergeCell ref="N167:O167"/>
    <mergeCell ref="M168:O168"/>
    <mergeCell ref="B167:C167"/>
    <mergeCell ref="A168:C168"/>
    <mergeCell ref="E167:F167"/>
    <mergeCell ref="D168:F168"/>
    <mergeCell ref="H167:I167"/>
    <mergeCell ref="G168:I168"/>
    <mergeCell ref="J168:L168"/>
    <mergeCell ref="K171:L171"/>
    <mergeCell ref="N171:O171"/>
    <mergeCell ref="M172:O172"/>
    <mergeCell ref="B171:C171"/>
    <mergeCell ref="A172:C172"/>
    <mergeCell ref="E171:F171"/>
    <mergeCell ref="D172:F172"/>
    <mergeCell ref="H171:I171"/>
    <mergeCell ref="G172:I172"/>
    <mergeCell ref="J172:L172"/>
    <mergeCell ref="K175:L175"/>
    <mergeCell ref="N175:O175"/>
    <mergeCell ref="M176:O176"/>
    <mergeCell ref="B175:C175"/>
    <mergeCell ref="A176:C176"/>
    <mergeCell ref="E175:F175"/>
    <mergeCell ref="D176:F176"/>
    <mergeCell ref="H175:I175"/>
    <mergeCell ref="G176:I176"/>
    <mergeCell ref="J176:L176"/>
    <mergeCell ref="K179:L179"/>
    <mergeCell ref="N179:O179"/>
    <mergeCell ref="M180:O180"/>
    <mergeCell ref="B179:C179"/>
    <mergeCell ref="A180:C180"/>
    <mergeCell ref="E179:F179"/>
    <mergeCell ref="D180:F180"/>
    <mergeCell ref="H179:I179"/>
    <mergeCell ref="G180:I180"/>
    <mergeCell ref="J180:L180"/>
    <mergeCell ref="K183:L183"/>
    <mergeCell ref="N183:O183"/>
    <mergeCell ref="M184:O184"/>
    <mergeCell ref="B183:C183"/>
    <mergeCell ref="A184:C184"/>
    <mergeCell ref="E183:F183"/>
    <mergeCell ref="D184:F184"/>
    <mergeCell ref="H183:I183"/>
    <mergeCell ref="G184:I184"/>
    <mergeCell ref="J184:L184"/>
    <mergeCell ref="K187:L187"/>
    <mergeCell ref="N187:O187"/>
    <mergeCell ref="M188:O188"/>
    <mergeCell ref="B187:C187"/>
    <mergeCell ref="A188:C188"/>
    <mergeCell ref="E187:F187"/>
    <mergeCell ref="D188:F188"/>
    <mergeCell ref="H187:I187"/>
    <mergeCell ref="G188:I188"/>
    <mergeCell ref="J188:L188"/>
    <mergeCell ref="K219:L219"/>
    <mergeCell ref="N219:O219"/>
    <mergeCell ref="M220:O220"/>
    <mergeCell ref="B219:C219"/>
    <mergeCell ref="A220:C220"/>
    <mergeCell ref="E219:F219"/>
    <mergeCell ref="D220:F220"/>
    <mergeCell ref="H219:I219"/>
    <mergeCell ref="G220:I220"/>
    <mergeCell ref="J220:L220"/>
    <mergeCell ref="K223:L223"/>
    <mergeCell ref="N223:O223"/>
    <mergeCell ref="M224:O224"/>
    <mergeCell ref="B223:C223"/>
    <mergeCell ref="A224:C224"/>
    <mergeCell ref="E223:F223"/>
    <mergeCell ref="D224:F224"/>
    <mergeCell ref="H223:I223"/>
    <mergeCell ref="G224:I224"/>
    <mergeCell ref="J224:L224"/>
    <mergeCell ref="K227:L227"/>
    <mergeCell ref="N227:O227"/>
    <mergeCell ref="M228:O228"/>
    <mergeCell ref="B227:C227"/>
    <mergeCell ref="A228:C228"/>
    <mergeCell ref="E227:F227"/>
    <mergeCell ref="D228:F228"/>
    <mergeCell ref="H227:I227"/>
    <mergeCell ref="G228:I228"/>
    <mergeCell ref="J228:L228"/>
    <mergeCell ref="K231:L231"/>
    <mergeCell ref="N231:O231"/>
    <mergeCell ref="M232:O232"/>
    <mergeCell ref="B231:C231"/>
    <mergeCell ref="A232:C232"/>
    <mergeCell ref="E231:F231"/>
    <mergeCell ref="D232:F232"/>
    <mergeCell ref="H231:I231"/>
    <mergeCell ref="G232:I232"/>
    <mergeCell ref="J232:L232"/>
    <mergeCell ref="K15:L15"/>
    <mergeCell ref="N15:O15"/>
    <mergeCell ref="M16:O16"/>
    <mergeCell ref="B15:C15"/>
    <mergeCell ref="A16:C16"/>
    <mergeCell ref="E15:F15"/>
    <mergeCell ref="D16:F16"/>
    <mergeCell ref="H15:I15"/>
    <mergeCell ref="G16:I16"/>
    <mergeCell ref="J16:L16"/>
    <mergeCell ref="K19:L19"/>
    <mergeCell ref="N19:O19"/>
    <mergeCell ref="M20:O20"/>
    <mergeCell ref="B19:C19"/>
    <mergeCell ref="A20:C20"/>
    <mergeCell ref="E19:F19"/>
    <mergeCell ref="D20:F20"/>
    <mergeCell ref="H19:I19"/>
    <mergeCell ref="G20:I20"/>
    <mergeCell ref="J20:L20"/>
    <mergeCell ref="K23:L23"/>
    <mergeCell ref="N23:O23"/>
    <mergeCell ref="M24:O24"/>
    <mergeCell ref="B23:C23"/>
    <mergeCell ref="A24:C24"/>
    <mergeCell ref="E23:F23"/>
    <mergeCell ref="D24:F24"/>
    <mergeCell ref="H23:I23"/>
    <mergeCell ref="G24:I24"/>
    <mergeCell ref="J24:L24"/>
    <mergeCell ref="K235:L235"/>
    <mergeCell ref="N235:O235"/>
    <mergeCell ref="M236:O236"/>
    <mergeCell ref="B235:C235"/>
    <mergeCell ref="A236:C236"/>
    <mergeCell ref="E235:F235"/>
    <mergeCell ref="D236:F236"/>
    <mergeCell ref="H235:I235"/>
    <mergeCell ref="G236:I236"/>
    <mergeCell ref="J236:L236"/>
    <mergeCell ref="K191:L191"/>
    <mergeCell ref="N191:O191"/>
    <mergeCell ref="M192:O192"/>
    <mergeCell ref="B191:C191"/>
    <mergeCell ref="A192:C192"/>
    <mergeCell ref="E191:F191"/>
    <mergeCell ref="D192:F192"/>
    <mergeCell ref="H191:I191"/>
    <mergeCell ref="G192:I192"/>
    <mergeCell ref="J192:L192"/>
    <mergeCell ref="K195:L195"/>
    <mergeCell ref="N195:O195"/>
    <mergeCell ref="M196:O196"/>
    <mergeCell ref="B195:C195"/>
    <mergeCell ref="A196:C196"/>
    <mergeCell ref="E195:F195"/>
    <mergeCell ref="D196:F196"/>
    <mergeCell ref="H195:I195"/>
    <mergeCell ref="G196:I196"/>
    <mergeCell ref="J196:L196"/>
    <mergeCell ref="K199:L199"/>
    <mergeCell ref="N199:O199"/>
    <mergeCell ref="M200:O200"/>
    <mergeCell ref="B199:C199"/>
    <mergeCell ref="A200:C200"/>
    <mergeCell ref="E199:F199"/>
    <mergeCell ref="D200:F200"/>
    <mergeCell ref="H199:I199"/>
    <mergeCell ref="G200:I200"/>
    <mergeCell ref="J200:L200"/>
    <mergeCell ref="K203:L203"/>
    <mergeCell ref="N203:O203"/>
    <mergeCell ref="M204:O204"/>
    <mergeCell ref="B203:C203"/>
    <mergeCell ref="A204:C204"/>
    <mergeCell ref="E203:F203"/>
    <mergeCell ref="D204:F204"/>
    <mergeCell ref="H203:I203"/>
    <mergeCell ref="G204:I204"/>
    <mergeCell ref="J204:L204"/>
    <mergeCell ref="K207:L207"/>
    <mergeCell ref="N207:O207"/>
    <mergeCell ref="M208:O208"/>
    <mergeCell ref="B207:C207"/>
    <mergeCell ref="A208:C208"/>
    <mergeCell ref="E207:F207"/>
    <mergeCell ref="D208:F208"/>
    <mergeCell ref="H207:I207"/>
    <mergeCell ref="G208:I208"/>
    <mergeCell ref="J208:L208"/>
    <mergeCell ref="K211:L211"/>
    <mergeCell ref="N211:O211"/>
    <mergeCell ref="M212:O212"/>
    <mergeCell ref="B211:C211"/>
    <mergeCell ref="A212:C212"/>
    <mergeCell ref="E211:F211"/>
    <mergeCell ref="D212:F212"/>
    <mergeCell ref="H211:I211"/>
    <mergeCell ref="G212:I212"/>
    <mergeCell ref="J212:L212"/>
    <mergeCell ref="K215:L215"/>
    <mergeCell ref="N215:O215"/>
    <mergeCell ref="M216:O216"/>
    <mergeCell ref="B215:C215"/>
    <mergeCell ref="A216:C216"/>
    <mergeCell ref="E215:F215"/>
    <mergeCell ref="D216:F216"/>
    <mergeCell ref="H215:I215"/>
    <mergeCell ref="G216:I216"/>
    <mergeCell ref="J216:L216"/>
  </mergeCells>
  <drawing r:id="rId2"/>
  <legacyDrawing r:id="rId3"/>
</worksheet>
</file>